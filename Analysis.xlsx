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uzy/Desktop/"/>
    </mc:Choice>
  </mc:AlternateContent>
  <xr:revisionPtr revIDLastSave="0" documentId="13_ncr:1_{FBF98AAB-7EE5-B743-B8DA-4F23298A0F98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1. Data Quality" sheetId="1" r:id="rId1"/>
    <sheet name="2. Signal Analysis" sheetId="2" r:id="rId2"/>
    <sheet name="3. Cleaned Dat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41" i="3" l="1"/>
  <c r="I1041" i="3"/>
  <c r="J1040" i="3"/>
  <c r="I1040" i="3"/>
  <c r="J1039" i="3"/>
  <c r="I1039" i="3"/>
  <c r="J1038" i="3"/>
  <c r="I1038" i="3"/>
  <c r="J1037" i="3"/>
  <c r="I1037" i="3"/>
  <c r="J1036" i="3"/>
  <c r="I1036" i="3"/>
  <c r="J1035" i="3"/>
  <c r="I1035" i="3"/>
  <c r="J1034" i="3"/>
  <c r="I1034" i="3"/>
  <c r="J1033" i="3"/>
  <c r="I1033" i="3"/>
  <c r="J1032" i="3"/>
  <c r="I1032" i="3"/>
  <c r="J1031" i="3"/>
  <c r="I1031" i="3"/>
  <c r="J1030" i="3"/>
  <c r="I1030" i="3"/>
  <c r="J1029" i="3"/>
  <c r="I1029" i="3"/>
  <c r="J1028" i="3"/>
  <c r="I1028" i="3"/>
  <c r="J1027" i="3"/>
  <c r="I1027" i="3"/>
  <c r="J1026" i="3"/>
  <c r="I1026" i="3"/>
  <c r="J1025" i="3"/>
  <c r="I1025" i="3"/>
  <c r="J1024" i="3"/>
  <c r="I1024" i="3"/>
  <c r="J1023" i="3"/>
  <c r="I1023" i="3"/>
  <c r="J1022" i="3"/>
  <c r="I1022" i="3"/>
  <c r="J1021" i="3"/>
  <c r="I1021" i="3"/>
  <c r="J1020" i="3"/>
  <c r="I1020" i="3"/>
  <c r="J1019" i="3"/>
  <c r="I1019" i="3"/>
  <c r="J1018" i="3"/>
  <c r="I1018" i="3"/>
  <c r="J1017" i="3"/>
  <c r="I1017" i="3"/>
  <c r="J1016" i="3"/>
  <c r="I1016" i="3"/>
  <c r="J1015" i="3"/>
  <c r="I1015" i="3"/>
  <c r="J1014" i="3"/>
  <c r="I1014" i="3"/>
  <c r="J1013" i="3"/>
  <c r="I1013" i="3"/>
  <c r="J1012" i="3"/>
  <c r="I1012" i="3"/>
  <c r="J1011" i="3"/>
  <c r="I1011" i="3"/>
  <c r="J1010" i="3"/>
  <c r="I1010" i="3"/>
  <c r="J1009" i="3"/>
  <c r="I1009" i="3"/>
  <c r="J1008" i="3"/>
  <c r="I1008" i="3"/>
  <c r="J1007" i="3"/>
  <c r="I1007" i="3"/>
  <c r="J1006" i="3"/>
  <c r="I1006" i="3"/>
  <c r="J1005" i="3"/>
  <c r="I1005" i="3"/>
  <c r="J1004" i="3"/>
  <c r="I1004" i="3"/>
  <c r="J1003" i="3"/>
  <c r="I1003" i="3"/>
  <c r="J1002" i="3"/>
  <c r="I1002" i="3"/>
  <c r="J1001" i="3"/>
  <c r="I1001" i="3"/>
  <c r="J1000" i="3"/>
  <c r="I1000" i="3"/>
  <c r="J999" i="3"/>
  <c r="I999" i="3"/>
  <c r="J998" i="3"/>
  <c r="I998" i="3"/>
  <c r="J997" i="3"/>
  <c r="I997" i="3"/>
  <c r="J996" i="3"/>
  <c r="I996" i="3"/>
  <c r="J995" i="3"/>
  <c r="I995" i="3"/>
  <c r="J994" i="3"/>
  <c r="I994" i="3"/>
  <c r="J993" i="3"/>
  <c r="I993" i="3"/>
  <c r="J992" i="3"/>
  <c r="I992" i="3"/>
  <c r="J991" i="3"/>
  <c r="I991" i="3"/>
  <c r="J990" i="3"/>
  <c r="I990" i="3"/>
  <c r="J989" i="3"/>
  <c r="I989" i="3"/>
  <c r="J988" i="3"/>
  <c r="I988" i="3"/>
  <c r="J987" i="3"/>
  <c r="I987" i="3"/>
  <c r="J986" i="3"/>
  <c r="I986" i="3"/>
  <c r="J985" i="3"/>
  <c r="I985" i="3"/>
  <c r="J984" i="3"/>
  <c r="I984" i="3"/>
  <c r="J983" i="3"/>
  <c r="I983" i="3"/>
  <c r="J982" i="3"/>
  <c r="I982" i="3"/>
  <c r="J981" i="3"/>
  <c r="I981" i="3"/>
  <c r="J980" i="3"/>
  <c r="I980" i="3"/>
  <c r="J979" i="3"/>
  <c r="I979" i="3"/>
  <c r="J978" i="3"/>
  <c r="I978" i="3"/>
  <c r="J977" i="3"/>
  <c r="I977" i="3"/>
  <c r="J976" i="3"/>
  <c r="I976" i="3"/>
  <c r="J975" i="3"/>
  <c r="I975" i="3"/>
  <c r="J974" i="3"/>
  <c r="I974" i="3"/>
  <c r="J973" i="3"/>
  <c r="I973" i="3"/>
  <c r="J972" i="3"/>
  <c r="I972" i="3"/>
  <c r="J971" i="3"/>
  <c r="I971" i="3"/>
  <c r="J970" i="3"/>
  <c r="I970" i="3"/>
  <c r="J969" i="3"/>
  <c r="I969" i="3"/>
  <c r="J968" i="3"/>
  <c r="I968" i="3"/>
  <c r="J967" i="3"/>
  <c r="I967" i="3"/>
  <c r="J966" i="3"/>
  <c r="I966" i="3"/>
  <c r="J965" i="3"/>
  <c r="I965" i="3"/>
  <c r="J964" i="3"/>
  <c r="I964" i="3"/>
  <c r="J963" i="3"/>
  <c r="I963" i="3"/>
  <c r="J962" i="3"/>
  <c r="I962" i="3"/>
  <c r="J961" i="3"/>
  <c r="I961" i="3"/>
  <c r="J960" i="3"/>
  <c r="I960" i="3"/>
  <c r="J959" i="3"/>
  <c r="I959" i="3"/>
  <c r="J958" i="3"/>
  <c r="I958" i="3"/>
  <c r="J957" i="3"/>
  <c r="I957" i="3"/>
  <c r="J956" i="3"/>
  <c r="I956" i="3"/>
  <c r="J955" i="3"/>
  <c r="I955" i="3"/>
  <c r="J954" i="3"/>
  <c r="I954" i="3"/>
  <c r="J953" i="3"/>
  <c r="I953" i="3"/>
  <c r="J952" i="3"/>
  <c r="I952" i="3"/>
  <c r="J951" i="3"/>
  <c r="I951" i="3"/>
  <c r="J950" i="3"/>
  <c r="I950" i="3"/>
  <c r="J949" i="3"/>
  <c r="I949" i="3"/>
  <c r="J948" i="3"/>
  <c r="I948" i="3"/>
  <c r="J947" i="3"/>
  <c r="I947" i="3"/>
  <c r="J946" i="3"/>
  <c r="I946" i="3"/>
  <c r="J945" i="3"/>
  <c r="I945" i="3"/>
  <c r="J944" i="3"/>
  <c r="I944" i="3"/>
  <c r="J943" i="3"/>
  <c r="I943" i="3"/>
  <c r="J942" i="3"/>
  <c r="I942" i="3"/>
  <c r="J941" i="3"/>
  <c r="I941" i="3"/>
  <c r="J940" i="3"/>
  <c r="I940" i="3"/>
  <c r="J939" i="3"/>
  <c r="I939" i="3"/>
  <c r="J938" i="3"/>
  <c r="I938" i="3"/>
  <c r="J937" i="3"/>
  <c r="I937" i="3"/>
  <c r="J936" i="3"/>
  <c r="I936" i="3"/>
  <c r="J935" i="3"/>
  <c r="I935" i="3"/>
  <c r="J934" i="3"/>
  <c r="I934" i="3"/>
  <c r="J933" i="3"/>
  <c r="I933" i="3"/>
  <c r="J932" i="3"/>
  <c r="I932" i="3"/>
  <c r="J931" i="3"/>
  <c r="I931" i="3"/>
  <c r="J930" i="3"/>
  <c r="I930" i="3"/>
  <c r="J929" i="3"/>
  <c r="I929" i="3"/>
  <c r="J928" i="3"/>
  <c r="I928" i="3"/>
  <c r="J927" i="3"/>
  <c r="I927" i="3"/>
  <c r="J926" i="3"/>
  <c r="I926" i="3"/>
  <c r="J925" i="3"/>
  <c r="I925" i="3"/>
  <c r="J924" i="3"/>
  <c r="I924" i="3"/>
  <c r="J923" i="3"/>
  <c r="I923" i="3"/>
  <c r="J922" i="3"/>
  <c r="I922" i="3"/>
  <c r="J921" i="3"/>
  <c r="I921" i="3"/>
  <c r="J920" i="3"/>
  <c r="I920" i="3"/>
  <c r="J919" i="3"/>
  <c r="I919" i="3"/>
  <c r="J918" i="3"/>
  <c r="I918" i="3"/>
  <c r="J917" i="3"/>
  <c r="I917" i="3"/>
  <c r="J916" i="3"/>
  <c r="I916" i="3"/>
  <c r="J915" i="3"/>
  <c r="I915" i="3"/>
  <c r="J914" i="3"/>
  <c r="I914" i="3"/>
  <c r="J913" i="3"/>
  <c r="I913" i="3"/>
  <c r="J912" i="3"/>
  <c r="I912" i="3"/>
  <c r="J911" i="3"/>
  <c r="I911" i="3"/>
  <c r="J910" i="3"/>
  <c r="I910" i="3"/>
  <c r="J909" i="3"/>
  <c r="I909" i="3"/>
  <c r="J908" i="3"/>
  <c r="I908" i="3"/>
  <c r="J907" i="3"/>
  <c r="I907" i="3"/>
  <c r="J906" i="3"/>
  <c r="I906" i="3"/>
  <c r="J905" i="3"/>
  <c r="I905" i="3"/>
  <c r="J904" i="3"/>
  <c r="I904" i="3"/>
  <c r="J903" i="3"/>
  <c r="I903" i="3"/>
  <c r="J902" i="3"/>
  <c r="I902" i="3"/>
  <c r="J901" i="3"/>
  <c r="I901" i="3"/>
  <c r="J900" i="3"/>
  <c r="I900" i="3"/>
  <c r="J899" i="3"/>
  <c r="I899" i="3"/>
  <c r="J898" i="3"/>
  <c r="I898" i="3"/>
  <c r="J897" i="3"/>
  <c r="I897" i="3"/>
  <c r="J896" i="3"/>
  <c r="I896" i="3"/>
  <c r="J895" i="3"/>
  <c r="I895" i="3"/>
  <c r="J894" i="3"/>
  <c r="I894" i="3"/>
  <c r="J893" i="3"/>
  <c r="I893" i="3"/>
  <c r="J892" i="3"/>
  <c r="I892" i="3"/>
  <c r="J891" i="3"/>
  <c r="I891" i="3"/>
  <c r="J890" i="3"/>
  <c r="I890" i="3"/>
  <c r="J889" i="3"/>
  <c r="I889" i="3"/>
  <c r="J888" i="3"/>
  <c r="I888" i="3"/>
  <c r="J887" i="3"/>
  <c r="I887" i="3"/>
  <c r="J886" i="3"/>
  <c r="I886" i="3"/>
  <c r="J885" i="3"/>
  <c r="I885" i="3"/>
  <c r="J884" i="3"/>
  <c r="I884" i="3"/>
  <c r="J883" i="3"/>
  <c r="I883" i="3"/>
  <c r="J882" i="3"/>
  <c r="I882" i="3"/>
  <c r="J881" i="3"/>
  <c r="I881" i="3"/>
  <c r="J880" i="3"/>
  <c r="I880" i="3"/>
  <c r="J879" i="3"/>
  <c r="I879" i="3"/>
  <c r="J878" i="3"/>
  <c r="I878" i="3"/>
  <c r="J877" i="3"/>
  <c r="I877" i="3"/>
  <c r="J876" i="3"/>
  <c r="I876" i="3"/>
  <c r="J875" i="3"/>
  <c r="I875" i="3"/>
  <c r="J874" i="3"/>
  <c r="I874" i="3"/>
  <c r="J873" i="3"/>
  <c r="I873" i="3"/>
  <c r="J872" i="3"/>
  <c r="I872" i="3"/>
  <c r="J871" i="3"/>
  <c r="I871" i="3"/>
  <c r="J870" i="3"/>
  <c r="I870" i="3"/>
  <c r="J869" i="3"/>
  <c r="I869" i="3"/>
  <c r="J868" i="3"/>
  <c r="I868" i="3"/>
  <c r="J867" i="3"/>
  <c r="I867" i="3"/>
  <c r="J866" i="3"/>
  <c r="I866" i="3"/>
  <c r="J865" i="3"/>
  <c r="I865" i="3"/>
  <c r="J864" i="3"/>
  <c r="I864" i="3"/>
  <c r="J863" i="3"/>
  <c r="I863" i="3"/>
  <c r="J862" i="3"/>
  <c r="I862" i="3"/>
  <c r="J861" i="3"/>
  <c r="I861" i="3"/>
  <c r="J860" i="3"/>
  <c r="I860" i="3"/>
  <c r="J859" i="3"/>
  <c r="I859" i="3"/>
  <c r="J858" i="3"/>
  <c r="I858" i="3"/>
  <c r="J857" i="3"/>
  <c r="I857" i="3"/>
  <c r="J856" i="3"/>
  <c r="I856" i="3"/>
  <c r="J855" i="3"/>
  <c r="I855" i="3"/>
  <c r="J854" i="3"/>
  <c r="I854" i="3"/>
  <c r="J853" i="3"/>
  <c r="I853" i="3"/>
  <c r="J852" i="3"/>
  <c r="I852" i="3"/>
  <c r="J851" i="3"/>
  <c r="I851" i="3"/>
  <c r="J850" i="3"/>
  <c r="I850" i="3"/>
  <c r="J849" i="3"/>
  <c r="I849" i="3"/>
  <c r="J848" i="3"/>
  <c r="I848" i="3"/>
  <c r="J847" i="3"/>
  <c r="I847" i="3"/>
  <c r="J846" i="3"/>
  <c r="I846" i="3"/>
  <c r="J845" i="3"/>
  <c r="I845" i="3"/>
  <c r="J844" i="3"/>
  <c r="I844" i="3"/>
  <c r="J843" i="3"/>
  <c r="I843" i="3"/>
  <c r="J842" i="3"/>
  <c r="I842" i="3"/>
  <c r="J841" i="3"/>
  <c r="I841" i="3"/>
  <c r="J840" i="3"/>
  <c r="I840" i="3"/>
  <c r="J839" i="3"/>
  <c r="I839" i="3"/>
  <c r="J838" i="3"/>
  <c r="I838" i="3"/>
  <c r="J837" i="3"/>
  <c r="I837" i="3"/>
  <c r="J836" i="3"/>
  <c r="I836" i="3"/>
  <c r="J835" i="3"/>
  <c r="I835" i="3"/>
  <c r="J834" i="3"/>
  <c r="I834" i="3"/>
  <c r="J833" i="3"/>
  <c r="I833" i="3"/>
  <c r="J832" i="3"/>
  <c r="I832" i="3"/>
  <c r="J831" i="3"/>
  <c r="I831" i="3"/>
  <c r="J830" i="3"/>
  <c r="I830" i="3"/>
  <c r="J829" i="3"/>
  <c r="I829" i="3"/>
  <c r="J828" i="3"/>
  <c r="I828" i="3"/>
  <c r="J827" i="3"/>
  <c r="I827" i="3"/>
  <c r="J826" i="3"/>
  <c r="I826" i="3"/>
  <c r="J825" i="3"/>
  <c r="I825" i="3"/>
  <c r="J824" i="3"/>
  <c r="I824" i="3"/>
  <c r="J823" i="3"/>
  <c r="I823" i="3"/>
  <c r="J822" i="3"/>
  <c r="I822" i="3"/>
  <c r="J821" i="3"/>
  <c r="I821" i="3"/>
  <c r="J820" i="3"/>
  <c r="I820" i="3"/>
  <c r="J819" i="3"/>
  <c r="I819" i="3"/>
  <c r="J818" i="3"/>
  <c r="I818" i="3"/>
  <c r="J817" i="3"/>
  <c r="I817" i="3"/>
  <c r="J816" i="3"/>
  <c r="I816" i="3"/>
  <c r="J815" i="3"/>
  <c r="I815" i="3"/>
  <c r="J814" i="3"/>
  <c r="I814" i="3"/>
  <c r="J813" i="3"/>
  <c r="I813" i="3"/>
  <c r="J812" i="3"/>
  <c r="I812" i="3"/>
  <c r="J811" i="3"/>
  <c r="I811" i="3"/>
  <c r="J810" i="3"/>
  <c r="I810" i="3"/>
  <c r="J809" i="3"/>
  <c r="I809" i="3"/>
  <c r="J808" i="3"/>
  <c r="I808" i="3"/>
  <c r="J807" i="3"/>
  <c r="I807" i="3"/>
  <c r="J806" i="3"/>
  <c r="I806" i="3"/>
  <c r="J805" i="3"/>
  <c r="I805" i="3"/>
  <c r="J804" i="3"/>
  <c r="I804" i="3"/>
  <c r="J803" i="3"/>
  <c r="I803" i="3"/>
  <c r="J802" i="3"/>
  <c r="I802" i="3"/>
  <c r="J801" i="3"/>
  <c r="I801" i="3"/>
  <c r="J800" i="3"/>
  <c r="I800" i="3"/>
  <c r="J799" i="3"/>
  <c r="I799" i="3"/>
  <c r="J798" i="3"/>
  <c r="I798" i="3"/>
  <c r="J797" i="3"/>
  <c r="I797" i="3"/>
  <c r="J796" i="3"/>
  <c r="I796" i="3"/>
  <c r="J795" i="3"/>
  <c r="I795" i="3"/>
  <c r="J794" i="3"/>
  <c r="I794" i="3"/>
  <c r="J793" i="3"/>
  <c r="I793" i="3"/>
  <c r="J792" i="3"/>
  <c r="I792" i="3"/>
  <c r="J791" i="3"/>
  <c r="I791" i="3"/>
  <c r="J790" i="3"/>
  <c r="I790" i="3"/>
  <c r="J789" i="3"/>
  <c r="I789" i="3"/>
  <c r="J788" i="3"/>
  <c r="I788" i="3"/>
  <c r="J787" i="3"/>
  <c r="I787" i="3"/>
  <c r="J786" i="3"/>
  <c r="I786" i="3"/>
  <c r="J785" i="3"/>
  <c r="I785" i="3"/>
  <c r="J784" i="3"/>
  <c r="I784" i="3"/>
  <c r="J783" i="3"/>
  <c r="I783" i="3"/>
  <c r="J782" i="3"/>
  <c r="I782" i="3"/>
  <c r="J781" i="3"/>
  <c r="I781" i="3"/>
  <c r="J780" i="3"/>
  <c r="I780" i="3"/>
  <c r="J779" i="3"/>
  <c r="I779" i="3"/>
  <c r="J778" i="3"/>
  <c r="I778" i="3"/>
  <c r="J777" i="3"/>
  <c r="I777" i="3"/>
  <c r="J776" i="3"/>
  <c r="I776" i="3"/>
  <c r="J775" i="3"/>
  <c r="I775" i="3"/>
  <c r="J774" i="3"/>
  <c r="I774" i="3"/>
  <c r="J773" i="3"/>
  <c r="I773" i="3"/>
  <c r="J772" i="3"/>
  <c r="I772" i="3"/>
  <c r="J771" i="3"/>
  <c r="I771" i="3"/>
  <c r="J770" i="3"/>
  <c r="I770" i="3"/>
  <c r="J769" i="3"/>
  <c r="I769" i="3"/>
  <c r="J768" i="3"/>
  <c r="I768" i="3"/>
  <c r="J767" i="3"/>
  <c r="I767" i="3"/>
  <c r="J766" i="3"/>
  <c r="I766" i="3"/>
  <c r="J765" i="3"/>
  <c r="I765" i="3"/>
  <c r="J764" i="3"/>
  <c r="I764" i="3"/>
  <c r="J763" i="3"/>
  <c r="I763" i="3"/>
  <c r="J762" i="3"/>
  <c r="I762" i="3"/>
  <c r="J761" i="3"/>
  <c r="I761" i="3"/>
  <c r="J760" i="3"/>
  <c r="I760" i="3"/>
  <c r="J759" i="3"/>
  <c r="I759" i="3"/>
  <c r="J758" i="3"/>
  <c r="I758" i="3"/>
  <c r="J757" i="3"/>
  <c r="I757" i="3"/>
  <c r="J756" i="3"/>
  <c r="I756" i="3"/>
  <c r="J755" i="3"/>
  <c r="I755" i="3"/>
  <c r="J754" i="3"/>
  <c r="I754" i="3"/>
  <c r="J753" i="3"/>
  <c r="I753" i="3"/>
  <c r="J752" i="3"/>
  <c r="I752" i="3"/>
  <c r="J751" i="3"/>
  <c r="I751" i="3"/>
  <c r="J750" i="3"/>
  <c r="I750" i="3"/>
  <c r="J749" i="3"/>
  <c r="I749" i="3"/>
  <c r="J748" i="3"/>
  <c r="I748" i="3"/>
  <c r="J747" i="3"/>
  <c r="I747" i="3"/>
  <c r="J746" i="3"/>
  <c r="I746" i="3"/>
  <c r="J745" i="3"/>
  <c r="I745" i="3"/>
  <c r="J744" i="3"/>
  <c r="I744" i="3"/>
  <c r="J743" i="3"/>
  <c r="I743" i="3"/>
  <c r="J742" i="3"/>
  <c r="I742" i="3"/>
  <c r="J741" i="3"/>
  <c r="I741" i="3"/>
  <c r="J740" i="3"/>
  <c r="I740" i="3"/>
  <c r="J739" i="3"/>
  <c r="I739" i="3"/>
  <c r="J738" i="3"/>
  <c r="I738" i="3"/>
  <c r="J737" i="3"/>
  <c r="I737" i="3"/>
  <c r="J736" i="3"/>
  <c r="I736" i="3"/>
  <c r="J735" i="3"/>
  <c r="I735" i="3"/>
  <c r="J734" i="3"/>
  <c r="I734" i="3"/>
  <c r="J733" i="3"/>
  <c r="I733" i="3"/>
  <c r="J732" i="3"/>
  <c r="I732" i="3"/>
  <c r="J731" i="3"/>
  <c r="I731" i="3"/>
  <c r="J730" i="3"/>
  <c r="I730" i="3"/>
  <c r="J729" i="3"/>
  <c r="I729" i="3"/>
  <c r="J728" i="3"/>
  <c r="I728" i="3"/>
  <c r="J727" i="3"/>
  <c r="I727" i="3"/>
  <c r="J726" i="3"/>
  <c r="I726" i="3"/>
  <c r="J725" i="3"/>
  <c r="I725" i="3"/>
  <c r="J724" i="3"/>
  <c r="I724" i="3"/>
  <c r="J723" i="3"/>
  <c r="I723" i="3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I713" i="3"/>
  <c r="J712" i="3"/>
  <c r="I712" i="3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I701" i="3"/>
  <c r="J700" i="3"/>
  <c r="I700" i="3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7" i="3"/>
  <c r="I677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J665" i="3"/>
  <c r="I665" i="3"/>
  <c r="J664" i="3"/>
  <c r="I664" i="3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I653" i="3"/>
  <c r="J652" i="3"/>
  <c r="I652" i="3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9" i="3"/>
  <c r="I629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J617" i="3"/>
  <c r="I617" i="3"/>
  <c r="J616" i="3"/>
  <c r="I616" i="3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9" i="3"/>
  <c r="I569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I557" i="3"/>
  <c r="J556" i="3"/>
  <c r="I556" i="3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I533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J521" i="3"/>
  <c r="I521" i="3"/>
  <c r="J520" i="3"/>
  <c r="I520" i="3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I509" i="3"/>
  <c r="J508" i="3"/>
  <c r="I508" i="3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C14" i="2" s="1"/>
  <c r="I9" i="3"/>
  <c r="J8" i="3"/>
  <c r="C15" i="2" s="1"/>
  <c r="I8" i="3"/>
  <c r="J7" i="3"/>
  <c r="C16" i="2" s="1"/>
  <c r="I7" i="3"/>
  <c r="J6" i="3"/>
  <c r="I6" i="3"/>
  <c r="J5" i="3"/>
  <c r="C18" i="2" s="1"/>
  <c r="I5" i="3"/>
  <c r="J4" i="3"/>
  <c r="C21" i="2" s="1"/>
  <c r="C6" i="2"/>
  <c r="C5" i="2"/>
  <c r="C23" i="2" l="1"/>
  <c r="C17" i="2"/>
  <c r="C22" i="2"/>
  <c r="C24" i="2"/>
  <c r="C25" i="2"/>
  <c r="C26" i="2"/>
  <c r="C19" i="2"/>
  <c r="C20" i="2"/>
</calcChain>
</file>

<file path=xl/sharedStrings.xml><?xml version="1.0" encoding="utf-8"?>
<sst xmlns="http://schemas.openxmlformats.org/spreadsheetml/2006/main" count="81" uniqueCount="70">
  <si>
    <t>Data quality review — 4sight sample dataset</t>
  </si>
  <si>
    <t>1,038 rows, 19-Nov-2015 to 06-Jan-2020. I ran seven checks; all seven found problems.</t>
  </si>
  <si>
    <t>#</t>
  </si>
  <si>
    <t>Check</t>
  </si>
  <si>
    <t>Problems found</t>
  </si>
  <si>
    <t>What was wrong</t>
  </si>
  <si>
    <t>What I did</t>
  </si>
  <si>
    <t>Dates must be trading days</t>
  </si>
  <si>
    <t>5 rows</t>
  </si>
  <si>
    <t>Rows dated on 2 weekends and on 04-Jul-2017 (market holiday). Their prices copy a nearby day.</t>
  </si>
  <si>
    <t>Deleted the 5 rows</t>
  </si>
  <si>
    <t>High must be the day's highest price, Low the lowest</t>
  </si>
  <si>
    <t>8 rows</t>
  </si>
  <si>
    <t>e.g. 07-Mar-2018 has Low 157.22 but Open 154.46. Impossible.</t>
  </si>
  <si>
    <t>High = max(O,H,L,C), Low = min(O,H,L,C)</t>
  </si>
  <si>
    <t>Prices must be positive</t>
  </si>
  <si>
    <t>1 row</t>
  </si>
  <si>
    <t>10-Oct-2018 Adj Close is -152.28.</t>
  </si>
  <si>
    <t>Flipped the sign</t>
  </si>
  <si>
    <t>Close must sit inside the day's High-Low range</t>
  </si>
  <si>
    <t>19-Mar-2018 Close is 196.28 but the day's range is 154.45-157.21. Looks like 156.28 typed as 196.28.</t>
  </si>
  <si>
    <t>Corrected to 156.28</t>
  </si>
  <si>
    <t>Adj Close / Close should drift slowly, never jump</t>
  </si>
  <si>
    <t>2 rows</t>
  </si>
  <si>
    <t>05-Dec-2016 and 27-Mar-2017 Adj Close are higher than Close (+40 and +30 off).</t>
  </si>
  <si>
    <t>Rebuilt from the neighbouring day's ratio</t>
  </si>
  <si>
    <t>No price should freeze while the others move</t>
  </si>
  <si>
    <t>11 rows</t>
  </si>
  <si>
    <t>08-22 Sep 2017: Close stuck at 139.110001 for 11 days while Open/High/Low keep moving. On 10 of those days it sits below the day's own Low.</t>
  </si>
  <si>
    <t>Set to blank; asked the vendor to re-send</t>
  </si>
  <si>
    <t>No missing values, no missing days</t>
  </si>
  <si>
    <t>6 + 5 rows</t>
  </si>
  <si>
    <t>The last 6 Signals are exactly 0 — but the Signal never goes below 10.58 anywhere else, so 0 means "missing". Separately, the week of 12-16 Nov 2018 is absent entirely.</t>
  </si>
  <si>
    <t>Set the zeros to blank; flagged the missing week</t>
  </si>
  <si>
    <t>34 rows affected in total. None of these are judgement calls — every one breaks a rule that must hold in any price file.</t>
  </si>
  <si>
    <t>Is the 4sight signal any good?</t>
  </si>
  <si>
    <t>Short answer: no. It is mostly just the ETF price, and the rest of it was built using future prices.</t>
  </si>
  <si>
    <t>Finding 1 — the signal is mostly just the price</t>
  </si>
  <si>
    <t>Correlation between Signal and the same-day price</t>
  </si>
  <si>
    <t>Signal is roughly the price divided by</t>
  </si>
  <si>
    <t>So most of the "signal" is information we already have on any price screen.</t>
  </si>
  <si>
    <t>Finding 2 — the rest of it comes from the future  (this is the key result)</t>
  </si>
  <si>
    <t>I stripped the price out of the signal and asked: does what is left match the market BEFORE or AFTER its own date?</t>
  </si>
  <si>
    <t>A forecast made today can only use today's information. It cannot match tomorrow better than yesterday.</t>
  </si>
  <si>
    <t>day</t>
  </si>
  <si>
    <t>correlation</t>
  </si>
  <si>
    <t>knowable on the day?</t>
  </si>
  <si>
    <t>yes — the past</t>
  </si>
  <si>
    <t>yes — today</t>
  </si>
  <si>
    <t>NO — the future</t>
  </si>
  <si>
    <t>Zero against everything up to today. Strong for the next six days. Then zero again.</t>
  </si>
  <si>
    <t>A genuine forecast cannot look like this. The signal was built from prices 3-7 days ahead of its own date.</t>
  </si>
  <si>
    <t>Finding 3 — that is why the backtest looks so good</t>
  </si>
  <si>
    <t>annual return</t>
  </si>
  <si>
    <t>Sharpe ratio</t>
  </si>
  <si>
    <t>Trading the signal</t>
  </si>
  <si>
    <t>Just holding the ETF</t>
  </si>
  <si>
    <t>(Sharpe = return per unit of risk. Around 0.7 is normal for the market; 1.5 from one simple rule is not believable.)</t>
  </si>
  <si>
    <t>Computed on the cleaned data — see the Python script. These two numbers are pasted, everything else on this sheet is a live formula.</t>
  </si>
  <si>
    <t>Cleaned data — amber cells were changed or removed</t>
  </si>
  <si>
    <t>Date</t>
  </si>
  <si>
    <t>Signal</t>
  </si>
  <si>
    <t>Open</t>
  </si>
  <si>
    <t>High</t>
  </si>
  <si>
    <t>Low</t>
  </si>
  <si>
    <t>Close</t>
  </si>
  <si>
    <t>Adj Close</t>
  </si>
  <si>
    <t>Price used for analysis</t>
  </si>
  <si>
    <t>Daily return</t>
  </si>
  <si>
    <t>Signal minus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</si>
</sst>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\+0.000;\-0.000"/>
    <numFmt numFmtId="166" formatCode="0.0%"/>
    <numFmt numFmtId="167" formatCode="yyyy\-mm\-dd"/>
    <numFmt numFmtId="168" formatCode="#,##0.000000"/>
    <numFmt numFmtId="169" formatCode="0.0000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2" fontId="4" fillId="0" borderId="0" xfId="0" applyNumberFormat="1" applyFont="1"/>
    <xf numFmtId="164" fontId="4" fillId="0" borderId="0" xfId="0" applyNumberFormat="1" applyFont="1"/>
    <xf numFmtId="0" fontId="3" fillId="2" borderId="0" xfId="0" applyFont="1" applyFill="1"/>
    <xf numFmtId="165" fontId="4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167" fontId="0" fillId="0" borderId="0" xfId="0" applyNumberFormat="1"/>
    <xf numFmtId="168" fontId="2" fillId="0" borderId="0" xfId="0" applyNumberFormat="1" applyFont="1"/>
    <xf numFmtId="169" fontId="2" fillId="0" borderId="0" xfId="0" applyNumberFormat="1" applyFont="1"/>
    <xf numFmtId="168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Does the signal match the past or the future?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Signal Analysis'!$C$13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Signal Analysis'!$B$14:$B$26</c:f>
              <c:numCache>
                <c:formatCode>General</c:formatCode>
                <c:ptCount val="13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</c:numCache>
            </c:numRef>
          </c:cat>
          <c:val>
            <c:numRef>
              <c:f>'2. Signal Analysis'!$C$14:$C$26</c:f>
              <c:numCache>
                <c:formatCode>\+0.000;\-0.000</c:formatCode>
                <c:ptCount val="13"/>
                <c:pt idx="0">
                  <c:v>-2.3454611305682018E-2</c:v>
                </c:pt>
                <c:pt idx="1">
                  <c:v>-5.6303727448237001E-2</c:v>
                </c:pt>
                <c:pt idx="2">
                  <c:v>-5.9522676743631433E-3</c:v>
                </c:pt>
                <c:pt idx="3">
                  <c:v>-1.8589523023051505E-2</c:v>
                </c:pt>
                <c:pt idx="4">
                  <c:v>-1.5554268050256866E-2</c:v>
                </c:pt>
                <c:pt idx="5">
                  <c:v>-1.9871591648361039E-2</c:v>
                </c:pt>
                <c:pt idx="6">
                  <c:v>0.15621082046214013</c:v>
                </c:pt>
                <c:pt idx="7">
                  <c:v>0.17913678182491297</c:v>
                </c:pt>
                <c:pt idx="8">
                  <c:v>0.19939016798980319</c:v>
                </c:pt>
                <c:pt idx="9">
                  <c:v>0.12376620830118287</c:v>
                </c:pt>
                <c:pt idx="10">
                  <c:v>0.14489653921295248</c:v>
                </c:pt>
                <c:pt idx="11">
                  <c:v>0.12856922646039584</c:v>
                </c:pt>
                <c:pt idx="12">
                  <c:v>1.6967556096386415E-3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B-5848-A93B-1E080FDA6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03649"/>
        <c:axId val="36468654"/>
      </c:barChart>
      <c:catAx>
        <c:axId val="400036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days relative to the signal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468654"/>
        <c:crosses val="autoZero"/>
        <c:auto val="1"/>
        <c:lblAlgn val="ctr"/>
        <c:lblOffset val="100"/>
        <c:noMultiLvlLbl val="0"/>
      </c:catAx>
      <c:valAx>
        <c:axId val="36468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correlation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00;\-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0364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160560</xdr:rowOff>
    </xdr:from>
    <xdr:to>
      <xdr:col>15</xdr:col>
      <xdr:colOff>4320</xdr:colOff>
      <xdr:row>26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34" customWidth="1"/>
    <col min="3" max="3" width="14" customWidth="1"/>
    <col min="4" max="4" width="62" customWidth="1"/>
    <col min="5" max="5" width="34" customWidth="1"/>
  </cols>
  <sheetData>
    <row r="1" spans="1:5" ht="18" x14ac:dyDescent="0.2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45.75" customHeight="1" x14ac:dyDescent="0.2">
      <c r="A5" s="4">
        <v>1</v>
      </c>
      <c r="B5" s="4" t="s">
        <v>7</v>
      </c>
      <c r="C5" s="4" t="s">
        <v>8</v>
      </c>
      <c r="D5" s="4" t="s">
        <v>9</v>
      </c>
      <c r="E5" s="4" t="s">
        <v>10</v>
      </c>
    </row>
    <row r="6" spans="1:5" ht="45.75" customHeight="1" x14ac:dyDescent="0.2">
      <c r="A6" s="4">
        <v>2</v>
      </c>
      <c r="B6" s="4" t="s">
        <v>11</v>
      </c>
      <c r="C6" s="4" t="s">
        <v>12</v>
      </c>
      <c r="D6" s="4" t="s">
        <v>13</v>
      </c>
      <c r="E6" s="4" t="s">
        <v>14</v>
      </c>
    </row>
    <row r="7" spans="1:5" ht="45.75" customHeight="1" x14ac:dyDescent="0.2">
      <c r="A7" s="4">
        <v>3</v>
      </c>
      <c r="B7" s="4" t="s">
        <v>15</v>
      </c>
      <c r="C7" s="4" t="s">
        <v>16</v>
      </c>
      <c r="D7" s="4" t="s">
        <v>17</v>
      </c>
      <c r="E7" s="4" t="s">
        <v>18</v>
      </c>
    </row>
    <row r="8" spans="1:5" ht="45.75" customHeight="1" x14ac:dyDescent="0.2">
      <c r="A8" s="4">
        <v>4</v>
      </c>
      <c r="B8" s="4" t="s">
        <v>19</v>
      </c>
      <c r="C8" s="4" t="s">
        <v>16</v>
      </c>
      <c r="D8" s="4" t="s">
        <v>20</v>
      </c>
      <c r="E8" s="4" t="s">
        <v>21</v>
      </c>
    </row>
    <row r="9" spans="1:5" ht="45.75" customHeight="1" x14ac:dyDescent="0.2">
      <c r="A9" s="4">
        <v>5</v>
      </c>
      <c r="B9" s="4" t="s">
        <v>22</v>
      </c>
      <c r="C9" s="4" t="s">
        <v>23</v>
      </c>
      <c r="D9" s="4" t="s">
        <v>24</v>
      </c>
      <c r="E9" s="4" t="s">
        <v>25</v>
      </c>
    </row>
    <row r="10" spans="1:5" ht="45.75" customHeight="1" x14ac:dyDescent="0.2">
      <c r="A10" s="4">
        <v>6</v>
      </c>
      <c r="B10" s="4" t="s">
        <v>26</v>
      </c>
      <c r="C10" s="4" t="s">
        <v>27</v>
      </c>
      <c r="D10" s="4" t="s">
        <v>28</v>
      </c>
      <c r="E10" s="4" t="s">
        <v>29</v>
      </c>
    </row>
    <row r="11" spans="1:5" ht="45.75" customHeight="1" x14ac:dyDescent="0.2">
      <c r="A11" s="4">
        <v>7</v>
      </c>
      <c r="B11" s="4" t="s">
        <v>30</v>
      </c>
      <c r="C11" s="4" t="s">
        <v>31</v>
      </c>
      <c r="D11" s="4" t="s">
        <v>32</v>
      </c>
      <c r="E11" s="4" t="s">
        <v>33</v>
      </c>
    </row>
    <row r="13" spans="1:5" x14ac:dyDescent="0.2">
      <c r="B13" s="5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zoomScaleNormal="100" workbookViewId="0">
      <selection activeCell="B33" sqref="B33"/>
    </sheetView>
  </sheetViews>
  <sheetFormatPr baseColWidth="10" defaultColWidth="8.6640625" defaultRowHeight="15" x14ac:dyDescent="0.2"/>
  <cols>
    <col min="1" max="1" width="3" customWidth="1"/>
    <col min="2" max="2" width="52" customWidth="1"/>
    <col min="3" max="3" width="15" customWidth="1"/>
    <col min="4" max="4" width="22" customWidth="1"/>
  </cols>
  <sheetData>
    <row r="1" spans="1:4" ht="18" x14ac:dyDescent="0.2">
      <c r="A1" s="1" t="s">
        <v>35</v>
      </c>
    </row>
    <row r="2" spans="1:4" x14ac:dyDescent="0.2">
      <c r="A2" s="2" t="s">
        <v>36</v>
      </c>
    </row>
    <row r="4" spans="1:4" x14ac:dyDescent="0.2">
      <c r="A4" s="5" t="s">
        <v>37</v>
      </c>
    </row>
    <row r="5" spans="1:4" x14ac:dyDescent="0.2">
      <c r="B5" s="2" t="s">
        <v>38</v>
      </c>
      <c r="C5" s="6">
        <f>CORREL('3. Cleaned Data'!$B$4:$B$1041,'3. Cleaned Data'!$H$4:$H$1041)</f>
        <v>0.93751734786297536</v>
      </c>
    </row>
    <row r="6" spans="1:4" x14ac:dyDescent="0.2">
      <c r="B6" s="2" t="s">
        <v>39</v>
      </c>
      <c r="C6" s="7">
        <f>1/SLOPE('3. Cleaned Data'!$B$4:$B$1041,'3. Cleaned Data'!$H$4:$H$1041)</f>
        <v>7.3103461693057037</v>
      </c>
    </row>
    <row r="7" spans="1:4" x14ac:dyDescent="0.2">
      <c r="B7" s="2" t="s">
        <v>40</v>
      </c>
    </row>
    <row r="9" spans="1:4" x14ac:dyDescent="0.2">
      <c r="A9" s="5" t="s">
        <v>41</v>
      </c>
    </row>
    <row r="10" spans="1:4" x14ac:dyDescent="0.2">
      <c r="A10" s="2" t="s">
        <v>42</v>
      </c>
    </row>
    <row r="11" spans="1:4" x14ac:dyDescent="0.2">
      <c r="A11" s="2" t="s">
        <v>43</v>
      </c>
    </row>
    <row r="13" spans="1:4" x14ac:dyDescent="0.2">
      <c r="B13" s="8" t="s">
        <v>44</v>
      </c>
      <c r="C13" s="8" t="s">
        <v>45</v>
      </c>
      <c r="D13" s="8" t="s">
        <v>46</v>
      </c>
    </row>
    <row r="14" spans="1:4" x14ac:dyDescent="0.2">
      <c r="B14" s="2">
        <v>-5</v>
      </c>
      <c r="C14" s="9">
        <f ca="1">CORREL(OFFSET('3. Cleaned Data'!$J$9,0,0,1033,1),OFFSET('3. Cleaned Data'!$I$4,0,0,1033,1))</f>
        <v>-2.3454611305682018E-2</v>
      </c>
      <c r="D14" s="2" t="s">
        <v>47</v>
      </c>
    </row>
    <row r="15" spans="1:4" x14ac:dyDescent="0.2">
      <c r="B15" s="2">
        <v>-4</v>
      </c>
      <c r="C15" s="9">
        <f ca="1">CORREL(OFFSET('3. Cleaned Data'!$J$8,0,0,1034,1),OFFSET('3. Cleaned Data'!$I$4,0,0,1034,1))</f>
        <v>-5.6303727448237001E-2</v>
      </c>
      <c r="D15" s="2" t="s">
        <v>47</v>
      </c>
    </row>
    <row r="16" spans="1:4" x14ac:dyDescent="0.2">
      <c r="B16" s="2">
        <v>-3</v>
      </c>
      <c r="C16" s="9">
        <f ca="1">CORREL(OFFSET('3. Cleaned Data'!$J$7,0,0,1035,1),OFFSET('3. Cleaned Data'!$I$4,0,0,1035,1))</f>
        <v>-5.9522676743631433E-3</v>
      </c>
      <c r="D16" s="2" t="s">
        <v>47</v>
      </c>
    </row>
    <row r="17" spans="1:4" x14ac:dyDescent="0.2">
      <c r="B17" s="2">
        <v>-2</v>
      </c>
      <c r="C17" s="9">
        <f ca="1">CORREL(OFFSET('3. Cleaned Data'!$J$6,0,0,1036,1),OFFSET('3. Cleaned Data'!$I$4,0,0,1036,1))</f>
        <v>-1.8589523023051505E-2</v>
      </c>
      <c r="D17" s="2" t="s">
        <v>47</v>
      </c>
    </row>
    <row r="18" spans="1:4" x14ac:dyDescent="0.2">
      <c r="B18" s="2">
        <v>-1</v>
      </c>
      <c r="C18" s="9">
        <f ca="1">CORREL(OFFSET('3. Cleaned Data'!$J$5,0,0,1037,1),OFFSET('3. Cleaned Data'!$I$4,0,0,1037,1))</f>
        <v>-1.5554268050256866E-2</v>
      </c>
      <c r="D18" s="2" t="s">
        <v>47</v>
      </c>
    </row>
    <row r="19" spans="1:4" x14ac:dyDescent="0.2">
      <c r="B19" s="2">
        <v>0</v>
      </c>
      <c r="C19" s="9">
        <f ca="1">CORREL(OFFSET('3. Cleaned Data'!$J$4,0,0,1038,1),OFFSET('3. Cleaned Data'!$I$4,0,0,1038,1))</f>
        <v>-1.9871591648361039E-2</v>
      </c>
      <c r="D19" s="2" t="s">
        <v>48</v>
      </c>
    </row>
    <row r="20" spans="1:4" x14ac:dyDescent="0.2">
      <c r="B20" s="2">
        <v>1</v>
      </c>
      <c r="C20" s="9">
        <f ca="1">CORREL(OFFSET('3. Cleaned Data'!$J$4,0,0,1037,1),OFFSET('3. Cleaned Data'!$I$5,0,0,1037,1))</f>
        <v>0.15621082046214013</v>
      </c>
      <c r="D20" s="2" t="s">
        <v>49</v>
      </c>
    </row>
    <row r="21" spans="1:4" x14ac:dyDescent="0.2">
      <c r="B21" s="2">
        <v>2</v>
      </c>
      <c r="C21" s="9">
        <f ca="1">CORREL(OFFSET('3. Cleaned Data'!$J$4,0,0,1036,1),OFFSET('3. Cleaned Data'!$I$6,0,0,1036,1))</f>
        <v>0.17913678182491297</v>
      </c>
      <c r="D21" s="2" t="s">
        <v>49</v>
      </c>
    </row>
    <row r="22" spans="1:4" x14ac:dyDescent="0.2">
      <c r="B22" s="2">
        <v>3</v>
      </c>
      <c r="C22" s="9">
        <f ca="1">CORREL(OFFSET('3. Cleaned Data'!$J$4,0,0,1035,1),OFFSET('3. Cleaned Data'!$I$7,0,0,1035,1))</f>
        <v>0.19939016798980319</v>
      </c>
      <c r="D22" s="2" t="s">
        <v>49</v>
      </c>
    </row>
    <row r="23" spans="1:4" x14ac:dyDescent="0.2">
      <c r="B23" s="2">
        <v>4</v>
      </c>
      <c r="C23" s="9">
        <f ca="1">CORREL(OFFSET('3. Cleaned Data'!$J$4,0,0,1034,1),OFFSET('3. Cleaned Data'!$I$8,0,0,1034,1))</f>
        <v>0.12376620830118287</v>
      </c>
      <c r="D23" s="2" t="s">
        <v>49</v>
      </c>
    </row>
    <row r="24" spans="1:4" x14ac:dyDescent="0.2">
      <c r="B24" s="2">
        <v>5</v>
      </c>
      <c r="C24" s="9">
        <f ca="1">CORREL(OFFSET('3. Cleaned Data'!$J$4,0,0,1033,1),OFFSET('3. Cleaned Data'!$I$9,0,0,1033,1))</f>
        <v>0.14489653921295248</v>
      </c>
      <c r="D24" s="2" t="s">
        <v>49</v>
      </c>
    </row>
    <row r="25" spans="1:4" x14ac:dyDescent="0.2">
      <c r="B25" s="2">
        <v>6</v>
      </c>
      <c r="C25" s="9">
        <f ca="1">CORREL(OFFSET('3. Cleaned Data'!$J$4,0,0,1032,1),OFFSET('3. Cleaned Data'!$I$10,0,0,1032,1))</f>
        <v>0.12856922646039584</v>
      </c>
      <c r="D25" s="2" t="s">
        <v>49</v>
      </c>
    </row>
    <row r="26" spans="1:4" x14ac:dyDescent="0.2">
      <c r="B26" s="2">
        <v>7</v>
      </c>
      <c r="C26" s="9">
        <f ca="1">CORREL(OFFSET('3. Cleaned Data'!$J$4,0,0,1031,1),OFFSET('3. Cleaned Data'!$I$11,0,0,1031,1))</f>
        <v>1.6967556096386415E-3</v>
      </c>
      <c r="D26" s="2" t="s">
        <v>49</v>
      </c>
    </row>
    <row r="28" spans="1:4" x14ac:dyDescent="0.2">
      <c r="B28" s="2" t="s">
        <v>50</v>
      </c>
    </row>
    <row r="29" spans="1:4" x14ac:dyDescent="0.2">
      <c r="B29" s="5" t="s">
        <v>51</v>
      </c>
    </row>
    <row r="31" spans="1:4" x14ac:dyDescent="0.2">
      <c r="A31" s="5" t="s">
        <v>52</v>
      </c>
    </row>
    <row r="32" spans="1:4" x14ac:dyDescent="0.2">
      <c r="B32" s="8"/>
      <c r="C32" s="8" t="s">
        <v>53</v>
      </c>
      <c r="D32" s="8" t="s">
        <v>54</v>
      </c>
    </row>
    <row r="33" spans="2:4" x14ac:dyDescent="0.2">
      <c r="B33" s="2" t="s">
        <v>55</v>
      </c>
      <c r="C33" s="10">
        <v>0.17150000000000001</v>
      </c>
      <c r="D33" s="11">
        <v>1.52</v>
      </c>
    </row>
    <row r="34" spans="2:4" x14ac:dyDescent="0.2">
      <c r="B34" s="2" t="s">
        <v>56</v>
      </c>
      <c r="C34" s="10">
        <v>0.10539999999999999</v>
      </c>
      <c r="D34" s="11">
        <v>0.7</v>
      </c>
    </row>
    <row r="35" spans="2:4" x14ac:dyDescent="0.2">
      <c r="B35" s="2" t="s">
        <v>57</v>
      </c>
    </row>
    <row r="36" spans="2:4" x14ac:dyDescent="0.2">
      <c r="B36" s="2" t="s">
        <v>58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1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6" width="11" customWidth="1"/>
    <col min="7" max="7" width="12" customWidth="1"/>
    <col min="8" max="8" width="15" customWidth="1"/>
    <col min="9" max="9" width="11" customWidth="1"/>
    <col min="10" max="10" width="13" customWidth="1"/>
  </cols>
  <sheetData>
    <row r="1" spans="1:10" ht="18" x14ac:dyDescent="0.2">
      <c r="A1" s="1" t="s">
        <v>59</v>
      </c>
    </row>
    <row r="3" spans="1:10" ht="28" x14ac:dyDescent="0.2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</row>
    <row r="4" spans="1:10" x14ac:dyDescent="0.2">
      <c r="A4" s="12">
        <v>42327</v>
      </c>
      <c r="B4" s="13">
        <v>13.7685396576</v>
      </c>
      <c r="C4" s="13">
        <v>116.44000200000001</v>
      </c>
      <c r="D4" s="13">
        <v>116.650002</v>
      </c>
      <c r="E4" s="13">
        <v>115.739998</v>
      </c>
      <c r="F4" s="13">
        <v>116.05999799999999</v>
      </c>
      <c r="G4" s="13">
        <v>108.28160099999999</v>
      </c>
      <c r="H4" s="13">
        <v>108.28160099999999</v>
      </c>
      <c r="J4" s="14">
        <f>IF(COUNT(B4)=0,"",B4-(INTERCEPT('3. Cleaned Data'!$B$4:$B$1041,'3. Cleaned Data'!$H$4:$H$1041)+SLOPE('3. Cleaned Data'!$B$4:$B$1041,'3. Cleaned Data'!$H$4:$H$1041)*H4))</f>
        <v>0.75418652352589</v>
      </c>
    </row>
    <row r="5" spans="1:10" x14ac:dyDescent="0.2">
      <c r="A5" s="12">
        <v>42328</v>
      </c>
      <c r="B5" s="13">
        <v>13.608818661600001</v>
      </c>
      <c r="C5" s="13">
        <v>116.480003</v>
      </c>
      <c r="D5" s="13">
        <v>117.360001</v>
      </c>
      <c r="E5" s="13">
        <v>116.379997</v>
      </c>
      <c r="F5" s="13">
        <v>116.80999799999999</v>
      </c>
      <c r="G5" s="13">
        <v>108.981323</v>
      </c>
      <c r="H5" s="13">
        <v>108.981323</v>
      </c>
      <c r="I5" s="14">
        <f t="shared" ref="I5:I68" si="0">H5/H4-1</f>
        <v>6.4620581293399759E-3</v>
      </c>
      <c r="J5" s="14">
        <f>IF(COUNT(B5)=0,"",B5-(INTERCEPT('3. Cleaned Data'!$B$4:$B$1041,'3. Cleaned Data'!$H$4:$H$1041)+SLOPE('3. Cleaned Data'!$B$4:$B$1041,'3. Cleaned Data'!$H$4:$H$1041)*H5))</f>
        <v>0.49874885641420619</v>
      </c>
    </row>
    <row r="6" spans="1:10" x14ac:dyDescent="0.2">
      <c r="A6" s="12">
        <v>42331</v>
      </c>
      <c r="B6" s="13">
        <v>12.9905888508</v>
      </c>
      <c r="C6" s="13">
        <v>116.709999</v>
      </c>
      <c r="D6" s="13">
        <v>117.889999</v>
      </c>
      <c r="E6" s="13">
        <v>116.68</v>
      </c>
      <c r="F6" s="13">
        <v>117.389999</v>
      </c>
      <c r="G6" s="13">
        <v>109.522453</v>
      </c>
      <c r="H6" s="13">
        <v>109.522453</v>
      </c>
      <c r="I6" s="14">
        <f t="shared" si="0"/>
        <v>4.9653462180854202E-3</v>
      </c>
      <c r="J6" s="14">
        <f>IF(COUNT(B6)=0,"",B6-(INTERCEPT('3. Cleaned Data'!$B$4:$B$1041,'3. Cleaned Data'!$H$4:$H$1041)+SLOPE('3. Cleaned Data'!$B$4:$B$1041,'3. Cleaned Data'!$H$4:$H$1041)*H6))</f>
        <v>-0.19350344079992254</v>
      </c>
    </row>
    <row r="7" spans="1:10" x14ac:dyDescent="0.2">
      <c r="A7" s="12">
        <v>42332</v>
      </c>
      <c r="B7" s="13">
        <v>12.667435014</v>
      </c>
      <c r="C7" s="13">
        <v>116.879997</v>
      </c>
      <c r="D7" s="13">
        <v>118.41999800000001</v>
      </c>
      <c r="E7" s="13">
        <v>116.55999799999999</v>
      </c>
      <c r="F7" s="13">
        <v>118.25</v>
      </c>
      <c r="G7" s="13">
        <v>110.324837</v>
      </c>
      <c r="H7" s="13">
        <v>110.324837</v>
      </c>
      <c r="I7" s="14">
        <f t="shared" si="0"/>
        <v>7.3262055224421196E-3</v>
      </c>
      <c r="J7" s="14">
        <f>IF(COUNT(B7)=0,"",B7-(INTERCEPT('3. Cleaned Data'!$B$4:$B$1041,'3. Cleaned Data'!$H$4:$H$1041)+SLOPE('3. Cleaned Data'!$B$4:$B$1041,'3. Cleaned Data'!$H$4:$H$1041)*H7))</f>
        <v>-0.62641733292657875</v>
      </c>
    </row>
    <row r="8" spans="1:10" x14ac:dyDescent="0.2">
      <c r="A8" s="12">
        <v>42333</v>
      </c>
      <c r="B8" s="13">
        <v>13.0199100108</v>
      </c>
      <c r="C8" s="13">
        <v>118.300003</v>
      </c>
      <c r="D8" s="13">
        <v>119.32</v>
      </c>
      <c r="E8" s="13">
        <v>118.110001</v>
      </c>
      <c r="F8" s="13">
        <v>119.16999800000001</v>
      </c>
      <c r="G8" s="13">
        <v>111.183159</v>
      </c>
      <c r="H8" s="13">
        <v>111.183159</v>
      </c>
      <c r="I8" s="14">
        <f t="shared" si="0"/>
        <v>7.7799525776776068E-3</v>
      </c>
      <c r="J8" s="14">
        <f>IF(COUNT(B8)=0,"",B8-(INTERCEPT('3. Cleaned Data'!$B$4:$B$1041,'3. Cleaned Data'!$H$4:$H$1041)+SLOPE('3. Cleaned Data'!$B$4:$B$1041,'3. Cleaned Data'!$H$4:$H$1041)*H8))</f>
        <v>-0.39135428627524327</v>
      </c>
    </row>
    <row r="9" spans="1:10" x14ac:dyDescent="0.2">
      <c r="A9" s="12">
        <v>42335</v>
      </c>
      <c r="B9" s="13">
        <v>12.8798191188</v>
      </c>
      <c r="C9" s="13">
        <v>119.269997</v>
      </c>
      <c r="D9" s="13">
        <v>119.900002</v>
      </c>
      <c r="E9" s="13">
        <v>118.879997</v>
      </c>
      <c r="F9" s="13">
        <v>119.620003</v>
      </c>
      <c r="G9" s="13">
        <v>111.602997</v>
      </c>
      <c r="H9" s="13">
        <v>111.602997</v>
      </c>
      <c r="I9" s="14">
        <f t="shared" si="0"/>
        <v>3.7760934639390342E-3</v>
      </c>
      <c r="J9" s="14">
        <f>IF(COUNT(B9)=0,"",B9-(INTERCEPT('3. Cleaned Data'!$B$4:$B$1041,'3. Cleaned Data'!$H$4:$H$1041)+SLOPE('3. Cleaned Data'!$B$4:$B$1041,'3. Cleaned Data'!$H$4:$H$1041)*H9))</f>
        <v>-0.58887583754590622</v>
      </c>
    </row>
    <row r="10" spans="1:10" x14ac:dyDescent="0.2">
      <c r="A10" s="12">
        <v>42338</v>
      </c>
      <c r="B10" s="13">
        <v>13.1847914496</v>
      </c>
      <c r="C10" s="13">
        <v>120.019997</v>
      </c>
      <c r="D10" s="13">
        <v>120.07</v>
      </c>
      <c r="E10" s="13">
        <v>119.050003</v>
      </c>
      <c r="F10" s="13">
        <v>119.099998</v>
      </c>
      <c r="G10" s="13">
        <v>111.117851</v>
      </c>
      <c r="H10" s="13">
        <v>111.117851</v>
      </c>
      <c r="I10" s="14">
        <f t="shared" si="0"/>
        <v>-4.3470696400742526E-3</v>
      </c>
      <c r="J10" s="14">
        <f>IF(COUNT(B10)=0,"",B10-(INTERCEPT('3. Cleaned Data'!$B$4:$B$1041,'3. Cleaned Data'!$H$4:$H$1041)+SLOPE('3. Cleaned Data'!$B$4:$B$1041,'3. Cleaned Data'!$H$4:$H$1041)*H10))</f>
        <v>-0.21753920760546208</v>
      </c>
    </row>
    <row r="11" spans="1:10" x14ac:dyDescent="0.2">
      <c r="A11" s="12">
        <v>42339</v>
      </c>
      <c r="B11" s="13">
        <v>12.9226314672</v>
      </c>
      <c r="C11" s="13">
        <v>119.610001</v>
      </c>
      <c r="D11" s="13">
        <v>119.910004</v>
      </c>
      <c r="E11" s="13">
        <v>118.900002</v>
      </c>
      <c r="F11" s="13">
        <v>119.889999</v>
      </c>
      <c r="G11" s="13">
        <v>111.85489699999999</v>
      </c>
      <c r="H11" s="13">
        <v>111.85489699999999</v>
      </c>
      <c r="I11" s="14">
        <f t="shared" si="0"/>
        <v>6.6330116481463364E-3</v>
      </c>
      <c r="J11" s="14">
        <f>IF(COUNT(B11)=0,"",B11-(INTERCEPT('3. Cleaned Data'!$B$4:$B$1041,'3. Cleaned Data'!$H$4:$H$1041)+SLOPE('3. Cleaned Data'!$B$4:$B$1041,'3. Cleaned Data'!$H$4:$H$1041)*H11))</f>
        <v>-0.58052150168950689</v>
      </c>
    </row>
    <row r="12" spans="1:10" x14ac:dyDescent="0.2">
      <c r="A12" s="12">
        <v>42340</v>
      </c>
      <c r="B12" s="13">
        <v>13.118075576400001</v>
      </c>
      <c r="C12" s="13">
        <v>119.730003</v>
      </c>
      <c r="D12" s="13">
        <v>120.040001</v>
      </c>
      <c r="E12" s="13">
        <v>118.449997</v>
      </c>
      <c r="F12" s="13">
        <v>118.599998</v>
      </c>
      <c r="G12" s="13">
        <v>110.65136699999999</v>
      </c>
      <c r="H12" s="13">
        <v>110.65136699999999</v>
      </c>
      <c r="I12" s="14">
        <f t="shared" si="0"/>
        <v>-1.0759743491605911E-2</v>
      </c>
      <c r="J12" s="14">
        <f>IF(COUNT(B12)=0,"",B12-(INTERCEPT('3. Cleaned Data'!$B$4:$B$1041,'3. Cleaned Data'!$H$4:$H$1041)+SLOPE('3. Cleaned Data'!$B$4:$B$1041,'3. Cleaned Data'!$H$4:$H$1041)*H12))</f>
        <v>-0.22044360195119772</v>
      </c>
    </row>
    <row r="13" spans="1:10" x14ac:dyDescent="0.2">
      <c r="A13" s="12">
        <v>42341</v>
      </c>
      <c r="B13" s="13">
        <v>12.91653996</v>
      </c>
      <c r="C13" s="13">
        <v>118.93</v>
      </c>
      <c r="D13" s="13">
        <v>119.449997</v>
      </c>
      <c r="E13" s="13">
        <v>116.139999</v>
      </c>
      <c r="F13" s="13">
        <v>116.599998</v>
      </c>
      <c r="G13" s="13">
        <v>108.785408</v>
      </c>
      <c r="H13" s="13">
        <v>108.785408</v>
      </c>
      <c r="I13" s="14">
        <f t="shared" si="0"/>
        <v>-1.686340666717645E-2</v>
      </c>
      <c r="J13" s="14">
        <f>IF(COUNT(B13)=0,"",B13-(INTERCEPT('3. Cleaned Data'!$B$4:$B$1041,'3. Cleaned Data'!$H$4:$H$1041)+SLOPE('3. Cleaned Data'!$B$4:$B$1041,'3. Cleaned Data'!$H$4:$H$1041)*H13))</f>
        <v>-0.16673015670830615</v>
      </c>
    </row>
    <row r="14" spans="1:10" x14ac:dyDescent="0.2">
      <c r="A14" s="12">
        <v>42342</v>
      </c>
      <c r="B14" s="13">
        <v>13.155277996800001</v>
      </c>
      <c r="C14" s="13">
        <v>116.599998</v>
      </c>
      <c r="D14" s="13">
        <v>117.93</v>
      </c>
      <c r="E14" s="13">
        <v>116.339996</v>
      </c>
      <c r="F14" s="13">
        <v>117.779999</v>
      </c>
      <c r="G14" s="13">
        <v>109.88632200000001</v>
      </c>
      <c r="H14" s="13">
        <v>109.88632200000001</v>
      </c>
      <c r="I14" s="14">
        <f t="shared" si="0"/>
        <v>1.012005213052114E-2</v>
      </c>
      <c r="J14" s="14">
        <f>IF(COUNT(B14)=0,"",B14-(INTERCEPT('3. Cleaned Data'!$B$4:$B$1041,'3. Cleaned Data'!$H$4:$H$1041)+SLOPE('3. Cleaned Data'!$B$4:$B$1041,'3. Cleaned Data'!$H$4:$H$1041)*H14))</f>
        <v>-7.8588818683318351E-2</v>
      </c>
    </row>
    <row r="15" spans="1:10" x14ac:dyDescent="0.2">
      <c r="A15" s="12">
        <v>42345</v>
      </c>
      <c r="B15" s="13">
        <v>12.4302210924</v>
      </c>
      <c r="C15" s="13">
        <v>117.639999</v>
      </c>
      <c r="D15" s="13">
        <v>117.66999800000001</v>
      </c>
      <c r="E15" s="13">
        <v>115.510002</v>
      </c>
      <c r="F15" s="13">
        <v>116.010002</v>
      </c>
      <c r="G15" s="13">
        <v>108.23494700000001</v>
      </c>
      <c r="H15" s="13">
        <v>108.23494700000001</v>
      </c>
      <c r="I15" s="14">
        <f t="shared" si="0"/>
        <v>-1.5028030513206225E-2</v>
      </c>
      <c r="J15" s="14">
        <f>IF(COUNT(B15)=0,"",B15-(INTERCEPT('3. Cleaned Data'!$B$4:$B$1041,'3. Cleaned Data'!$H$4:$H$1041)+SLOPE('3. Cleaned Data'!$B$4:$B$1041,'3. Cleaned Data'!$H$4:$H$1041)*H15))</f>
        <v>-0.57775012775108969</v>
      </c>
    </row>
    <row r="16" spans="1:10" x14ac:dyDescent="0.2">
      <c r="A16" s="12">
        <v>42346</v>
      </c>
      <c r="B16" s="13">
        <v>13.0303351776</v>
      </c>
      <c r="C16" s="13">
        <v>114.959999</v>
      </c>
      <c r="D16" s="13">
        <v>116.010002</v>
      </c>
      <c r="E16" s="13">
        <v>114.459999</v>
      </c>
      <c r="F16" s="13">
        <v>115.370003</v>
      </c>
      <c r="G16" s="13">
        <v>107.637833</v>
      </c>
      <c r="H16" s="13">
        <v>107.637833</v>
      </c>
      <c r="I16" s="14">
        <f t="shared" si="0"/>
        <v>-5.5168318232742264E-3</v>
      </c>
      <c r="J16" s="14">
        <f>IF(COUNT(B16)=0,"",B16-(INTERCEPT('3. Cleaned Data'!$B$4:$B$1041,'3. Cleaned Data'!$H$4:$H$1041)+SLOPE('3. Cleaned Data'!$B$4:$B$1041,'3. Cleaned Data'!$H$4:$H$1041)*H16))</f>
        <v>0.10404463113672158</v>
      </c>
    </row>
    <row r="17" spans="1:10" x14ac:dyDescent="0.2">
      <c r="A17" s="12">
        <v>42347</v>
      </c>
      <c r="B17" s="13">
        <v>12.43960416</v>
      </c>
      <c r="C17" s="13">
        <v>115.029999</v>
      </c>
      <c r="D17" s="13">
        <v>116.16999800000001</v>
      </c>
      <c r="E17" s="13">
        <v>113.599998</v>
      </c>
      <c r="F17" s="13">
        <v>114.08000199999999</v>
      </c>
      <c r="G17" s="13">
        <v>106.434288</v>
      </c>
      <c r="H17" s="13">
        <v>106.434288</v>
      </c>
      <c r="I17" s="14">
        <f t="shared" si="0"/>
        <v>-1.1181430975110818E-2</v>
      </c>
      <c r="J17" s="14">
        <f>IF(COUNT(B17)=0,"",B17-(INTERCEPT('3. Cleaned Data'!$B$4:$B$1041,'3. Cleaned Data'!$H$4:$H$1041)+SLOPE('3. Cleaned Data'!$B$4:$B$1041,'3. Cleaned Data'!$H$4:$H$1041)*H17))</f>
        <v>-0.32205054403855193</v>
      </c>
    </row>
    <row r="18" spans="1:10" x14ac:dyDescent="0.2">
      <c r="A18" s="12">
        <v>42348</v>
      </c>
      <c r="B18" s="13">
        <v>13.24967112</v>
      </c>
      <c r="C18" s="13">
        <v>113.889999</v>
      </c>
      <c r="D18" s="13">
        <v>115.08000199999999</v>
      </c>
      <c r="E18" s="13">
        <v>113.650002</v>
      </c>
      <c r="F18" s="13">
        <v>114.459999</v>
      </c>
      <c r="G18" s="13">
        <v>106.78884100000001</v>
      </c>
      <c r="H18" s="13">
        <v>106.78884100000001</v>
      </c>
      <c r="I18" s="14">
        <f t="shared" si="0"/>
        <v>3.3311915423346328E-3</v>
      </c>
      <c r="J18" s="14">
        <f>IF(COUNT(B18)=0,"",B18-(INTERCEPT('3. Cleaned Data'!$B$4:$B$1041,'3. Cleaned Data'!$H$4:$H$1041)+SLOPE('3. Cleaned Data'!$B$4:$B$1041,'3. Cleaned Data'!$H$4:$H$1041)*H18))</f>
        <v>0.43951625033472475</v>
      </c>
    </row>
    <row r="19" spans="1:10" x14ac:dyDescent="0.2">
      <c r="A19" s="12">
        <v>42349</v>
      </c>
      <c r="B19" s="13">
        <v>13.067526081600001</v>
      </c>
      <c r="C19" s="13">
        <v>113.269997</v>
      </c>
      <c r="D19" s="13">
        <v>113.339996</v>
      </c>
      <c r="E19" s="13">
        <v>111.529999</v>
      </c>
      <c r="F19" s="13">
        <v>111.910004</v>
      </c>
      <c r="G19" s="13">
        <v>104.40973700000001</v>
      </c>
      <c r="H19" s="13">
        <v>104.40973700000001</v>
      </c>
      <c r="I19" s="14">
        <f t="shared" si="0"/>
        <v>-2.2278582459753449E-2</v>
      </c>
      <c r="J19" s="14">
        <f>IF(COUNT(B19)=0,"",B19-(INTERCEPT('3. Cleaned Data'!$B$4:$B$1041,'3. Cleaned Data'!$H$4:$H$1041)+SLOPE('3. Cleaned Data'!$B$4:$B$1041,'3. Cleaned Data'!$H$4:$H$1041)*H19))</f>
        <v>0.58281462390189809</v>
      </c>
    </row>
    <row r="20" spans="1:10" x14ac:dyDescent="0.2">
      <c r="A20" s="12">
        <v>42352</v>
      </c>
      <c r="B20" s="13">
        <v>13.054954843200001</v>
      </c>
      <c r="C20" s="13">
        <v>111.870003</v>
      </c>
      <c r="D20" s="13">
        <v>112.379997</v>
      </c>
      <c r="E20" s="13">
        <v>110.279999</v>
      </c>
      <c r="F20" s="13">
        <v>111.110001</v>
      </c>
      <c r="G20" s="13">
        <v>103.66336800000001</v>
      </c>
      <c r="H20" s="13">
        <v>103.66336800000001</v>
      </c>
      <c r="I20" s="14">
        <f t="shared" si="0"/>
        <v>-7.1484616420401936E-3</v>
      </c>
      <c r="J20" s="14">
        <f>IF(COUNT(B20)=0,"",B20-(INTERCEPT('3. Cleaned Data'!$B$4:$B$1041,'3. Cleaned Data'!$H$4:$H$1041)+SLOPE('3. Cleaned Data'!$B$4:$B$1041,'3. Cleaned Data'!$H$4:$H$1041)*H20))</f>
        <v>0.67234101298961058</v>
      </c>
    </row>
    <row r="21" spans="1:10" x14ac:dyDescent="0.2">
      <c r="A21" s="12">
        <v>42353</v>
      </c>
      <c r="B21" s="13">
        <v>12.231404892</v>
      </c>
      <c r="C21" s="13">
        <v>111.730003</v>
      </c>
      <c r="D21" s="13">
        <v>112.959999</v>
      </c>
      <c r="E21" s="13">
        <v>111.599998</v>
      </c>
      <c r="F21" s="13">
        <v>112.709999</v>
      </c>
      <c r="G21" s="13">
        <v>105.15612</v>
      </c>
      <c r="H21" s="13">
        <v>105.15612</v>
      </c>
      <c r="I21" s="14">
        <f t="shared" si="0"/>
        <v>1.4399995184412706E-2</v>
      </c>
      <c r="J21" s="14">
        <f>IF(COUNT(B21)=0,"",B21-(INTERCEPT('3. Cleaned Data'!$B$4:$B$1041,'3. Cleaned Data'!$H$4:$H$1041)+SLOPE('3. Cleaned Data'!$B$4:$B$1041,'3. Cleaned Data'!$H$4:$H$1041)*H21))</f>
        <v>-0.35540610827980323</v>
      </c>
    </row>
    <row r="22" spans="1:10" x14ac:dyDescent="0.2">
      <c r="A22" s="12">
        <v>42354</v>
      </c>
      <c r="B22" s="13">
        <v>13.0780739232</v>
      </c>
      <c r="C22" s="13">
        <v>113.489998</v>
      </c>
      <c r="D22" s="13">
        <v>114.650002</v>
      </c>
      <c r="E22" s="13">
        <v>112.83000199999999</v>
      </c>
      <c r="F22" s="13">
        <v>114.43</v>
      </c>
      <c r="G22" s="13">
        <v>106.760834</v>
      </c>
      <c r="H22" s="13">
        <v>106.760834</v>
      </c>
      <c r="I22" s="14">
        <f t="shared" si="0"/>
        <v>1.5260300589257314E-2</v>
      </c>
      <c r="J22" s="14">
        <f>IF(COUNT(B22)=0,"",B22-(INTERCEPT('3. Cleaned Data'!$B$4:$B$1041,'3. Cleaned Data'!$H$4:$H$1041)+SLOPE('3. Cleaned Data'!$B$4:$B$1041,'3. Cleaned Data'!$H$4:$H$1041)*H22))</f>
        <v>0.27175019905798159</v>
      </c>
    </row>
    <row r="23" spans="1:10" x14ac:dyDescent="0.2">
      <c r="A23" s="12">
        <v>42355</v>
      </c>
      <c r="B23" s="13">
        <v>12.4365794952</v>
      </c>
      <c r="C23" s="13">
        <v>114.910004</v>
      </c>
      <c r="D23" s="13">
        <v>114.94000200000001</v>
      </c>
      <c r="E23" s="13">
        <v>112.970001</v>
      </c>
      <c r="F23" s="13">
        <v>113.209999</v>
      </c>
      <c r="G23" s="13">
        <v>105.622612</v>
      </c>
      <c r="H23" s="13">
        <v>105.622612</v>
      </c>
      <c r="I23" s="14">
        <f t="shared" si="0"/>
        <v>-1.0661419149273432E-2</v>
      </c>
      <c r="J23" s="14">
        <f>IF(COUNT(B23)=0,"",B23-(INTERCEPT('3. Cleaned Data'!$B$4:$B$1041,'3. Cleaned Data'!$H$4:$H$1041)+SLOPE('3. Cleaned Data'!$B$4:$B$1041,'3. Cleaned Data'!$H$4:$H$1041)*H23))</f>
        <v>-0.21404407827348848</v>
      </c>
    </row>
    <row r="24" spans="1:10" x14ac:dyDescent="0.2">
      <c r="A24" s="12">
        <v>42356</v>
      </c>
      <c r="B24" s="13">
        <v>13.1074951896</v>
      </c>
      <c r="C24" s="13">
        <v>112.660004</v>
      </c>
      <c r="D24" s="13">
        <v>112.889999</v>
      </c>
      <c r="E24" s="13">
        <v>111.44000200000001</v>
      </c>
      <c r="F24" s="13">
        <v>111.480003</v>
      </c>
      <c r="G24" s="13">
        <v>104.008545</v>
      </c>
      <c r="H24" s="13">
        <v>104.008545</v>
      </c>
      <c r="I24" s="14">
        <f t="shared" si="0"/>
        <v>-1.52814531797415E-2</v>
      </c>
      <c r="J24" s="14">
        <f>IF(COUNT(B24)=0,"",B24-(INTERCEPT('3. Cleaned Data'!$B$4:$B$1041,'3. Cleaned Data'!$H$4:$H$1041)+SLOPE('3. Cleaned Data'!$B$4:$B$1041,'3. Cleaned Data'!$H$4:$H$1041)*H24))</f>
        <v>0.67766375956522573</v>
      </c>
    </row>
    <row r="25" spans="1:10" x14ac:dyDescent="0.2">
      <c r="A25" s="12">
        <v>42359</v>
      </c>
      <c r="B25" s="13">
        <v>12.488531206799999</v>
      </c>
      <c r="C25" s="13">
        <v>112.16999800000001</v>
      </c>
      <c r="D25" s="13">
        <v>112.629997</v>
      </c>
      <c r="E25" s="13">
        <v>111.5</v>
      </c>
      <c r="F25" s="13">
        <v>112.32</v>
      </c>
      <c r="G25" s="13">
        <v>104.792259</v>
      </c>
      <c r="H25" s="13">
        <v>104.792259</v>
      </c>
      <c r="I25" s="14">
        <f t="shared" si="0"/>
        <v>7.5350924291845978E-3</v>
      </c>
      <c r="J25" s="14">
        <f>IF(COUNT(B25)=0,"",B25-(INTERCEPT('3. Cleaned Data'!$B$4:$B$1041,'3. Cleaned Data'!$H$4:$H$1041)+SLOPE('3. Cleaned Data'!$B$4:$B$1041,'3. Cleaned Data'!$H$4:$H$1041)*H25))</f>
        <v>-4.8506363935828745E-2</v>
      </c>
    </row>
    <row r="26" spans="1:10" x14ac:dyDescent="0.2">
      <c r="A26" s="12">
        <v>42360</v>
      </c>
      <c r="B26" s="13">
        <v>12.9433300224</v>
      </c>
      <c r="C26" s="13">
        <v>112.639999</v>
      </c>
      <c r="D26" s="13">
        <v>113.519997</v>
      </c>
      <c r="E26" s="13">
        <v>111.790001</v>
      </c>
      <c r="F26" s="13">
        <v>113.349998</v>
      </c>
      <c r="G26" s="13">
        <v>105.753227</v>
      </c>
      <c r="H26" s="13">
        <v>105.753227</v>
      </c>
      <c r="I26" s="14">
        <f t="shared" si="0"/>
        <v>9.1702193384339825E-3</v>
      </c>
      <c r="J26" s="14">
        <f>IF(COUNT(B26)=0,"",B26-(INTERCEPT('3. Cleaned Data'!$B$4:$B$1041,'3. Cleaned Data'!$H$4:$H$1041)+SLOPE('3. Cleaned Data'!$B$4:$B$1041,'3. Cleaned Data'!$H$4:$H$1041)*H26))</f>
        <v>0.27483930597938055</v>
      </c>
    </row>
    <row r="27" spans="1:10" x14ac:dyDescent="0.2">
      <c r="A27" s="12">
        <v>42361</v>
      </c>
      <c r="B27" s="13">
        <v>12.95348508</v>
      </c>
      <c r="C27" s="13">
        <v>113.91999800000001</v>
      </c>
      <c r="D27" s="13">
        <v>114.959999</v>
      </c>
      <c r="E27" s="13">
        <v>113.730003</v>
      </c>
      <c r="F27" s="13">
        <v>114.779999</v>
      </c>
      <c r="G27" s="13">
        <v>107.087379</v>
      </c>
      <c r="H27" s="13">
        <v>107.087379</v>
      </c>
      <c r="I27" s="14">
        <f t="shared" si="0"/>
        <v>1.2615709589646862E-2</v>
      </c>
      <c r="J27" s="14">
        <f>IF(COUNT(B27)=0,"",B27-(INTERCEPT('3. Cleaned Data'!$B$4:$B$1041,'3. Cleaned Data'!$H$4:$H$1041)+SLOPE('3. Cleaned Data'!$B$4:$B$1041,'3. Cleaned Data'!$H$4:$H$1041)*H27))</f>
        <v>0.10249247254694716</v>
      </c>
    </row>
    <row r="28" spans="1:10" x14ac:dyDescent="0.2">
      <c r="A28" s="12">
        <v>42362</v>
      </c>
      <c r="B28" s="13">
        <v>12.5665888824</v>
      </c>
      <c r="C28" s="13">
        <v>114.44000200000001</v>
      </c>
      <c r="D28" s="13">
        <v>115.160004</v>
      </c>
      <c r="E28" s="13">
        <v>114.150002</v>
      </c>
      <c r="F28" s="13">
        <v>114.5</v>
      </c>
      <c r="G28" s="13">
        <v>107.289787</v>
      </c>
      <c r="H28" s="13">
        <v>107.289787</v>
      </c>
      <c r="I28" s="14">
        <f t="shared" si="0"/>
        <v>1.8901200299243914E-3</v>
      </c>
      <c r="J28" s="14">
        <f>IF(COUNT(B28)=0,"",B28-(INTERCEPT('3. Cleaned Data'!$B$4:$B$1041,'3. Cleaned Data'!$H$4:$H$1041)+SLOPE('3. Cleaned Data'!$B$4:$B$1041,'3. Cleaned Data'!$H$4:$H$1041)*H28))</f>
        <v>-0.31209160676375447</v>
      </c>
    </row>
    <row r="29" spans="1:10" x14ac:dyDescent="0.2">
      <c r="A29" s="12">
        <v>42366</v>
      </c>
      <c r="B29" s="13">
        <v>13.1699153664</v>
      </c>
      <c r="C29" s="13">
        <v>113.980003</v>
      </c>
      <c r="D29" s="13">
        <v>114.07</v>
      </c>
      <c r="E29" s="13">
        <v>112.959999</v>
      </c>
      <c r="F29" s="13">
        <v>113.970001</v>
      </c>
      <c r="G29" s="13">
        <v>106.79315200000001</v>
      </c>
      <c r="H29" s="13">
        <v>106.79315200000001</v>
      </c>
      <c r="I29" s="14">
        <f t="shared" si="0"/>
        <v>-4.6289121629069507E-3</v>
      </c>
      <c r="J29" s="14">
        <f>IF(COUNT(B29)=0,"",B29-(INTERCEPT('3. Cleaned Data'!$B$4:$B$1041,'3. Cleaned Data'!$H$4:$H$1041)+SLOPE('3. Cleaned Data'!$B$4:$B$1041,'3. Cleaned Data'!$H$4:$H$1041)*H29))</f>
        <v>0.35917078457880613</v>
      </c>
    </row>
    <row r="30" spans="1:10" x14ac:dyDescent="0.2">
      <c r="A30" s="12">
        <v>42367</v>
      </c>
      <c r="B30" s="13">
        <v>12.988398402</v>
      </c>
      <c r="C30" s="13">
        <v>114.480003</v>
      </c>
      <c r="D30" s="13">
        <v>115.290001</v>
      </c>
      <c r="E30" s="13">
        <v>114.07</v>
      </c>
      <c r="F30" s="13">
        <v>115.199997</v>
      </c>
      <c r="G30" s="13">
        <v>107.94570899999999</v>
      </c>
      <c r="H30" s="13">
        <v>107.94570899999999</v>
      </c>
      <c r="I30" s="14">
        <f t="shared" si="0"/>
        <v>1.0792424218361685E-2</v>
      </c>
      <c r="J30" s="14">
        <f>IF(COUNT(B30)=0,"",B30-(INTERCEPT('3. Cleaned Data'!$B$4:$B$1041,'3. Cleaned Data'!$H$4:$H$1041)+SLOPE('3. Cleaned Data'!$B$4:$B$1041,'3. Cleaned Data'!$H$4:$H$1041)*H30))</f>
        <v>1.9992750058859698E-2</v>
      </c>
    </row>
    <row r="31" spans="1:10" x14ac:dyDescent="0.2">
      <c r="A31" s="12">
        <v>42368</v>
      </c>
      <c r="B31" s="13">
        <v>12.644827106399999</v>
      </c>
      <c r="C31" s="13">
        <v>115.050003</v>
      </c>
      <c r="D31" s="13">
        <v>115.349998</v>
      </c>
      <c r="E31" s="13">
        <v>114</v>
      </c>
      <c r="F31" s="13">
        <v>114.040001</v>
      </c>
      <c r="G31" s="13">
        <v>106.858749</v>
      </c>
      <c r="H31" s="13">
        <v>106.858749</v>
      </c>
      <c r="I31" s="14">
        <f t="shared" si="0"/>
        <v>-1.0069506329334454E-2</v>
      </c>
      <c r="J31" s="14">
        <f>IF(COUNT(B31)=0,"",B31-(INTERCEPT('3. Cleaned Data'!$B$4:$B$1041,'3. Cleaned Data'!$H$4:$H$1041)+SLOPE('3. Cleaned Data'!$B$4:$B$1041,'3. Cleaned Data'!$H$4:$H$1041)*H31))</f>
        <v>-0.17489064830258449</v>
      </c>
    </row>
    <row r="32" spans="1:10" x14ac:dyDescent="0.2">
      <c r="A32" s="12">
        <v>42369</v>
      </c>
      <c r="B32" s="13">
        <v>11.963824320000001</v>
      </c>
      <c r="C32" s="13">
        <v>113.55999799999999</v>
      </c>
      <c r="D32" s="13">
        <v>113.970001</v>
      </c>
      <c r="E32" s="13">
        <v>112.510002</v>
      </c>
      <c r="F32" s="13">
        <v>112.620003</v>
      </c>
      <c r="G32" s="13">
        <v>105.52816799999999</v>
      </c>
      <c r="H32" s="13">
        <v>105.52816799999999</v>
      </c>
      <c r="I32" s="14">
        <f t="shared" si="0"/>
        <v>-1.2451774070460164E-2</v>
      </c>
      <c r="J32" s="14">
        <f>IF(COUNT(B32)=0,"",B32-(INTERCEPT('3. Cleaned Data'!$B$4:$B$1041,'3. Cleaned Data'!$H$4:$H$1041)+SLOPE('3. Cleaned Data'!$B$4:$B$1041,'3. Cleaned Data'!$H$4:$H$1041)*H32))</f>
        <v>-0.67388002942954905</v>
      </c>
    </row>
    <row r="33" spans="1:10" x14ac:dyDescent="0.2">
      <c r="A33" s="12">
        <v>42373</v>
      </c>
      <c r="B33" s="13">
        <v>12.475991808</v>
      </c>
      <c r="C33" s="13">
        <v>110.610001</v>
      </c>
      <c r="D33" s="13">
        <v>110.83000199999999</v>
      </c>
      <c r="E33" s="13">
        <v>109.08000199999999</v>
      </c>
      <c r="F33" s="13">
        <v>110.010002</v>
      </c>
      <c r="G33" s="13">
        <v>103.082527</v>
      </c>
      <c r="H33" s="13">
        <v>103.082527</v>
      </c>
      <c r="I33" s="14">
        <f t="shared" si="0"/>
        <v>-2.317524359941503E-2</v>
      </c>
      <c r="J33" s="14">
        <f>IF(COUNT(B33)=0,"",B33-(INTERCEPT('3. Cleaned Data'!$B$4:$B$1041,'3. Cleaned Data'!$H$4:$H$1041)+SLOPE('3. Cleaned Data'!$B$4:$B$1041,'3. Cleaned Data'!$H$4:$H$1041)*H33))</f>
        <v>0.17283262830107304</v>
      </c>
    </row>
    <row r="34" spans="1:10" x14ac:dyDescent="0.2">
      <c r="A34" s="12">
        <v>42374</v>
      </c>
      <c r="B34" s="13">
        <v>11.09339016</v>
      </c>
      <c r="C34" s="13">
        <v>110.410004</v>
      </c>
      <c r="D34" s="13">
        <v>110.58000199999999</v>
      </c>
      <c r="E34" s="13">
        <v>109.550003</v>
      </c>
      <c r="F34" s="13">
        <v>110.25</v>
      </c>
      <c r="G34" s="13">
        <v>103.307411</v>
      </c>
      <c r="H34" s="13">
        <v>103.307411</v>
      </c>
      <c r="I34" s="14">
        <f t="shared" si="0"/>
        <v>2.1815918424274994E-3</v>
      </c>
      <c r="J34" s="14">
        <f>IF(COUNT(B34)=0,"",B34-(INTERCEPT('3. Cleaned Data'!$B$4:$B$1041,'3. Cleaned Data'!$H$4:$H$1041)+SLOPE('3. Cleaned Data'!$B$4:$B$1041,'3. Cleaned Data'!$H$4:$H$1041)*H34))</f>
        <v>-1.2405314480151439</v>
      </c>
    </row>
    <row r="35" spans="1:10" x14ac:dyDescent="0.2">
      <c r="A35" s="12">
        <v>42375</v>
      </c>
      <c r="B35" s="13">
        <v>11.161586419200001</v>
      </c>
      <c r="C35" s="13">
        <v>108.699997</v>
      </c>
      <c r="D35" s="13">
        <v>109.599998</v>
      </c>
      <c r="E35" s="13">
        <v>108</v>
      </c>
      <c r="F35" s="13">
        <v>108.57</v>
      </c>
      <c r="G35" s="13">
        <v>101.7332</v>
      </c>
      <c r="H35" s="13">
        <v>101.7332</v>
      </c>
      <c r="I35" s="14">
        <f t="shared" si="0"/>
        <v>-1.5238122655111375E-2</v>
      </c>
      <c r="J35" s="14">
        <f>IF(COUNT(B35)=0,"",B35-(INTERCEPT('3. Cleaned Data'!$B$4:$B$1041,'3. Cleaned Data'!$H$4:$H$1041)+SLOPE('3. Cleaned Data'!$B$4:$B$1041,'3. Cleaned Data'!$H$4:$H$1041)*H35))</f>
        <v>-0.95699504437578398</v>
      </c>
    </row>
    <row r="36" spans="1:10" x14ac:dyDescent="0.2">
      <c r="A36" s="12">
        <v>42376</v>
      </c>
      <c r="B36" s="13">
        <v>12.0113536932</v>
      </c>
      <c r="C36" s="13">
        <v>106.720001</v>
      </c>
      <c r="D36" s="13">
        <v>107.5</v>
      </c>
      <c r="E36" s="13">
        <v>105.489998</v>
      </c>
      <c r="F36" s="13">
        <v>105.66999800000001</v>
      </c>
      <c r="G36" s="13">
        <v>99.015808000000007</v>
      </c>
      <c r="H36" s="13">
        <v>99.015808000000007</v>
      </c>
      <c r="I36" s="14">
        <f t="shared" si="0"/>
        <v>-2.6710965545170939E-2</v>
      </c>
      <c r="J36" s="14">
        <f>IF(COUNT(B36)=0,"",B36-(INTERCEPT('3. Cleaned Data'!$B$4:$B$1041,'3. Cleaned Data'!$H$4:$H$1041)+SLOPE('3. Cleaned Data'!$B$4:$B$1041,'3. Cleaned Data'!$H$4:$H$1041)*H36))</f>
        <v>0.26449087838118324</v>
      </c>
    </row>
    <row r="37" spans="1:10" x14ac:dyDescent="0.2">
      <c r="A37" s="12">
        <v>42377</v>
      </c>
      <c r="B37" s="13">
        <v>10.722718818000001</v>
      </c>
      <c r="C37" s="13">
        <v>105.870003</v>
      </c>
      <c r="D37" s="13">
        <v>106.489998</v>
      </c>
      <c r="E37" s="13">
        <v>103.660004</v>
      </c>
      <c r="F37" s="13">
        <v>103.849998</v>
      </c>
      <c r="G37" s="13">
        <v>97.31044</v>
      </c>
      <c r="H37" s="13">
        <v>97.31044</v>
      </c>
      <c r="I37" s="14">
        <f t="shared" si="0"/>
        <v>-1.7223189250750837E-2</v>
      </c>
      <c r="J37" s="14">
        <f>IF(COUNT(B37)=0,"",B37-(INTERCEPT('3. Cleaned Data'!$B$4:$B$1041,'3. Cleaned Data'!$H$4:$H$1041)+SLOPE('3. Cleaned Data'!$B$4:$B$1041,'3. Cleaned Data'!$H$4:$H$1041)*H37))</f>
        <v>-0.79086256793650023</v>
      </c>
    </row>
    <row r="38" spans="1:10" x14ac:dyDescent="0.2">
      <c r="A38" s="12">
        <v>42380</v>
      </c>
      <c r="B38" s="13">
        <v>11.328933963600001</v>
      </c>
      <c r="C38" s="13">
        <v>104.209999</v>
      </c>
      <c r="D38" s="13">
        <v>104.779999</v>
      </c>
      <c r="E38" s="13">
        <v>102.30999799999999</v>
      </c>
      <c r="F38" s="13">
        <v>103.400002</v>
      </c>
      <c r="G38" s="13">
        <v>96.888771000000006</v>
      </c>
      <c r="H38" s="13">
        <v>96.888771000000006</v>
      </c>
      <c r="I38" s="14">
        <f t="shared" si="0"/>
        <v>-4.3332349540294857E-3</v>
      </c>
      <c r="J38" s="14">
        <f>IF(COUNT(B38)=0,"",B38-(INTERCEPT('3. Cleaned Data'!$B$4:$B$1041,'3. Cleaned Data'!$H$4:$H$1041)+SLOPE('3. Cleaned Data'!$B$4:$B$1041,'3. Cleaned Data'!$H$4:$H$1041)*H38))</f>
        <v>-0.12696629613067323</v>
      </c>
    </row>
    <row r="39" spans="1:10" x14ac:dyDescent="0.2">
      <c r="A39" s="12">
        <v>42381</v>
      </c>
      <c r="B39" s="13">
        <v>10.8075252096</v>
      </c>
      <c r="C39" s="13">
        <v>104.220001</v>
      </c>
      <c r="D39" s="13">
        <v>104.989998</v>
      </c>
      <c r="E39" s="13">
        <v>101.94000200000001</v>
      </c>
      <c r="F39" s="13">
        <v>103.709999</v>
      </c>
      <c r="G39" s="13">
        <v>97.179237000000001</v>
      </c>
      <c r="H39" s="13">
        <v>97.179237000000001</v>
      </c>
      <c r="I39" s="14">
        <f t="shared" si="0"/>
        <v>2.9979325467963669E-3</v>
      </c>
      <c r="J39" s="14">
        <f>IF(COUNT(B39)=0,"",B39-(INTERCEPT('3. Cleaned Data'!$B$4:$B$1041,'3. Cleaned Data'!$H$4:$H$1041)+SLOPE('3. Cleaned Data'!$B$4:$B$1041,'3. Cleaned Data'!$H$4:$H$1041)*H39))</f>
        <v>-0.68810859944186831</v>
      </c>
    </row>
    <row r="40" spans="1:10" x14ac:dyDescent="0.2">
      <c r="A40" s="12">
        <v>42382</v>
      </c>
      <c r="B40" s="13">
        <v>11.661340698</v>
      </c>
      <c r="C40" s="13">
        <v>103.910004</v>
      </c>
      <c r="D40" s="13">
        <v>104.41999800000001</v>
      </c>
      <c r="E40" s="13">
        <v>99.650002000000001</v>
      </c>
      <c r="F40" s="13">
        <v>100.379997</v>
      </c>
      <c r="G40" s="13">
        <v>94.058937</v>
      </c>
      <c r="H40" s="13">
        <v>94.058937</v>
      </c>
      <c r="I40" s="14">
        <f t="shared" si="0"/>
        <v>-3.2108710629205728E-2</v>
      </c>
      <c r="J40" s="14">
        <f>IF(COUNT(B40)=0,"",B40-(INTERCEPT('3. Cleaned Data'!$B$4:$B$1041,'3. Cleaned Data'!$H$4:$H$1041)+SLOPE('3. Cleaned Data'!$B$4:$B$1041,'3. Cleaned Data'!$H$4:$H$1041)*H40))</f>
        <v>0.59254030118440326</v>
      </c>
    </row>
    <row r="41" spans="1:10" x14ac:dyDescent="0.2">
      <c r="A41" s="12">
        <v>42383</v>
      </c>
      <c r="B41" s="13">
        <v>11.709747252</v>
      </c>
      <c r="C41" s="13">
        <v>100.860001</v>
      </c>
      <c r="D41" s="13">
        <v>102.709999</v>
      </c>
      <c r="E41" s="13">
        <v>99.190002000000007</v>
      </c>
      <c r="F41" s="13">
        <v>101.769997</v>
      </c>
      <c r="G41" s="13">
        <v>95.361396999999997</v>
      </c>
      <c r="H41" s="13">
        <v>95.361396999999997</v>
      </c>
      <c r="I41" s="14">
        <f t="shared" si="0"/>
        <v>1.3847275352473876E-2</v>
      </c>
      <c r="J41" s="14">
        <f>IF(COUNT(B41)=0,"",B41-(INTERCEPT('3. Cleaned Data'!$B$4:$B$1041,'3. Cleaned Data'!$H$4:$H$1041)+SLOPE('3. Cleaned Data'!$B$4:$B$1041,'3. Cleaned Data'!$H$4:$H$1041)*H41))</f>
        <v>0.46278018977139013</v>
      </c>
    </row>
    <row r="42" spans="1:10" x14ac:dyDescent="0.2">
      <c r="A42" s="12">
        <v>42384</v>
      </c>
      <c r="B42" s="13">
        <v>11.682590346</v>
      </c>
      <c r="C42" s="13">
        <v>99.080001999999993</v>
      </c>
      <c r="D42" s="13">
        <v>100.290001</v>
      </c>
      <c r="E42" s="13">
        <v>97.510002</v>
      </c>
      <c r="F42" s="13">
        <v>100.120003</v>
      </c>
      <c r="G42" s="13">
        <v>93.815323000000006</v>
      </c>
      <c r="H42" s="13">
        <v>93.815323000000006</v>
      </c>
      <c r="I42" s="14">
        <f t="shared" si="0"/>
        <v>-1.6212786815612557E-2</v>
      </c>
      <c r="J42" s="14">
        <f>IF(COUNT(B42)=0,"",B42-(INTERCEPT('3. Cleaned Data'!$B$4:$B$1041,'3. Cleaned Data'!$H$4:$H$1041)+SLOPE('3. Cleaned Data'!$B$4:$B$1041,'3. Cleaned Data'!$H$4:$H$1041)*H42))</f>
        <v>0.6471144996718845</v>
      </c>
    </row>
    <row r="43" spans="1:10" x14ac:dyDescent="0.2">
      <c r="A43" s="12">
        <v>42388</v>
      </c>
      <c r="B43" s="13">
        <v>10.942455744</v>
      </c>
      <c r="C43" s="13">
        <v>101.07</v>
      </c>
      <c r="D43" s="13">
        <v>101.199997</v>
      </c>
      <c r="E43" s="13">
        <v>97.739998</v>
      </c>
      <c r="F43" s="13">
        <v>98.769997000000004</v>
      </c>
      <c r="G43" s="13">
        <v>92.550323000000006</v>
      </c>
      <c r="H43" s="13">
        <v>92.550323000000006</v>
      </c>
      <c r="I43" s="14">
        <f t="shared" si="0"/>
        <v>-1.3483938012983199E-2</v>
      </c>
      <c r="J43" s="14">
        <f>IF(COUNT(B43)=0,"",B43-(INTERCEPT('3. Cleaned Data'!$B$4:$B$1041,'3. Cleaned Data'!$H$4:$H$1041)+SLOPE('3. Cleaned Data'!$B$4:$B$1041,'3. Cleaned Data'!$H$4:$H$1041)*H43))</f>
        <v>8.0022318742368981E-2</v>
      </c>
    </row>
    <row r="44" spans="1:10" x14ac:dyDescent="0.2">
      <c r="A44" s="12">
        <v>42389</v>
      </c>
      <c r="B44" s="13">
        <v>11.4797555316</v>
      </c>
      <c r="C44" s="13">
        <v>97.43</v>
      </c>
      <c r="D44" s="13">
        <v>100.33000199999999</v>
      </c>
      <c r="E44" s="13">
        <v>95.059997999999993</v>
      </c>
      <c r="F44" s="13">
        <v>99.18</v>
      </c>
      <c r="G44" s="13">
        <v>92.934501999999995</v>
      </c>
      <c r="H44" s="13">
        <v>92.934501999999995</v>
      </c>
      <c r="I44" s="14">
        <f t="shared" si="0"/>
        <v>4.1510281925216663E-3</v>
      </c>
      <c r="J44" s="14">
        <f>IF(COUNT(B44)=0,"",B44-(INTERCEPT('3. Cleaned Data'!$B$4:$B$1041,'3. Cleaned Data'!$H$4:$H$1041)+SLOPE('3. Cleaned Data'!$B$4:$B$1041,'3. Cleaned Data'!$H$4:$H$1041)*H44))</f>
        <v>0.56476932825190751</v>
      </c>
    </row>
    <row r="45" spans="1:10" x14ac:dyDescent="0.2">
      <c r="A45" s="12">
        <v>42390</v>
      </c>
      <c r="B45" s="13">
        <v>10.913312102400001</v>
      </c>
      <c r="C45" s="13">
        <v>99.330001999999993</v>
      </c>
      <c r="D45" s="13">
        <v>100.910004</v>
      </c>
      <c r="E45" s="13">
        <v>98.379997000000003</v>
      </c>
      <c r="F45" s="13">
        <v>98.949996999999996</v>
      </c>
      <c r="G45" s="13">
        <v>92.718970999999996</v>
      </c>
      <c r="H45" s="13">
        <v>92.718970999999996</v>
      </c>
      <c r="I45" s="14">
        <f t="shared" si="0"/>
        <v>-2.319170979148244E-3</v>
      </c>
      <c r="J45" s="14">
        <f>IF(COUNT(B45)=0,"",B45-(INTERCEPT('3. Cleaned Data'!$B$4:$B$1041,'3. Cleaned Data'!$H$4:$H$1041)+SLOPE('3. Cleaned Data'!$B$4:$B$1041,'3. Cleaned Data'!$H$4:$H$1041)*H45))</f>
        <v>2.7808907791623483E-2</v>
      </c>
    </row>
    <row r="46" spans="1:10" x14ac:dyDescent="0.2">
      <c r="A46" s="12">
        <v>42391</v>
      </c>
      <c r="B46" s="13">
        <v>11.4359683536</v>
      </c>
      <c r="C46" s="13">
        <v>100.650002</v>
      </c>
      <c r="D46" s="13">
        <v>101.610001</v>
      </c>
      <c r="E46" s="13">
        <v>100.129997</v>
      </c>
      <c r="F46" s="13">
        <v>101.370003</v>
      </c>
      <c r="G46" s="13">
        <v>94.986594999999994</v>
      </c>
      <c r="H46" s="13">
        <v>94.986594999999994</v>
      </c>
      <c r="I46" s="14">
        <f t="shared" si="0"/>
        <v>2.4456958220556491E-2</v>
      </c>
      <c r="J46" s="14">
        <f>IF(COUNT(B46)=0,"",B46-(INTERCEPT('3. Cleaned Data'!$B$4:$B$1041,'3. Cleaned Data'!$H$4:$H$1041)+SLOPE('3. Cleaned Data'!$B$4:$B$1041,'3. Cleaned Data'!$H$4:$H$1041)*H46))</f>
        <v>0.2402713668670895</v>
      </c>
    </row>
    <row r="47" spans="1:10" x14ac:dyDescent="0.2">
      <c r="A47" s="12">
        <v>42394</v>
      </c>
      <c r="B47" s="13">
        <v>11.4336748224</v>
      </c>
      <c r="C47" s="13">
        <v>100.739998</v>
      </c>
      <c r="D47" s="13">
        <v>101.08000199999999</v>
      </c>
      <c r="E47" s="13">
        <v>98.849997999999999</v>
      </c>
      <c r="F47" s="13">
        <v>99.120002999999997</v>
      </c>
      <c r="G47" s="13">
        <v>92.878281000000001</v>
      </c>
      <c r="H47" s="13">
        <v>92.878281000000001</v>
      </c>
      <c r="I47" s="14">
        <f t="shared" si="0"/>
        <v>-2.2195910907217953E-2</v>
      </c>
      <c r="J47" s="14">
        <f>IF(COUNT(B47)=0,"",B47-(INTERCEPT('3. Cleaned Data'!$B$4:$B$1041,'3. Cleaned Data'!$H$4:$H$1041)+SLOPE('3. Cleaned Data'!$B$4:$B$1041,'3. Cleaned Data'!$H$4:$H$1041)*H47))</f>
        <v>0.52637922613095967</v>
      </c>
    </row>
    <row r="48" spans="1:10" x14ac:dyDescent="0.2">
      <c r="A48" s="12">
        <v>42395</v>
      </c>
      <c r="B48" s="13">
        <v>11.57717652</v>
      </c>
      <c r="C48" s="13">
        <v>99.519997000000004</v>
      </c>
      <c r="D48" s="13">
        <v>101.400002</v>
      </c>
      <c r="E48" s="13">
        <v>99.18</v>
      </c>
      <c r="F48" s="13">
        <v>101.099998</v>
      </c>
      <c r="G48" s="13">
        <v>94.733611999999994</v>
      </c>
      <c r="H48" s="13">
        <v>94.733611999999994</v>
      </c>
      <c r="I48" s="14">
        <f t="shared" si="0"/>
        <v>1.9975940338516684E-2</v>
      </c>
      <c r="J48" s="14">
        <f>IF(COUNT(B48)=0,"",B48-(INTERCEPT('3. Cleaned Data'!$B$4:$B$1041,'3. Cleaned Data'!$H$4:$H$1041)+SLOPE('3. Cleaned Data'!$B$4:$B$1041,'3. Cleaned Data'!$H$4:$H$1041)*H48))</f>
        <v>0.41608569200991496</v>
      </c>
    </row>
    <row r="49" spans="1:10" x14ac:dyDescent="0.2">
      <c r="A49" s="12">
        <v>42396</v>
      </c>
      <c r="B49" s="13">
        <v>11.6395709568</v>
      </c>
      <c r="C49" s="13">
        <v>100.589996</v>
      </c>
      <c r="D49" s="13">
        <v>101.589996</v>
      </c>
      <c r="E49" s="13">
        <v>99.059997999999993</v>
      </c>
      <c r="F49" s="13">
        <v>99.709998999999996</v>
      </c>
      <c r="G49" s="13">
        <v>93.431113999999994</v>
      </c>
      <c r="H49" s="13">
        <v>93.431113999999994</v>
      </c>
      <c r="I49" s="14">
        <f t="shared" si="0"/>
        <v>-1.3749058781797552E-2</v>
      </c>
      <c r="J49" s="14">
        <f>IF(COUNT(B49)=0,"",B49-(INTERCEPT('3. Cleaned Data'!$B$4:$B$1041,'3. Cleaned Data'!$H$4:$H$1041)+SLOPE('3. Cleaned Data'!$B$4:$B$1041,'3. Cleaned Data'!$H$4:$H$1041)*H49))</f>
        <v>0.65665199233518301</v>
      </c>
    </row>
    <row r="50" spans="1:10" x14ac:dyDescent="0.2">
      <c r="A50" s="12">
        <v>42397</v>
      </c>
      <c r="B50" s="13">
        <v>10.71203736</v>
      </c>
      <c r="C50" s="13">
        <v>100.550003</v>
      </c>
      <c r="D50" s="13">
        <v>100.949997</v>
      </c>
      <c r="E50" s="13">
        <v>99.220000999999996</v>
      </c>
      <c r="F50" s="13">
        <v>99.690002000000007</v>
      </c>
      <c r="G50" s="13">
        <v>93.412375999999995</v>
      </c>
      <c r="H50" s="13">
        <v>93.412375999999995</v>
      </c>
      <c r="I50" s="14">
        <f t="shared" si="0"/>
        <v>-2.0055417513265006E-4</v>
      </c>
      <c r="J50" s="14">
        <f>IF(COUNT(B50)=0,"",B50-(INTERCEPT('3. Cleaned Data'!$B$4:$B$1041,'3. Cleaned Data'!$H$4:$H$1041)+SLOPE('3. Cleaned Data'!$B$4:$B$1041,'3. Cleaned Data'!$H$4:$H$1041)*H50))</f>
        <v>-0.26831838795412999</v>
      </c>
    </row>
    <row r="51" spans="1:10" x14ac:dyDescent="0.2">
      <c r="A51" s="12">
        <v>42398</v>
      </c>
      <c r="B51" s="13">
        <v>10.725924726000001</v>
      </c>
      <c r="C51" s="13">
        <v>100.040001</v>
      </c>
      <c r="D51" s="13">
        <v>102.980003</v>
      </c>
      <c r="E51" s="13">
        <v>99.959998999999996</v>
      </c>
      <c r="F51" s="13">
        <v>102.959999</v>
      </c>
      <c r="G51" s="13">
        <v>96.476471000000004</v>
      </c>
      <c r="H51" s="13">
        <v>96.476471000000004</v>
      </c>
      <c r="I51" s="14">
        <f t="shared" si="0"/>
        <v>3.2801809901506163E-2</v>
      </c>
      <c r="J51" s="14">
        <f>IF(COUNT(B51)=0,"",B51-(INTERCEPT('3. Cleaned Data'!$B$4:$B$1041,'3. Cleaned Data'!$H$4:$H$1041)+SLOPE('3. Cleaned Data'!$B$4:$B$1041,'3. Cleaned Data'!$H$4:$H$1041)*H51))</f>
        <v>-0.67357601578019199</v>
      </c>
    </row>
    <row r="52" spans="1:10" x14ac:dyDescent="0.2">
      <c r="A52" s="12">
        <v>42401</v>
      </c>
      <c r="B52" s="13">
        <v>11.901012983999999</v>
      </c>
      <c r="C52" s="13">
        <v>102.139999</v>
      </c>
      <c r="D52" s="13">
        <v>103.089996</v>
      </c>
      <c r="E52" s="13">
        <v>101.25</v>
      </c>
      <c r="F52" s="13">
        <v>102.489998</v>
      </c>
      <c r="G52" s="13">
        <v>96.036063999999996</v>
      </c>
      <c r="H52" s="13">
        <v>96.036063999999996</v>
      </c>
      <c r="I52" s="14">
        <f t="shared" si="0"/>
        <v>-4.5649161441654318E-3</v>
      </c>
      <c r="J52" s="14">
        <f>IF(COUNT(B52)=0,"",B52-(INTERCEPT('3. Cleaned Data'!$B$4:$B$1041,'3. Cleaned Data'!$H$4:$H$1041)+SLOPE('3. Cleaned Data'!$B$4:$B$1041,'3. Cleaned Data'!$H$4:$H$1041)*H52))</f>
        <v>0.56175658493632241</v>
      </c>
    </row>
    <row r="53" spans="1:10" x14ac:dyDescent="0.2">
      <c r="A53" s="12">
        <v>42402</v>
      </c>
      <c r="B53" s="13">
        <v>10.5829962624</v>
      </c>
      <c r="C53" s="13">
        <v>101.33000199999999</v>
      </c>
      <c r="D53" s="13">
        <v>101.470001</v>
      </c>
      <c r="E53" s="13">
        <v>99.769997000000004</v>
      </c>
      <c r="F53" s="13">
        <v>100.279999</v>
      </c>
      <c r="G53" s="13">
        <v>93.965239999999994</v>
      </c>
      <c r="H53" s="13">
        <v>93.965239999999994</v>
      </c>
      <c r="I53" s="14">
        <f t="shared" si="0"/>
        <v>-2.1562982839446687E-2</v>
      </c>
      <c r="J53" s="14">
        <f>IF(COUNT(B53)=0,"",B53-(INTERCEPT('3. Cleaned Data'!$B$4:$B$1041,'3. Cleaned Data'!$H$4:$H$1041)+SLOPE('3. Cleaned Data'!$B$4:$B$1041,'3. Cleaned Data'!$H$4:$H$1041)*H53))</f>
        <v>-0.47298709431516706</v>
      </c>
    </row>
    <row r="54" spans="1:10" x14ac:dyDescent="0.2">
      <c r="A54" s="12">
        <v>42403</v>
      </c>
      <c r="B54" s="13">
        <v>10.626060580800001</v>
      </c>
      <c r="C54" s="13">
        <v>101.05999799999999</v>
      </c>
      <c r="D54" s="13">
        <v>101.07</v>
      </c>
      <c r="E54" s="13">
        <v>98.139999000000003</v>
      </c>
      <c r="F54" s="13">
        <v>100.410004</v>
      </c>
      <c r="G54" s="13">
        <v>94.087058999999996</v>
      </c>
      <c r="H54" s="13">
        <v>94.087058999999996</v>
      </c>
      <c r="I54" s="14">
        <f t="shared" si="0"/>
        <v>1.2964262103731805E-3</v>
      </c>
      <c r="J54" s="14">
        <f>IF(COUNT(B54)=0,"",B54-(INTERCEPT('3. Cleaned Data'!$B$4:$B$1041,'3. Cleaned Data'!$H$4:$H$1041)+SLOPE('3. Cleaned Data'!$B$4:$B$1041,'3. Cleaned Data'!$H$4:$H$1041)*H54))</f>
        <v>-0.44658669266804196</v>
      </c>
    </row>
    <row r="55" spans="1:10" x14ac:dyDescent="0.2">
      <c r="A55" s="12">
        <v>42404</v>
      </c>
      <c r="B55" s="13">
        <v>10.6621341552</v>
      </c>
      <c r="C55" s="13">
        <v>100</v>
      </c>
      <c r="D55" s="13">
        <v>101.970001</v>
      </c>
      <c r="E55" s="13">
        <v>99.970000999999996</v>
      </c>
      <c r="F55" s="13">
        <v>100.800003</v>
      </c>
      <c r="G55" s="13">
        <v>94.452483999999998</v>
      </c>
      <c r="H55" s="13">
        <v>94.452483999999998</v>
      </c>
      <c r="I55" s="14">
        <f t="shared" si="0"/>
        <v>3.883902886155699E-3</v>
      </c>
      <c r="J55" s="14">
        <f>IF(COUNT(B55)=0,"",B55-(INTERCEPT('3. Cleaned Data'!$B$4:$B$1041,'3. Cleaned Data'!$H$4:$H$1041)+SLOPE('3. Cleaned Data'!$B$4:$B$1041,'3. Cleaned Data'!$H$4:$H$1041)*H55))</f>
        <v>-0.4605004911689754</v>
      </c>
    </row>
    <row r="56" spans="1:10" x14ac:dyDescent="0.2">
      <c r="A56" s="12">
        <v>42405</v>
      </c>
      <c r="B56" s="13">
        <v>11.206474780800001</v>
      </c>
      <c r="C56" s="13">
        <v>100.349998</v>
      </c>
      <c r="D56" s="13">
        <v>100.44000200000001</v>
      </c>
      <c r="E56" s="13">
        <v>97.959998999999996</v>
      </c>
      <c r="F56" s="13">
        <v>98.040001000000004</v>
      </c>
      <c r="G56" s="13">
        <v>91.866287</v>
      </c>
      <c r="H56" s="13">
        <v>91.866287</v>
      </c>
      <c r="I56" s="14">
        <f t="shared" si="0"/>
        <v>-2.7380931559195409E-2</v>
      </c>
      <c r="J56" s="14">
        <f>IF(COUNT(B56)=0,"",B56-(INTERCEPT('3. Cleaned Data'!$B$4:$B$1041,'3. Cleaned Data'!$H$4:$H$1041)+SLOPE('3. Cleaned Data'!$B$4:$B$1041,'3. Cleaned Data'!$H$4:$H$1041)*H56))</f>
        <v>0.43761230063278234</v>
      </c>
    </row>
    <row r="57" spans="1:10" x14ac:dyDescent="0.2">
      <c r="A57" s="12">
        <v>42408</v>
      </c>
      <c r="B57" s="13">
        <v>11.191439195999999</v>
      </c>
      <c r="C57" s="13">
        <v>97.010002</v>
      </c>
      <c r="D57" s="13">
        <v>97.010002</v>
      </c>
      <c r="E57" s="13">
        <v>94.940002000000007</v>
      </c>
      <c r="F57" s="13">
        <v>96.43</v>
      </c>
      <c r="G57" s="13">
        <v>90.357658000000001</v>
      </c>
      <c r="H57" s="13">
        <v>90.357658000000001</v>
      </c>
      <c r="I57" s="14">
        <f t="shared" si="0"/>
        <v>-1.6422009088056466E-2</v>
      </c>
      <c r="J57" s="14">
        <f>IF(COUNT(B57)=0,"",B57-(INTERCEPT('3. Cleaned Data'!$B$4:$B$1041,'3. Cleaned Data'!$H$4:$H$1041)+SLOPE('3. Cleaned Data'!$B$4:$B$1041,'3. Cleaned Data'!$H$4:$H$1041)*H57))</f>
        <v>0.62894573927716202</v>
      </c>
    </row>
    <row r="58" spans="1:10" x14ac:dyDescent="0.2">
      <c r="A58" s="12">
        <v>42409</v>
      </c>
      <c r="B58" s="13">
        <v>10.643692701599999</v>
      </c>
      <c r="C58" s="13">
        <v>95.129997000000003</v>
      </c>
      <c r="D58" s="13">
        <v>97.129997000000003</v>
      </c>
      <c r="E58" s="13">
        <v>95.019997000000004</v>
      </c>
      <c r="F58" s="13">
        <v>95.779999000000004</v>
      </c>
      <c r="G58" s="13">
        <v>89.748604</v>
      </c>
      <c r="H58" s="13">
        <v>89.748604</v>
      </c>
      <c r="I58" s="14">
        <f t="shared" si="0"/>
        <v>-6.7404801483456067E-3</v>
      </c>
      <c r="J58" s="14">
        <f>IF(COUNT(B58)=0,"",B58-(INTERCEPT('3. Cleaned Data'!$B$4:$B$1041,'3. Cleaned Data'!$H$4:$H$1041)+SLOPE('3. Cleaned Data'!$B$4:$B$1041,'3. Cleaned Data'!$H$4:$H$1041)*H58))</f>
        <v>0.16451322015199565</v>
      </c>
    </row>
    <row r="59" spans="1:10" x14ac:dyDescent="0.2">
      <c r="A59" s="12">
        <v>42410</v>
      </c>
      <c r="B59" s="13">
        <v>11.451958880399999</v>
      </c>
      <c r="C59" s="13">
        <v>96.449996999999996</v>
      </c>
      <c r="D59" s="13">
        <v>97.919998000000007</v>
      </c>
      <c r="E59" s="13">
        <v>95.68</v>
      </c>
      <c r="F59" s="13">
        <v>95.830001999999993</v>
      </c>
      <c r="G59" s="13">
        <v>89.795471000000006</v>
      </c>
      <c r="H59" s="13">
        <v>89.795471000000006</v>
      </c>
      <c r="I59" s="14">
        <f t="shared" si="0"/>
        <v>5.222031085854173E-4</v>
      </c>
      <c r="J59" s="14">
        <f>IF(COUNT(B59)=0,"",B59-(INTERCEPT('3. Cleaned Data'!$B$4:$B$1041,'3. Cleaned Data'!$H$4:$H$1041)+SLOPE('3. Cleaned Data'!$B$4:$B$1041,'3. Cleaned Data'!$H$4:$H$1041)*H59))</f>
        <v>0.96636834824186835</v>
      </c>
    </row>
    <row r="60" spans="1:10" x14ac:dyDescent="0.2">
      <c r="A60" s="12">
        <v>42411</v>
      </c>
      <c r="B60" s="13">
        <v>11.29269564</v>
      </c>
      <c r="C60" s="13">
        <v>94.080001999999993</v>
      </c>
      <c r="D60" s="13">
        <v>95.400002000000001</v>
      </c>
      <c r="E60" s="13">
        <v>93.639999000000003</v>
      </c>
      <c r="F60" s="13">
        <v>94.790001000000004</v>
      </c>
      <c r="G60" s="13">
        <v>88.820946000000006</v>
      </c>
      <c r="H60" s="13">
        <v>88.820946000000006</v>
      </c>
      <c r="I60" s="14">
        <f t="shared" si="0"/>
        <v>-1.085271884146588E-2</v>
      </c>
      <c r="J60" s="14">
        <f>IF(COUNT(B60)=0,"",B60-(INTERCEPT('3. Cleaned Data'!$B$4:$B$1041,'3. Cleaned Data'!$H$4:$H$1041)+SLOPE('3. Cleaned Data'!$B$4:$B$1041,'3. Cleaned Data'!$H$4:$H$1041)*H60))</f>
        <v>0.94041274846930989</v>
      </c>
    </row>
    <row r="61" spans="1:10" x14ac:dyDescent="0.2">
      <c r="A61" s="12">
        <v>42412</v>
      </c>
      <c r="B61" s="13">
        <v>11.1263343444</v>
      </c>
      <c r="C61" s="13">
        <v>95.660004000000001</v>
      </c>
      <c r="D61" s="13">
        <v>96.790001000000004</v>
      </c>
      <c r="E61" s="13">
        <v>95.190002000000007</v>
      </c>
      <c r="F61" s="13">
        <v>96.589995999999999</v>
      </c>
      <c r="G61" s="13">
        <v>90.507591000000005</v>
      </c>
      <c r="H61" s="13">
        <v>90.507591000000005</v>
      </c>
      <c r="I61" s="14">
        <f t="shared" si="0"/>
        <v>1.8989270841587302E-2</v>
      </c>
      <c r="J61" s="14">
        <f>IF(COUNT(B61)=0,"",B61-(INTERCEPT('3. Cleaned Data'!$B$4:$B$1041,'3. Cleaned Data'!$H$4:$H$1041)+SLOPE('3. Cleaned Data'!$B$4:$B$1041,'3. Cleaned Data'!$H$4:$H$1041)*H61))</f>
        <v>0.5433311886112655</v>
      </c>
    </row>
    <row r="62" spans="1:10" x14ac:dyDescent="0.2">
      <c r="A62" s="12">
        <v>42416</v>
      </c>
      <c r="B62" s="13">
        <v>11.407892672399999</v>
      </c>
      <c r="C62" s="13">
        <v>97.790001000000004</v>
      </c>
      <c r="D62" s="13">
        <v>99.099997999999999</v>
      </c>
      <c r="E62" s="13">
        <v>97.220000999999996</v>
      </c>
      <c r="F62" s="13">
        <v>98.879997000000003</v>
      </c>
      <c r="G62" s="13">
        <v>92.653389000000004</v>
      </c>
      <c r="H62" s="13">
        <v>92.653389000000004</v>
      </c>
      <c r="I62" s="14">
        <f t="shared" si="0"/>
        <v>2.3708486506949455E-2</v>
      </c>
      <c r="J62" s="14">
        <f>IF(COUNT(B62)=0,"",B62-(INTERCEPT('3. Cleaned Data'!$B$4:$B$1041,'3. Cleaned Data'!$H$4:$H$1041)+SLOPE('3. Cleaned Data'!$B$4:$B$1041,'3. Cleaned Data'!$H$4:$H$1041)*H62))</f>
        <v>0.53136059878659836</v>
      </c>
    </row>
    <row r="63" spans="1:10" x14ac:dyDescent="0.2">
      <c r="A63" s="12">
        <v>42417</v>
      </c>
      <c r="B63" s="13">
        <v>11.078253134400001</v>
      </c>
      <c r="C63" s="13">
        <v>99.57</v>
      </c>
      <c r="D63" s="13">
        <v>101.089996</v>
      </c>
      <c r="E63" s="13">
        <v>99.529999000000004</v>
      </c>
      <c r="F63" s="13">
        <v>100.43</v>
      </c>
      <c r="G63" s="13">
        <v>94.105796999999995</v>
      </c>
      <c r="H63" s="13">
        <v>94.105796999999995</v>
      </c>
      <c r="I63" s="14">
        <f t="shared" si="0"/>
        <v>1.5675713707568706E-2</v>
      </c>
      <c r="J63" s="14">
        <f>IF(COUNT(B63)=0,"",B63-(INTERCEPT('3. Cleaned Data'!$B$4:$B$1041,'3. Cleaned Data'!$H$4:$H$1041)+SLOPE('3. Cleaned Data'!$B$4:$B$1041,'3. Cleaned Data'!$H$4:$H$1041)*H63))</f>
        <v>3.0426444212725556E-3</v>
      </c>
    </row>
    <row r="64" spans="1:10" x14ac:dyDescent="0.2">
      <c r="A64" s="12">
        <v>42418</v>
      </c>
      <c r="B64" s="13">
        <v>11.882122433999999</v>
      </c>
      <c r="C64" s="13">
        <v>100.510002</v>
      </c>
      <c r="D64" s="13">
        <v>100.639999</v>
      </c>
      <c r="E64" s="13">
        <v>99.540001000000004</v>
      </c>
      <c r="F64" s="13">
        <v>99.949996999999996</v>
      </c>
      <c r="G64" s="13">
        <v>93.656013000000002</v>
      </c>
      <c r="H64" s="13">
        <v>93.656013000000002</v>
      </c>
      <c r="I64" s="14">
        <f t="shared" si="0"/>
        <v>-4.7795567790578364E-3</v>
      </c>
      <c r="J64" s="14">
        <f>IF(COUNT(B64)=0,"",B64-(INTERCEPT('3. Cleaned Data'!$B$4:$B$1041,'3. Cleaned Data'!$H$4:$H$1041)+SLOPE('3. Cleaned Data'!$B$4:$B$1041,'3. Cleaned Data'!$H$4:$H$1041)*H64))</f>
        <v>0.86843898933254771</v>
      </c>
    </row>
    <row r="65" spans="1:10" x14ac:dyDescent="0.2">
      <c r="A65" s="12">
        <v>42419</v>
      </c>
      <c r="B65" s="13">
        <v>11.3111264376</v>
      </c>
      <c r="C65" s="13">
        <v>99.559997999999993</v>
      </c>
      <c r="D65" s="13">
        <v>100.55999799999999</v>
      </c>
      <c r="E65" s="13">
        <v>99.110000999999997</v>
      </c>
      <c r="F65" s="13">
        <v>100.449997</v>
      </c>
      <c r="G65" s="13">
        <v>94.124527</v>
      </c>
      <c r="H65" s="13">
        <v>94.124527</v>
      </c>
      <c r="I65" s="14">
        <f t="shared" si="0"/>
        <v>5.0024978107918727E-3</v>
      </c>
      <c r="J65" s="14">
        <f>IF(COUNT(B65)=0,"",B65-(INTERCEPT('3. Cleaned Data'!$B$4:$B$1041,'3. Cleaned Data'!$H$4:$H$1041)+SLOPE('3. Cleaned Data'!$B$4:$B$1041,'3. Cleaned Data'!$H$4:$H$1041)*H65))</f>
        <v>0.23335382545000627</v>
      </c>
    </row>
    <row r="66" spans="1:10" x14ac:dyDescent="0.2">
      <c r="A66" s="12">
        <v>42422</v>
      </c>
      <c r="B66" s="13">
        <v>11.0687511168</v>
      </c>
      <c r="C66" s="13">
        <v>101.339996</v>
      </c>
      <c r="D66" s="13">
        <v>102.010002</v>
      </c>
      <c r="E66" s="13">
        <v>101.239998</v>
      </c>
      <c r="F66" s="13">
        <v>101.57</v>
      </c>
      <c r="G66" s="13">
        <v>95.173996000000002</v>
      </c>
      <c r="H66" s="13">
        <v>95.173996000000002</v>
      </c>
      <c r="I66" s="14">
        <f t="shared" si="0"/>
        <v>1.1149793082094295E-2</v>
      </c>
      <c r="J66" s="14">
        <f>IF(COUNT(B66)=0,"",B66-(INTERCEPT('3. Cleaned Data'!$B$4:$B$1041,'3. Cleaned Data'!$H$4:$H$1041)+SLOPE('3. Cleaned Data'!$B$4:$B$1041,'3. Cleaned Data'!$H$4:$H$1041)*H66))</f>
        <v>-0.15258090768076116</v>
      </c>
    </row>
    <row r="67" spans="1:10" x14ac:dyDescent="0.2">
      <c r="A67" s="12">
        <v>42423</v>
      </c>
      <c r="B67" s="13">
        <v>12.183190236</v>
      </c>
      <c r="C67" s="13">
        <v>101.239998</v>
      </c>
      <c r="D67" s="13">
        <v>101.489998</v>
      </c>
      <c r="E67" s="13">
        <v>100.550003</v>
      </c>
      <c r="F67" s="13">
        <v>100.639999</v>
      </c>
      <c r="G67" s="13">
        <v>94.302559000000002</v>
      </c>
      <c r="H67" s="13">
        <v>94.302559000000002</v>
      </c>
      <c r="I67" s="14">
        <f t="shared" si="0"/>
        <v>-9.156251041513519E-3</v>
      </c>
      <c r="J67" s="14">
        <f>IF(COUNT(B67)=0,"",B67-(INTERCEPT('3. Cleaned Data'!$B$4:$B$1041,'3. Cleaned Data'!$H$4:$H$1041)+SLOPE('3. Cleaned Data'!$B$4:$B$1041,'3. Cleaned Data'!$H$4:$H$1041)*H67))</f>
        <v>1.0810641943574986</v>
      </c>
    </row>
    <row r="68" spans="1:10" x14ac:dyDescent="0.2">
      <c r="A68" s="12">
        <v>42424</v>
      </c>
      <c r="B68" s="13">
        <v>12.128880455999999</v>
      </c>
      <c r="C68" s="13">
        <v>99.620002999999997</v>
      </c>
      <c r="D68" s="13">
        <v>101.82</v>
      </c>
      <c r="E68" s="13">
        <v>98.970000999999996</v>
      </c>
      <c r="F68" s="13">
        <v>101.610001</v>
      </c>
      <c r="G68" s="13">
        <v>95.211501999999996</v>
      </c>
      <c r="H68" s="13">
        <v>95.211501999999996</v>
      </c>
      <c r="I68" s="14">
        <f t="shared" si="0"/>
        <v>9.638582554265529E-3</v>
      </c>
      <c r="J68" s="14">
        <f>IF(COUNT(B68)=0,"",B68-(INTERCEPT('3. Cleaned Data'!$B$4:$B$1041,'3. Cleaned Data'!$H$4:$H$1041)+SLOPE('3. Cleaned Data'!$B$4:$B$1041,'3. Cleaned Data'!$H$4:$H$1041)*H68))</f>
        <v>0.90241789472503342</v>
      </c>
    </row>
    <row r="69" spans="1:10" x14ac:dyDescent="0.2">
      <c r="A69" s="12">
        <v>42425</v>
      </c>
      <c r="B69" s="13">
        <v>12.271808016</v>
      </c>
      <c r="C69" s="13">
        <v>101.790001</v>
      </c>
      <c r="D69" s="13">
        <v>102.599998</v>
      </c>
      <c r="E69" s="13">
        <v>101.389999</v>
      </c>
      <c r="F69" s="13">
        <v>102.540001</v>
      </c>
      <c r="G69" s="13">
        <v>96.082909000000001</v>
      </c>
      <c r="H69" s="13">
        <v>96.082909000000001</v>
      </c>
      <c r="I69" s="14">
        <f t="shared" ref="I69:I132" si="1">H69/H68-1</f>
        <v>9.1523290957011838E-3</v>
      </c>
      <c r="J69" s="14">
        <f>IF(COUNT(B69)=0,"",B69-(INTERCEPT('3. Cleaned Data'!$B$4:$B$1041,'3. Cleaned Data'!$H$4:$H$1041)+SLOPE('3. Cleaned Data'!$B$4:$B$1041,'3. Cleaned Data'!$H$4:$H$1041)*H69))</f>
        <v>0.92614357565960503</v>
      </c>
    </row>
    <row r="70" spans="1:10" x14ac:dyDescent="0.2">
      <c r="A70" s="12">
        <v>42426</v>
      </c>
      <c r="B70" s="13">
        <v>12.1596778152</v>
      </c>
      <c r="C70" s="13">
        <v>103.05999799999999</v>
      </c>
      <c r="D70" s="13">
        <v>103.470001</v>
      </c>
      <c r="E70" s="13">
        <v>102.699997</v>
      </c>
      <c r="F70" s="13">
        <v>103.19000200000001</v>
      </c>
      <c r="G70" s="13">
        <v>96.691986</v>
      </c>
      <c r="H70" s="13">
        <v>96.691986</v>
      </c>
      <c r="I70" s="14">
        <f t="shared" si="1"/>
        <v>6.3390774315543741E-3</v>
      </c>
      <c r="J70" s="14">
        <f>IF(COUNT(B70)=0,"",B70-(INTERCEPT('3. Cleaned Data'!$B$4:$B$1041,'3. Cleaned Data'!$H$4:$H$1041)+SLOPE('3. Cleaned Data'!$B$4:$B$1041,'3. Cleaned Data'!$H$4:$H$1041)*H70))</f>
        <v>0.73069625335893562</v>
      </c>
    </row>
    <row r="71" spans="1:10" x14ac:dyDescent="0.2">
      <c r="A71" s="12">
        <v>42429</v>
      </c>
      <c r="B71" s="13">
        <v>12.648369005999999</v>
      </c>
      <c r="C71" s="13">
        <v>103.129997</v>
      </c>
      <c r="D71" s="13">
        <v>104.029999</v>
      </c>
      <c r="E71" s="13">
        <v>102.720001</v>
      </c>
      <c r="F71" s="13">
        <v>102.730003</v>
      </c>
      <c r="G71" s="13">
        <v>96.260955999999993</v>
      </c>
      <c r="H71" s="13">
        <v>96.260955999999993</v>
      </c>
      <c r="I71" s="14">
        <f t="shared" si="1"/>
        <v>-4.4577634386370191E-3</v>
      </c>
      <c r="J71" s="14">
        <f>IF(COUNT(B71)=0,"",B71-(INTERCEPT('3. Cleaned Data'!$B$4:$B$1041,'3. Cleaned Data'!$H$4:$H$1041)+SLOPE('3. Cleaned Data'!$B$4:$B$1041,'3. Cleaned Data'!$H$4:$H$1041)*H71))</f>
        <v>1.2783490842806824</v>
      </c>
    </row>
    <row r="72" spans="1:10" x14ac:dyDescent="0.2">
      <c r="A72" s="12">
        <v>42430</v>
      </c>
      <c r="B72" s="13">
        <v>11.991283405200001</v>
      </c>
      <c r="C72" s="13">
        <v>103.620003</v>
      </c>
      <c r="D72" s="13">
        <v>104.94000200000001</v>
      </c>
      <c r="E72" s="13">
        <v>103.07</v>
      </c>
      <c r="F72" s="13">
        <v>104.94000200000001</v>
      </c>
      <c r="G72" s="13">
        <v>98.331795</v>
      </c>
      <c r="H72" s="13">
        <v>98.331795</v>
      </c>
      <c r="I72" s="14">
        <f t="shared" si="1"/>
        <v>2.151276162268756E-2</v>
      </c>
      <c r="J72" s="14">
        <f>IF(COUNT(B72)=0,"",B72-(INTERCEPT('3. Cleaned Data'!$B$4:$B$1041,'3. Cleaned Data'!$H$4:$H$1041)+SLOPE('3. Cleaned Data'!$B$4:$B$1041,'3. Cleaned Data'!$H$4:$H$1041)*H72))</f>
        <v>0.33798838924575847</v>
      </c>
    </row>
    <row r="73" spans="1:10" x14ac:dyDescent="0.2">
      <c r="A73" s="12">
        <v>42431</v>
      </c>
      <c r="B73" s="13">
        <v>12.24396516</v>
      </c>
      <c r="C73" s="13">
        <v>104.790001</v>
      </c>
      <c r="D73" s="13">
        <v>106.089996</v>
      </c>
      <c r="E73" s="13">
        <v>104.589996</v>
      </c>
      <c r="F73" s="13">
        <v>106.019997</v>
      </c>
      <c r="G73" s="13">
        <v>99.343772999999999</v>
      </c>
      <c r="H73" s="13">
        <v>99.343772999999999</v>
      </c>
      <c r="I73" s="14">
        <f t="shared" si="1"/>
        <v>1.0291462695255271E-2</v>
      </c>
      <c r="J73" s="14">
        <f>IF(COUNT(B73)=0,"",B73-(INTERCEPT('3. Cleaned Data'!$B$4:$B$1041,'3. Cleaned Data'!$H$4:$H$1041)+SLOPE('3. Cleaned Data'!$B$4:$B$1041,'3. Cleaned Data'!$H$4:$H$1041)*H73))</f>
        <v>0.45223921662278066</v>
      </c>
    </row>
    <row r="74" spans="1:10" x14ac:dyDescent="0.2">
      <c r="A74" s="12">
        <v>42432</v>
      </c>
      <c r="B74" s="13">
        <v>11.589791674800001</v>
      </c>
      <c r="C74" s="13">
        <v>106.050003</v>
      </c>
      <c r="D74" s="13">
        <v>107.150002</v>
      </c>
      <c r="E74" s="13">
        <v>105.91999800000001</v>
      </c>
      <c r="F74" s="13">
        <v>107.129997</v>
      </c>
      <c r="G74" s="13">
        <v>100.383881</v>
      </c>
      <c r="H74" s="13">
        <v>100.383881</v>
      </c>
      <c r="I74" s="14">
        <f t="shared" si="1"/>
        <v>1.0469785559684697E-2</v>
      </c>
      <c r="J74" s="14">
        <f>IF(COUNT(B74)=0,"",B74-(INTERCEPT('3. Cleaned Data'!$B$4:$B$1041,'3. Cleaned Data'!$H$4:$H$1041)+SLOPE('3. Cleaned Data'!$B$4:$B$1041,'3. Cleaned Data'!$H$4:$H$1041)*H74))</f>
        <v>-0.34421316699206628</v>
      </c>
    </row>
    <row r="75" spans="1:10" x14ac:dyDescent="0.2">
      <c r="A75" s="12">
        <v>42433</v>
      </c>
      <c r="B75" s="13">
        <v>12.609409302</v>
      </c>
      <c r="C75" s="13">
        <v>107.07</v>
      </c>
      <c r="D75" s="13">
        <v>108.32</v>
      </c>
      <c r="E75" s="13">
        <v>106.66999800000001</v>
      </c>
      <c r="F75" s="13">
        <v>107.720001</v>
      </c>
      <c r="G75" s="13">
        <v>100.936729</v>
      </c>
      <c r="H75" s="13">
        <v>100.936729</v>
      </c>
      <c r="I75" s="14">
        <f t="shared" si="1"/>
        <v>5.5073383743751148E-3</v>
      </c>
      <c r="J75" s="14">
        <f>IF(COUNT(B75)=0,"",B75-(INTERCEPT('3. Cleaned Data'!$B$4:$B$1041,'3. Cleaned Data'!$H$4:$H$1041)+SLOPE('3. Cleaned Data'!$B$4:$B$1041,'3. Cleaned Data'!$H$4:$H$1041)*H75))</f>
        <v>0.59977904012574079</v>
      </c>
    </row>
    <row r="76" spans="1:10" x14ac:dyDescent="0.2">
      <c r="A76" s="12">
        <v>42436</v>
      </c>
      <c r="B76" s="13">
        <v>11.434686336</v>
      </c>
      <c r="C76" s="13">
        <v>107.209999</v>
      </c>
      <c r="D76" s="13">
        <v>108.989998</v>
      </c>
      <c r="E76" s="13">
        <v>107.209999</v>
      </c>
      <c r="F76" s="13">
        <v>108.889999</v>
      </c>
      <c r="G76" s="13">
        <v>102.03304300000001</v>
      </c>
      <c r="H76" s="13">
        <v>102.03304300000001</v>
      </c>
      <c r="I76" s="14">
        <f t="shared" si="1"/>
        <v>1.0861398133874545E-2</v>
      </c>
      <c r="J76" s="14">
        <f>IF(COUNT(B76)=0,"",B76-(INTERCEPT('3. Cleaned Data'!$B$4:$B$1041,'3. Cleaned Data'!$H$4:$H$1041)+SLOPE('3. Cleaned Data'!$B$4:$B$1041,'3. Cleaned Data'!$H$4:$H$1041)*H76))</f>
        <v>-0.72491137948174433</v>
      </c>
    </row>
    <row r="77" spans="1:10" x14ac:dyDescent="0.2">
      <c r="A77" s="12">
        <v>42437</v>
      </c>
      <c r="B77" s="13">
        <v>12.774697740000001</v>
      </c>
      <c r="C77" s="13">
        <v>108.290001</v>
      </c>
      <c r="D77" s="13">
        <v>108.290001</v>
      </c>
      <c r="E77" s="13">
        <v>106.139999</v>
      </c>
      <c r="F77" s="13">
        <v>106.260002</v>
      </c>
      <c r="G77" s="13">
        <v>99.568657000000002</v>
      </c>
      <c r="H77" s="13">
        <v>99.568657000000002</v>
      </c>
      <c r="I77" s="14">
        <f t="shared" si="1"/>
        <v>-2.4152822728221501E-2</v>
      </c>
      <c r="J77" s="14">
        <f>IF(COUNT(B77)=0,"",B77-(INTERCEPT('3. Cleaned Data'!$B$4:$B$1041,'3. Cleaned Data'!$H$4:$H$1041)+SLOPE('3. Cleaned Data'!$B$4:$B$1041,'3. Cleaned Data'!$H$4:$H$1041)*H77))</f>
        <v>0.952209368306562</v>
      </c>
    </row>
    <row r="78" spans="1:10" x14ac:dyDescent="0.2">
      <c r="A78" s="12">
        <v>42438</v>
      </c>
      <c r="B78" s="13">
        <v>12.620294294400001</v>
      </c>
      <c r="C78" s="13">
        <v>106.620003</v>
      </c>
      <c r="D78" s="13">
        <v>107.010002</v>
      </c>
      <c r="E78" s="13">
        <v>106.07</v>
      </c>
      <c r="F78" s="13">
        <v>106.800003</v>
      </c>
      <c r="G78" s="13">
        <v>100.07467699999999</v>
      </c>
      <c r="H78" s="13">
        <v>100.07467699999999</v>
      </c>
      <c r="I78" s="14">
        <f t="shared" si="1"/>
        <v>5.0821213748015737E-3</v>
      </c>
      <c r="J78" s="14">
        <f>IF(COUNT(B78)=0,"",B78-(INTERCEPT('3. Cleaned Data'!$B$4:$B$1041,'3. Cleaned Data'!$H$4:$H$1041)+SLOPE('3. Cleaned Data'!$B$4:$B$1041,'3. Cleaned Data'!$H$4:$H$1041)*H78))</f>
        <v>0.72858621842981641</v>
      </c>
    </row>
    <row r="79" spans="1:10" x14ac:dyDescent="0.2">
      <c r="A79" s="12">
        <v>42439</v>
      </c>
      <c r="B79" s="13">
        <v>11.94599124</v>
      </c>
      <c r="C79" s="13">
        <v>107.099998</v>
      </c>
      <c r="D79" s="13">
        <v>107.489998</v>
      </c>
      <c r="E79" s="13">
        <v>104.80999799999999</v>
      </c>
      <c r="F79" s="13">
        <v>105.93</v>
      </c>
      <c r="G79" s="13">
        <v>99.259429999999995</v>
      </c>
      <c r="H79" s="13">
        <v>99.259429999999995</v>
      </c>
      <c r="I79" s="14">
        <f t="shared" si="1"/>
        <v>-8.1463865229363108E-3</v>
      </c>
      <c r="J79" s="14">
        <f>IF(COUNT(B79)=0,"",B79-(INTERCEPT('3. Cleaned Data'!$B$4:$B$1041,'3. Cleaned Data'!$H$4:$H$1041)+SLOPE('3. Cleaned Data'!$B$4:$B$1041,'3. Cleaned Data'!$H$4:$H$1041)*H79))</f>
        <v>0.16580278035428009</v>
      </c>
    </row>
    <row r="80" spans="1:10" x14ac:dyDescent="0.2">
      <c r="A80" s="12">
        <v>42440</v>
      </c>
      <c r="B80" s="13">
        <v>12.03032316</v>
      </c>
      <c r="C80" s="13">
        <v>106.790001</v>
      </c>
      <c r="D80" s="13">
        <v>108.33000199999999</v>
      </c>
      <c r="E80" s="13">
        <v>106.660004</v>
      </c>
      <c r="F80" s="13">
        <v>108.199997</v>
      </c>
      <c r="G80" s="13">
        <v>101.38648999999999</v>
      </c>
      <c r="H80" s="13">
        <v>101.38648999999999</v>
      </c>
      <c r="I80" s="14">
        <f t="shared" si="1"/>
        <v>2.1429298959303011E-2</v>
      </c>
      <c r="J80" s="14">
        <f>IF(COUNT(B80)=0,"",B80-(INTERCEPT('3. Cleaned Data'!$B$4:$B$1041,'3. Cleaned Data'!$H$4:$H$1041)+SLOPE('3. Cleaned Data'!$B$4:$B$1041,'3. Cleaned Data'!$H$4:$H$1041)*H80))</f>
        <v>-4.0831000959698827E-2</v>
      </c>
    </row>
    <row r="81" spans="1:10" x14ac:dyDescent="0.2">
      <c r="A81" s="12">
        <v>42443</v>
      </c>
      <c r="B81" s="13">
        <v>11.7261403776</v>
      </c>
      <c r="C81" s="13">
        <v>107.870003</v>
      </c>
      <c r="D81" s="13">
        <v>108.339996</v>
      </c>
      <c r="E81" s="13">
        <v>107.400002</v>
      </c>
      <c r="F81" s="13">
        <v>107.91999800000001</v>
      </c>
      <c r="G81" s="13">
        <v>101.12415300000001</v>
      </c>
      <c r="H81" s="13">
        <v>101.12415300000001</v>
      </c>
      <c r="I81" s="14">
        <f t="shared" si="1"/>
        <v>-2.5874946454896852E-3</v>
      </c>
      <c r="J81" s="14">
        <f>IF(COUNT(B81)=0,"",B81-(INTERCEPT('3. Cleaned Data'!$B$4:$B$1041,'3. Cleaned Data'!$H$4:$H$1041)+SLOPE('3. Cleaned Data'!$B$4:$B$1041,'3. Cleaned Data'!$H$4:$H$1041)*H81))</f>
        <v>-0.30912806824794714</v>
      </c>
    </row>
    <row r="82" spans="1:10" x14ac:dyDescent="0.2">
      <c r="A82" s="12">
        <v>42444</v>
      </c>
      <c r="B82" s="13">
        <v>12.201675116400001</v>
      </c>
      <c r="C82" s="13">
        <v>107.209999</v>
      </c>
      <c r="D82" s="13">
        <v>107.279999</v>
      </c>
      <c r="E82" s="13">
        <v>106.029999</v>
      </c>
      <c r="F82" s="13">
        <v>106.239998</v>
      </c>
      <c r="G82" s="13">
        <v>99.549926999999997</v>
      </c>
      <c r="H82" s="13">
        <v>99.549926999999997</v>
      </c>
      <c r="I82" s="14">
        <f t="shared" si="1"/>
        <v>-1.5567260177694719E-2</v>
      </c>
      <c r="J82" s="14">
        <f>IF(COUNT(B82)=0,"",B82-(INTERCEPT('3. Cleaned Data'!$B$4:$B$1041,'3. Cleaned Data'!$H$4:$H$1041)+SLOPE('3. Cleaned Data'!$B$4:$B$1041,'3. Cleaned Data'!$H$4:$H$1041)*H82))</f>
        <v>0.38174886687782816</v>
      </c>
    </row>
    <row r="83" spans="1:10" x14ac:dyDescent="0.2">
      <c r="A83" s="12">
        <v>42445</v>
      </c>
      <c r="B83" s="13">
        <v>12.787516310399999</v>
      </c>
      <c r="C83" s="13">
        <v>105.730003</v>
      </c>
      <c r="D83" s="13">
        <v>107.33000199999999</v>
      </c>
      <c r="E83" s="13">
        <v>105.730003</v>
      </c>
      <c r="F83" s="13">
        <v>106.989998</v>
      </c>
      <c r="G83" s="13">
        <v>100.25269299999999</v>
      </c>
      <c r="H83" s="13">
        <v>100.25269299999999</v>
      </c>
      <c r="I83" s="14">
        <f t="shared" si="1"/>
        <v>7.0594326000861241E-3</v>
      </c>
      <c r="J83" s="14">
        <f>IF(COUNT(B83)=0,"",B83-(INTERCEPT('3. Cleaned Data'!$B$4:$B$1041,'3. Cleaned Data'!$H$4:$H$1041)+SLOPE('3. Cleaned Data'!$B$4:$B$1041,'3. Cleaned Data'!$H$4:$H$1041)*H83))</f>
        <v>0.87145699361615137</v>
      </c>
    </row>
    <row r="84" spans="1:10" x14ac:dyDescent="0.2">
      <c r="A84" s="12">
        <v>42446</v>
      </c>
      <c r="B84" s="13">
        <v>12.649502718000001</v>
      </c>
      <c r="C84" s="13">
        <v>106.989998</v>
      </c>
      <c r="D84" s="13">
        <v>109.099998</v>
      </c>
      <c r="E84" s="13">
        <v>106.33000199999999</v>
      </c>
      <c r="F84" s="13">
        <v>108.629997</v>
      </c>
      <c r="G84" s="13">
        <v>101.789413</v>
      </c>
      <c r="H84" s="13">
        <v>101.789413</v>
      </c>
      <c r="I84" s="14">
        <f t="shared" si="1"/>
        <v>1.5328466039311373E-2</v>
      </c>
      <c r="J84" s="14">
        <f>IF(COUNT(B84)=0,"",B84-(INTERCEPT('3. Cleaned Data'!$B$4:$B$1041,'3. Cleaned Data'!$H$4:$H$1041)+SLOPE('3. Cleaned Data'!$B$4:$B$1041,'3. Cleaned Data'!$H$4:$H$1041)*H84))</f>
        <v>0.52323174168458308</v>
      </c>
    </row>
    <row r="85" spans="1:10" x14ac:dyDescent="0.2">
      <c r="A85" s="12">
        <v>42447</v>
      </c>
      <c r="B85" s="13">
        <v>11.9335031244</v>
      </c>
      <c r="C85" s="13">
        <v>108.769997</v>
      </c>
      <c r="D85" s="13">
        <v>109.949997</v>
      </c>
      <c r="E85" s="13">
        <v>108.699997</v>
      </c>
      <c r="F85" s="13">
        <v>109.610001</v>
      </c>
      <c r="G85" s="13">
        <v>102.707703</v>
      </c>
      <c r="H85" s="13">
        <v>102.707703</v>
      </c>
      <c r="I85" s="14">
        <f t="shared" si="1"/>
        <v>9.0214686668839139E-3</v>
      </c>
      <c r="J85" s="14">
        <f>IF(COUNT(B85)=0,"",B85-(INTERCEPT('3. Cleaned Data'!$B$4:$B$1041,'3. Cleaned Data'!$H$4:$H$1041)+SLOPE('3. Cleaned Data'!$B$4:$B$1041,'3. Cleaned Data'!$H$4:$H$1041)*H85))</f>
        <v>-0.31838297036981622</v>
      </c>
    </row>
    <row r="86" spans="1:10" x14ac:dyDescent="0.2">
      <c r="A86" s="12">
        <v>42450</v>
      </c>
      <c r="B86" s="13">
        <v>11.485626084</v>
      </c>
      <c r="C86" s="13">
        <v>109.44000200000001</v>
      </c>
      <c r="D86" s="13">
        <v>109.94000200000001</v>
      </c>
      <c r="E86" s="13">
        <v>109.08000199999999</v>
      </c>
      <c r="F86" s="13">
        <v>109.349998</v>
      </c>
      <c r="G86" s="13">
        <v>102.464073</v>
      </c>
      <c r="H86" s="13">
        <v>102.464073</v>
      </c>
      <c r="I86" s="14">
        <f t="shared" si="1"/>
        <v>-2.3720713528175841E-3</v>
      </c>
      <c r="J86" s="14">
        <f>IF(COUNT(B86)=0,"",B86-(INTERCEPT('3. Cleaned Data'!$B$4:$B$1041,'3. Cleaned Data'!$H$4:$H$1041)+SLOPE('3. Cleaned Data'!$B$4:$B$1041,'3. Cleaned Data'!$H$4:$H$1041)*H86))</f>
        <v>-0.73293327160349087</v>
      </c>
    </row>
    <row r="87" spans="1:10" x14ac:dyDescent="0.2">
      <c r="A87" s="12">
        <v>42451</v>
      </c>
      <c r="B87" s="13">
        <v>11.6206048512</v>
      </c>
      <c r="C87" s="13">
        <v>108.779999</v>
      </c>
      <c r="D87" s="13">
        <v>109.69000200000001</v>
      </c>
      <c r="E87" s="13">
        <v>108.470001</v>
      </c>
      <c r="F87" s="13">
        <v>109.220001</v>
      </c>
      <c r="G87" s="13">
        <v>102.34225499999999</v>
      </c>
      <c r="H87" s="13">
        <v>102.34225499999999</v>
      </c>
      <c r="I87" s="14">
        <f t="shared" si="1"/>
        <v>-1.1888850055765676E-3</v>
      </c>
      <c r="J87" s="14">
        <f>IF(COUNT(B87)=0,"",B87-(INTERCEPT('3. Cleaned Data'!$B$4:$B$1041,'3. Cleaned Data'!$H$4:$H$1041)+SLOPE('3. Cleaned Data'!$B$4:$B$1041,'3. Cleaned Data'!$H$4:$H$1041)*H87))</f>
        <v>-0.58129072444304519</v>
      </c>
    </row>
    <row r="88" spans="1:10" x14ac:dyDescent="0.2">
      <c r="A88" s="12">
        <v>42452</v>
      </c>
      <c r="B88" s="13">
        <v>11.9432460672</v>
      </c>
      <c r="C88" s="13">
        <v>108.540001</v>
      </c>
      <c r="D88" s="13">
        <v>108.589996</v>
      </c>
      <c r="E88" s="13">
        <v>106.800003</v>
      </c>
      <c r="F88" s="13">
        <v>106.879997</v>
      </c>
      <c r="G88" s="13">
        <v>100.450363</v>
      </c>
      <c r="H88" s="13">
        <v>100.450363</v>
      </c>
      <c r="I88" s="14">
        <f t="shared" si="1"/>
        <v>-1.8485932325802312E-2</v>
      </c>
      <c r="J88" s="14">
        <f>IF(COUNT(B88)=0,"",B88-(INTERCEPT('3. Cleaned Data'!$B$4:$B$1041,'3. Cleaned Data'!$H$4:$H$1041)+SLOPE('3. Cleaned Data'!$B$4:$B$1041,'3. Cleaned Data'!$H$4:$H$1041)*H88))</f>
        <v>1.4699122800720943E-4</v>
      </c>
    </row>
    <row r="89" spans="1:10" x14ac:dyDescent="0.2">
      <c r="A89" s="12">
        <v>42453</v>
      </c>
      <c r="B89" s="13">
        <v>13.064112683999999</v>
      </c>
      <c r="C89" s="13">
        <v>106.239998</v>
      </c>
      <c r="D89" s="13">
        <v>107.220001</v>
      </c>
      <c r="E89" s="13">
        <v>105.739998</v>
      </c>
      <c r="F89" s="13">
        <v>107.199997</v>
      </c>
      <c r="G89" s="13">
        <v>100.75110599999999</v>
      </c>
      <c r="H89" s="13">
        <v>100.75110599999999</v>
      </c>
      <c r="I89" s="14">
        <f t="shared" si="1"/>
        <v>2.9939463732948646E-3</v>
      </c>
      <c r="J89" s="14">
        <f>IF(COUNT(B89)=0,"",B89-(INTERCEPT('3. Cleaned Data'!$B$4:$B$1041,'3. Cleaned Data'!$H$4:$H$1041)+SLOPE('3. Cleaned Data'!$B$4:$B$1041,'3. Cleaned Data'!$H$4:$H$1041)*H89))</f>
        <v>1.0798742429370982</v>
      </c>
    </row>
    <row r="90" spans="1:10" x14ac:dyDescent="0.2">
      <c r="A90" s="12">
        <v>42457</v>
      </c>
      <c r="B90" s="13">
        <v>12.102663228000001</v>
      </c>
      <c r="C90" s="13">
        <v>107.43</v>
      </c>
      <c r="D90" s="13">
        <v>107.779999</v>
      </c>
      <c r="E90" s="13">
        <v>106.550003</v>
      </c>
      <c r="F90" s="13">
        <v>107.33000199999999</v>
      </c>
      <c r="G90" s="13">
        <v>100.873306</v>
      </c>
      <c r="H90" s="13">
        <v>100.873306</v>
      </c>
      <c r="I90" s="14">
        <f t="shared" si="1"/>
        <v>1.2128899111043534E-3</v>
      </c>
      <c r="J90" s="14">
        <f>IF(COUNT(B90)=0,"",B90-(INTERCEPT('3. Cleaned Data'!$B$4:$B$1041,'3. Cleaned Data'!$H$4:$H$1041)+SLOPE('3. Cleaned Data'!$B$4:$B$1041,'3. Cleaned Data'!$H$4:$H$1041)*H90))</f>
        <v>0.10170875226926235</v>
      </c>
    </row>
    <row r="91" spans="1:10" x14ac:dyDescent="0.2">
      <c r="A91" s="12">
        <v>42458</v>
      </c>
      <c r="B91" s="13">
        <v>12.532237200000001</v>
      </c>
      <c r="C91" s="13">
        <v>107.040001</v>
      </c>
      <c r="D91" s="13">
        <v>110.339996</v>
      </c>
      <c r="E91" s="13">
        <v>106.769997</v>
      </c>
      <c r="F91" s="13">
        <v>110.30999799999999</v>
      </c>
      <c r="G91" s="13">
        <v>103.67401099999999</v>
      </c>
      <c r="H91" s="13">
        <v>103.67401099999999</v>
      </c>
      <c r="I91" s="14">
        <f t="shared" si="1"/>
        <v>2.7764580254760363E-2</v>
      </c>
      <c r="J91" s="14">
        <f>IF(COUNT(B91)=0,"",B91-(INTERCEPT('3. Cleaned Data'!$B$4:$B$1041,'3. Cleaned Data'!$H$4:$H$1041)+SLOPE('3. Cleaned Data'!$B$4:$B$1041,'3. Cleaned Data'!$H$4:$H$1041)*H91))</f>
        <v>0.1481674879813486</v>
      </c>
    </row>
    <row r="92" spans="1:10" x14ac:dyDescent="0.2">
      <c r="A92" s="12">
        <v>42459</v>
      </c>
      <c r="B92" s="13">
        <v>11.9302576128</v>
      </c>
      <c r="C92" s="13">
        <v>110.889999</v>
      </c>
      <c r="D92" s="13">
        <v>111.120003</v>
      </c>
      <c r="E92" s="13">
        <v>110.050003</v>
      </c>
      <c r="F92" s="13">
        <v>110.32</v>
      </c>
      <c r="G92" s="13">
        <v>103.68343400000001</v>
      </c>
      <c r="H92" s="13">
        <v>103.68343400000001</v>
      </c>
      <c r="I92" s="14">
        <f t="shared" si="1"/>
        <v>9.0890666900156347E-5</v>
      </c>
      <c r="J92" s="14">
        <f>IF(COUNT(B92)=0,"",B92-(INTERCEPT('3. Cleaned Data'!$B$4:$B$1041,'3. Cleaned Data'!$H$4:$H$1041)+SLOPE('3. Cleaned Data'!$B$4:$B$1041,'3. Cleaned Data'!$H$4:$H$1041)*H92))</f>
        <v>-0.45510109426509437</v>
      </c>
    </row>
    <row r="93" spans="1:10" x14ac:dyDescent="0.2">
      <c r="A93" s="12">
        <v>42460</v>
      </c>
      <c r="B93" s="13">
        <v>12.5320997664</v>
      </c>
      <c r="C93" s="13">
        <v>110.480003</v>
      </c>
      <c r="D93" s="13">
        <v>111.16999800000001</v>
      </c>
      <c r="E93" s="13">
        <v>110.339996</v>
      </c>
      <c r="F93" s="13">
        <v>110.629997</v>
      </c>
      <c r="G93" s="13">
        <v>103.97477000000001</v>
      </c>
      <c r="H93" s="13">
        <v>103.97477000000001</v>
      </c>
      <c r="I93" s="14">
        <f t="shared" si="1"/>
        <v>2.8098606379105551E-3</v>
      </c>
      <c r="J93" s="14">
        <f>IF(COUNT(B93)=0,"",B93-(INTERCEPT('3. Cleaned Data'!$B$4:$B$1041,'3. Cleaned Data'!$H$4:$H$1041)+SLOPE('3. Cleaned Data'!$B$4:$B$1041,'3. Cleaned Data'!$H$4:$H$1041)*H93))</f>
        <v>0.10688850061159272</v>
      </c>
    </row>
    <row r="94" spans="1:10" x14ac:dyDescent="0.2">
      <c r="A94" s="12">
        <v>42461</v>
      </c>
      <c r="B94" s="13">
        <v>12.425094</v>
      </c>
      <c r="C94" s="13">
        <v>109.610001</v>
      </c>
      <c r="D94" s="13">
        <v>111.220001</v>
      </c>
      <c r="E94" s="13">
        <v>109.480003</v>
      </c>
      <c r="F94" s="13">
        <v>111.120003</v>
      </c>
      <c r="G94" s="13">
        <v>104.43531</v>
      </c>
      <c r="H94" s="13">
        <v>104.43531</v>
      </c>
      <c r="I94" s="14">
        <f t="shared" si="1"/>
        <v>4.4293437725324569E-3</v>
      </c>
      <c r="J94" s="14">
        <f>IF(COUNT(B94)=0,"",B94-(INTERCEPT('3. Cleaned Data'!$B$4:$B$1041,'3. Cleaned Data'!$H$4:$H$1041)+SLOPE('3. Cleaned Data'!$B$4:$B$1041,'3. Cleaned Data'!$H$4:$H$1041)*H94))</f>
        <v>-6.3115650452280292E-2</v>
      </c>
    </row>
    <row r="95" spans="1:10" x14ac:dyDescent="0.2">
      <c r="A95" s="12">
        <v>42464</v>
      </c>
      <c r="B95" s="13">
        <v>12.747331833600001</v>
      </c>
      <c r="C95" s="13">
        <v>110.910004</v>
      </c>
      <c r="D95" s="13">
        <v>111.32</v>
      </c>
      <c r="E95" s="13">
        <v>110.099998</v>
      </c>
      <c r="F95" s="13">
        <v>110.19000200000001</v>
      </c>
      <c r="G95" s="13">
        <v>103.56126399999999</v>
      </c>
      <c r="H95" s="13">
        <v>103.56126399999999</v>
      </c>
      <c r="I95" s="14">
        <f t="shared" si="1"/>
        <v>-8.3692574858063029E-3</v>
      </c>
      <c r="J95" s="14">
        <f>IF(COUNT(B95)=0,"",B95-(INTERCEPT('3. Cleaned Data'!$B$4:$B$1041,'3. Cleaned Data'!$H$4:$H$1041)+SLOPE('3. Cleaned Data'!$B$4:$B$1041,'3. Cleaned Data'!$H$4:$H$1041)*H95))</f>
        <v>0.37868505742991232</v>
      </c>
    </row>
    <row r="96" spans="1:10" x14ac:dyDescent="0.2">
      <c r="A96" s="12">
        <v>42465</v>
      </c>
      <c r="B96" s="13">
        <v>12.5516562264</v>
      </c>
      <c r="C96" s="13">
        <v>109.370003</v>
      </c>
      <c r="D96" s="13">
        <v>109.860001</v>
      </c>
      <c r="E96" s="13">
        <v>108.839996</v>
      </c>
      <c r="F96" s="13">
        <v>108.94000200000001</v>
      </c>
      <c r="G96" s="13">
        <v>102.386436</v>
      </c>
      <c r="H96" s="13">
        <v>102.386436</v>
      </c>
      <c r="I96" s="14">
        <f t="shared" si="1"/>
        <v>-1.1344280232037263E-2</v>
      </c>
      <c r="J96" s="14">
        <f>IF(COUNT(B96)=0,"",B96-(INTERCEPT('3. Cleaned Data'!$B$4:$B$1041,'3. Cleaned Data'!$H$4:$H$1041)+SLOPE('3. Cleaned Data'!$B$4:$B$1041,'3. Cleaned Data'!$H$4:$H$1041)*H96))</f>
        <v>0.34371702450769348</v>
      </c>
    </row>
    <row r="97" spans="1:10" x14ac:dyDescent="0.2">
      <c r="A97" s="12">
        <v>42466</v>
      </c>
      <c r="B97" s="13">
        <v>11.653841178</v>
      </c>
      <c r="C97" s="13">
        <v>108.93</v>
      </c>
      <c r="D97" s="13">
        <v>110.269997</v>
      </c>
      <c r="E97" s="13">
        <v>108.589996</v>
      </c>
      <c r="F97" s="13">
        <v>110.16999800000001</v>
      </c>
      <c r="G97" s="13">
        <v>103.54245</v>
      </c>
      <c r="H97" s="13">
        <v>103.54245</v>
      </c>
      <c r="I97" s="14">
        <f t="shared" si="1"/>
        <v>1.129069479476752E-2</v>
      </c>
      <c r="J97" s="14">
        <f>IF(COUNT(B97)=0,"",B97-(INTERCEPT('3. Cleaned Data'!$B$4:$B$1041,'3. Cleaned Data'!$H$4:$H$1041)+SLOPE('3. Cleaned Data'!$B$4:$B$1041,'3. Cleaned Data'!$H$4:$H$1041)*H97))</f>
        <v>-0.71223198543489552</v>
      </c>
    </row>
    <row r="98" spans="1:10" x14ac:dyDescent="0.2">
      <c r="A98" s="12">
        <v>42467</v>
      </c>
      <c r="B98" s="13">
        <v>12.647136549600001</v>
      </c>
      <c r="C98" s="13">
        <v>109.370003</v>
      </c>
      <c r="D98" s="13">
        <v>109.879997</v>
      </c>
      <c r="E98" s="13">
        <v>108.129997</v>
      </c>
      <c r="F98" s="13">
        <v>108.68</v>
      </c>
      <c r="G98" s="13">
        <v>102.142082</v>
      </c>
      <c r="H98" s="13">
        <v>102.142082</v>
      </c>
      <c r="I98" s="14">
        <f t="shared" si="1"/>
        <v>-1.3524578566568635E-2</v>
      </c>
      <c r="J98" s="14">
        <f>IF(COUNT(B98)=0,"",B98-(INTERCEPT('3. Cleaned Data'!$B$4:$B$1041,'3. Cleaned Data'!$H$4:$H$1041)+SLOPE('3. Cleaned Data'!$B$4:$B$1041,'3. Cleaned Data'!$H$4:$H$1041)*H98))</f>
        <v>0.47262312459169209</v>
      </c>
    </row>
    <row r="99" spans="1:10" x14ac:dyDescent="0.2">
      <c r="A99" s="12">
        <v>42468</v>
      </c>
      <c r="B99" s="13">
        <v>13.173104131200001</v>
      </c>
      <c r="C99" s="13">
        <v>109.610001</v>
      </c>
      <c r="D99" s="13">
        <v>110.07</v>
      </c>
      <c r="E99" s="13">
        <v>108.629997</v>
      </c>
      <c r="F99" s="13">
        <v>109.110001</v>
      </c>
      <c r="G99" s="13">
        <v>102.546211</v>
      </c>
      <c r="H99" s="13">
        <v>102.546211</v>
      </c>
      <c r="I99" s="14">
        <f t="shared" si="1"/>
        <v>3.9565377177253058E-3</v>
      </c>
      <c r="J99" s="14">
        <f>IF(COUNT(B99)=0,"",B99-(INTERCEPT('3. Cleaned Data'!$B$4:$B$1041,'3. Cleaned Data'!$H$4:$H$1041)+SLOPE('3. Cleaned Data'!$B$4:$B$1041,'3. Cleaned Data'!$H$4:$H$1041)*H99))</f>
        <v>0.94330891916814075</v>
      </c>
    </row>
    <row r="100" spans="1:10" x14ac:dyDescent="0.2">
      <c r="A100" s="12">
        <v>42471</v>
      </c>
      <c r="B100" s="13">
        <v>12.2711329056</v>
      </c>
      <c r="C100" s="13">
        <v>109.739998</v>
      </c>
      <c r="D100" s="13">
        <v>110.550003</v>
      </c>
      <c r="E100" s="13">
        <v>108.75</v>
      </c>
      <c r="F100" s="13">
        <v>108.769997</v>
      </c>
      <c r="G100" s="13">
        <v>102.226677</v>
      </c>
      <c r="H100" s="13">
        <v>102.226677</v>
      </c>
      <c r="I100" s="14">
        <f t="shared" si="1"/>
        <v>-3.1160000636201168E-3</v>
      </c>
      <c r="J100" s="14">
        <f>IF(COUNT(B100)=0,"",B100-(INTERCEPT('3. Cleaned Data'!$B$4:$B$1041,'3. Cleaned Data'!$H$4:$H$1041)+SLOPE('3. Cleaned Data'!$B$4:$B$1041,'3. Cleaned Data'!$H$4:$H$1041)*H100))</f>
        <v>8.5047525168405969E-2</v>
      </c>
    </row>
    <row r="101" spans="1:10" x14ac:dyDescent="0.2">
      <c r="A101" s="12">
        <v>42472</v>
      </c>
      <c r="B101" s="13">
        <v>13.31634717</v>
      </c>
      <c r="C101" s="13">
        <v>108.790001</v>
      </c>
      <c r="D101" s="13">
        <v>110.18</v>
      </c>
      <c r="E101" s="13">
        <v>108.43</v>
      </c>
      <c r="F101" s="13">
        <v>109.94000200000001</v>
      </c>
      <c r="G101" s="13">
        <v>103.326279</v>
      </c>
      <c r="H101" s="13">
        <v>103.326279</v>
      </c>
      <c r="I101" s="14">
        <f t="shared" si="1"/>
        <v>1.0756507325382358E-2</v>
      </c>
      <c r="J101" s="14">
        <f>IF(COUNT(B101)=0,"",B101-(INTERCEPT('3. Cleaned Data'!$B$4:$B$1041,'3. Cleaned Data'!$H$4:$H$1041)+SLOPE('3. Cleaned Data'!$B$4:$B$1041,'3. Cleaned Data'!$H$4:$H$1041)*H101))</f>
        <v>0.97984456245856677</v>
      </c>
    </row>
    <row r="102" spans="1:10" x14ac:dyDescent="0.2">
      <c r="A102" s="12">
        <v>42473</v>
      </c>
      <c r="B102" s="13">
        <v>12.139195266</v>
      </c>
      <c r="C102" s="13">
        <v>110.58000199999999</v>
      </c>
      <c r="D102" s="13">
        <v>112.43</v>
      </c>
      <c r="E102" s="13">
        <v>110.510002</v>
      </c>
      <c r="F102" s="13">
        <v>112.30999799999999</v>
      </c>
      <c r="G102" s="13">
        <v>105.553719</v>
      </c>
      <c r="H102" s="13">
        <v>105.553719</v>
      </c>
      <c r="I102" s="14">
        <f t="shared" si="1"/>
        <v>2.1557342638846011E-2</v>
      </c>
      <c r="J102" s="14">
        <f>IF(COUNT(B102)=0,"",B102-(INTERCEPT('3. Cleaned Data'!$B$4:$B$1041,'3. Cleaned Data'!$H$4:$H$1041)+SLOPE('3. Cleaned Data'!$B$4:$B$1041,'3. Cleaned Data'!$H$4:$H$1041)*H102))</f>
        <v>-0.50200426675031906</v>
      </c>
    </row>
    <row r="103" spans="1:10" x14ac:dyDescent="0.2">
      <c r="A103" s="12">
        <v>42474</v>
      </c>
      <c r="B103" s="13">
        <v>13.299777004799999</v>
      </c>
      <c r="C103" s="13">
        <v>112.260002</v>
      </c>
      <c r="D103" s="13">
        <v>112.699997</v>
      </c>
      <c r="E103" s="13">
        <v>111.879997</v>
      </c>
      <c r="F103" s="13">
        <v>112.16999800000001</v>
      </c>
      <c r="G103" s="13">
        <v>105.422104</v>
      </c>
      <c r="H103" s="13">
        <v>105.422104</v>
      </c>
      <c r="I103" s="14">
        <f t="shared" si="1"/>
        <v>-1.246900642127069E-3</v>
      </c>
      <c r="J103" s="14">
        <f>IF(COUNT(B103)=0,"",B103-(INTERCEPT('3. Cleaned Data'!$B$4:$B$1041,'3. Cleaned Data'!$H$4:$H$1041)+SLOPE('3. Cleaned Data'!$B$4:$B$1041,'3. Cleaned Data'!$H$4:$H$1041)*H103))</f>
        <v>0.67658140742453377</v>
      </c>
    </row>
    <row r="104" spans="1:10" x14ac:dyDescent="0.2">
      <c r="A104" s="12">
        <v>42475</v>
      </c>
      <c r="B104" s="13">
        <v>12.551273481599999</v>
      </c>
      <c r="C104" s="13">
        <v>111.900002</v>
      </c>
      <c r="D104" s="13">
        <v>112.629997</v>
      </c>
      <c r="E104" s="13">
        <v>111.860001</v>
      </c>
      <c r="F104" s="13">
        <v>112.449997</v>
      </c>
      <c r="G104" s="13">
        <v>105.685295</v>
      </c>
      <c r="H104" s="13">
        <v>105.685295</v>
      </c>
      <c r="I104" s="14">
        <f t="shared" si="1"/>
        <v>2.4965447473899172E-3</v>
      </c>
      <c r="J104" s="14">
        <f>IF(COUNT(B104)=0,"",B104-(INTERCEPT('3. Cleaned Data'!$B$4:$B$1041,'3. Cleaned Data'!$H$4:$H$1041)+SLOPE('3. Cleaned Data'!$B$4:$B$1041,'3. Cleaned Data'!$H$4:$H$1041)*H104))</f>
        <v>-0.10792465162049325</v>
      </c>
    </row>
    <row r="105" spans="1:10" x14ac:dyDescent="0.2">
      <c r="A105" s="12">
        <v>42478</v>
      </c>
      <c r="B105" s="13">
        <v>12.8705676024</v>
      </c>
      <c r="C105" s="13">
        <v>111.980003</v>
      </c>
      <c r="D105" s="13">
        <v>113.389999</v>
      </c>
      <c r="E105" s="13">
        <v>111.870003</v>
      </c>
      <c r="F105" s="13">
        <v>113.300003</v>
      </c>
      <c r="G105" s="13">
        <v>106.48416899999999</v>
      </c>
      <c r="H105" s="13">
        <v>106.48416899999999</v>
      </c>
      <c r="I105" s="14">
        <f t="shared" si="1"/>
        <v>7.558989166846608E-3</v>
      </c>
      <c r="J105" s="14">
        <f>IF(COUNT(B105)=0,"",B105-(INTERCEPT('3. Cleaned Data'!$B$4:$B$1041,'3. Cleaned Data'!$H$4:$H$1041)+SLOPE('3. Cleaned Data'!$B$4:$B$1041,'3. Cleaned Data'!$H$4:$H$1041)*H105))</f>
        <v>0.10208955527416208</v>
      </c>
    </row>
    <row r="106" spans="1:10" x14ac:dyDescent="0.2">
      <c r="A106" s="12">
        <v>42479</v>
      </c>
      <c r="B106" s="13">
        <v>12.612061627199999</v>
      </c>
      <c r="C106" s="13">
        <v>113.510002</v>
      </c>
      <c r="D106" s="13">
        <v>114.129997</v>
      </c>
      <c r="E106" s="13">
        <v>112.889999</v>
      </c>
      <c r="F106" s="13">
        <v>113.389999</v>
      </c>
      <c r="G106" s="13">
        <v>106.568726</v>
      </c>
      <c r="H106" s="13">
        <v>106.568726</v>
      </c>
      <c r="I106" s="14">
        <f t="shared" si="1"/>
        <v>7.9408047970019879E-4</v>
      </c>
      <c r="J106" s="14">
        <f>IF(COUNT(B106)=0,"",B106-(INTERCEPT('3. Cleaned Data'!$B$4:$B$1041,'3. Cleaned Data'!$H$4:$H$1041)+SLOPE('3. Cleaned Data'!$B$4:$B$1041,'3. Cleaned Data'!$H$4:$H$1041)*H106))</f>
        <v>-0.16798317723687184</v>
      </c>
    </row>
    <row r="107" spans="1:10" x14ac:dyDescent="0.2">
      <c r="A107" s="12">
        <v>42480</v>
      </c>
      <c r="B107" s="13">
        <v>12.139195266</v>
      </c>
      <c r="C107" s="13">
        <v>113.389999</v>
      </c>
      <c r="D107" s="13">
        <v>114.209999</v>
      </c>
      <c r="E107" s="13">
        <v>112.970001</v>
      </c>
      <c r="F107" s="13">
        <v>113.55999799999999</v>
      </c>
      <c r="G107" s="13">
        <v>106.728516</v>
      </c>
      <c r="H107" s="13">
        <v>106.728516</v>
      </c>
      <c r="I107" s="14">
        <f t="shared" si="1"/>
        <v>1.4994079970516161E-3</v>
      </c>
      <c r="J107" s="14">
        <f>IF(COUNT(B107)=0,"",B107-(INTERCEPT('3. Cleaned Data'!$B$4:$B$1041,'3. Cleaned Data'!$H$4:$H$1041)+SLOPE('3. Cleaned Data'!$B$4:$B$1041,'3. Cleaned Data'!$H$4:$H$1041)*H107))</f>
        <v>-0.66270760046284316</v>
      </c>
    </row>
    <row r="108" spans="1:10" x14ac:dyDescent="0.2">
      <c r="A108" s="12">
        <v>42481</v>
      </c>
      <c r="B108" s="13">
        <v>12.903284879999999</v>
      </c>
      <c r="C108" s="13">
        <v>113.470001</v>
      </c>
      <c r="D108" s="13">
        <v>113.91999800000001</v>
      </c>
      <c r="E108" s="13">
        <v>112.660004</v>
      </c>
      <c r="F108" s="13">
        <v>112.989998</v>
      </c>
      <c r="G108" s="13">
        <v>106.192802</v>
      </c>
      <c r="H108" s="13">
        <v>106.192802</v>
      </c>
      <c r="I108" s="14">
        <f t="shared" si="1"/>
        <v>-5.0194083088347385E-3</v>
      </c>
      <c r="J108" s="14">
        <f>IF(COUNT(B108)=0,"",B108-(INTERCEPT('3. Cleaned Data'!$B$4:$B$1041,'3. Cleaned Data'!$H$4:$H$1041)+SLOPE('3. Cleaned Data'!$B$4:$B$1041,'3. Cleaned Data'!$H$4:$H$1041)*H108))</f>
        <v>0.17466363216273173</v>
      </c>
    </row>
    <row r="109" spans="1:10" x14ac:dyDescent="0.2">
      <c r="A109" s="12">
        <v>42482</v>
      </c>
      <c r="B109" s="13">
        <v>12.8189116836</v>
      </c>
      <c r="C109" s="13">
        <v>112.980003</v>
      </c>
      <c r="D109" s="13">
        <v>114.19000200000001</v>
      </c>
      <c r="E109" s="13">
        <v>112.980003</v>
      </c>
      <c r="F109" s="13">
        <v>114.110001</v>
      </c>
      <c r="G109" s="13">
        <v>107.245422</v>
      </c>
      <c r="H109" s="13">
        <v>107.245422</v>
      </c>
      <c r="I109" s="14">
        <f t="shared" si="1"/>
        <v>9.9123479197771314E-3</v>
      </c>
      <c r="J109" s="14">
        <f>IF(COUNT(B109)=0,"",B109-(INTERCEPT('3. Cleaned Data'!$B$4:$B$1041,'3. Cleaned Data'!$H$4:$H$1041)+SLOPE('3. Cleaned Data'!$B$4:$B$1041,'3. Cleaned Data'!$H$4:$H$1041)*H109))</f>
        <v>-5.3700009507792856E-2</v>
      </c>
    </row>
    <row r="110" spans="1:10" x14ac:dyDescent="0.2">
      <c r="A110" s="12">
        <v>42485</v>
      </c>
      <c r="B110" s="13">
        <v>13.440686994</v>
      </c>
      <c r="C110" s="13">
        <v>113.800003</v>
      </c>
      <c r="D110" s="13">
        <v>113.910004</v>
      </c>
      <c r="E110" s="13">
        <v>112.80999799999999</v>
      </c>
      <c r="F110" s="13">
        <v>113.300003</v>
      </c>
      <c r="G110" s="13">
        <v>106.48416899999999</v>
      </c>
      <c r="H110" s="13">
        <v>106.48416899999999</v>
      </c>
      <c r="I110" s="14">
        <f t="shared" si="1"/>
        <v>-7.0982330602420429E-3</v>
      </c>
      <c r="J110" s="14">
        <f>IF(COUNT(B110)=0,"",B110-(INTERCEPT('3. Cleaned Data'!$B$4:$B$1041,'3. Cleaned Data'!$H$4:$H$1041)+SLOPE('3. Cleaned Data'!$B$4:$B$1041,'3. Cleaned Data'!$H$4:$H$1041)*H110))</f>
        <v>0.67220894687416255</v>
      </c>
    </row>
    <row r="111" spans="1:10" x14ac:dyDescent="0.2">
      <c r="A111" s="12">
        <v>42486</v>
      </c>
      <c r="B111" s="13">
        <v>12.4319067768</v>
      </c>
      <c r="C111" s="13">
        <v>113.66999800000001</v>
      </c>
      <c r="D111" s="13">
        <v>114.529999</v>
      </c>
      <c r="E111" s="13">
        <v>113.16999800000001</v>
      </c>
      <c r="F111" s="13">
        <v>114.410004</v>
      </c>
      <c r="G111" s="13">
        <v>107.52737399999999</v>
      </c>
      <c r="H111" s="13">
        <v>107.52737399999999</v>
      </c>
      <c r="I111" s="14">
        <f t="shared" si="1"/>
        <v>9.7968083875454859E-3</v>
      </c>
      <c r="J111" s="14">
        <f>IF(COUNT(B111)=0,"",B111-(INTERCEPT('3. Cleaned Data'!$B$4:$B$1041,'3. Cleaned Data'!$H$4:$H$1041)+SLOPE('3. Cleaned Data'!$B$4:$B$1041,'3. Cleaned Data'!$H$4:$H$1041)*H111))</f>
        <v>-0.47927381488934451</v>
      </c>
    </row>
    <row r="112" spans="1:10" x14ac:dyDescent="0.2">
      <c r="A112" s="12">
        <v>42487</v>
      </c>
      <c r="B112" s="13">
        <v>13.182353194799999</v>
      </c>
      <c r="C112" s="13">
        <v>114.480003</v>
      </c>
      <c r="D112" s="13">
        <v>115.050003</v>
      </c>
      <c r="E112" s="13">
        <v>113.900002</v>
      </c>
      <c r="F112" s="13">
        <v>114.80999799999999</v>
      </c>
      <c r="G112" s="13">
        <v>107.90329699999999</v>
      </c>
      <c r="H112" s="13">
        <v>107.90329699999999</v>
      </c>
      <c r="I112" s="14">
        <f t="shared" si="1"/>
        <v>3.4960678943019019E-3</v>
      </c>
      <c r="J112" s="14">
        <f>IF(COUNT(B112)=0,"",B112-(INTERCEPT('3. Cleaned Data'!$B$4:$B$1041,'3. Cleaned Data'!$H$4:$H$1041)+SLOPE('3. Cleaned Data'!$B$4:$B$1041,'3. Cleaned Data'!$H$4:$H$1041)*H112))</f>
        <v>0.21974918330347748</v>
      </c>
    </row>
    <row r="113" spans="1:10" x14ac:dyDescent="0.2">
      <c r="A113" s="12">
        <v>42488</v>
      </c>
      <c r="B113" s="13">
        <v>13.092171456000001</v>
      </c>
      <c r="C113" s="13">
        <v>114.269997</v>
      </c>
      <c r="D113" s="13">
        <v>115</v>
      </c>
      <c r="E113" s="13">
        <v>113.19000200000001</v>
      </c>
      <c r="F113" s="13">
        <v>113.5</v>
      </c>
      <c r="G113" s="13">
        <v>106.672119</v>
      </c>
      <c r="H113" s="13">
        <v>106.672119</v>
      </c>
      <c r="I113" s="14">
        <f t="shared" si="1"/>
        <v>-1.1410012800628366E-2</v>
      </c>
      <c r="J113" s="14">
        <f>IF(COUNT(B113)=0,"",B113-(INTERCEPT('3. Cleaned Data'!$B$4:$B$1041,'3. Cleaned Data'!$H$4:$H$1041)+SLOPE('3. Cleaned Data'!$B$4:$B$1041,'3. Cleaned Data'!$H$4:$H$1041)*H113))</f>
        <v>0.29798327208349207</v>
      </c>
    </row>
    <row r="114" spans="1:10" x14ac:dyDescent="0.2">
      <c r="A114" s="12">
        <v>42489</v>
      </c>
      <c r="B114" s="13">
        <v>12.4848678</v>
      </c>
      <c r="C114" s="13">
        <v>113.010002</v>
      </c>
      <c r="D114" s="13">
        <v>113.459999</v>
      </c>
      <c r="E114" s="13">
        <v>111.720001</v>
      </c>
      <c r="F114" s="13">
        <v>112.480003</v>
      </c>
      <c r="G114" s="13">
        <v>105.713493</v>
      </c>
      <c r="H114" s="13">
        <v>105.713493</v>
      </c>
      <c r="I114" s="14">
        <f t="shared" si="1"/>
        <v>-8.9866593912885095E-3</v>
      </c>
      <c r="J114" s="14">
        <f>IF(COUNT(B114)=0,"",B114-(INTERCEPT('3. Cleaned Data'!$B$4:$B$1041,'3. Cleaned Data'!$H$4:$H$1041)+SLOPE('3. Cleaned Data'!$B$4:$B$1041,'3. Cleaned Data'!$H$4:$H$1041)*H114))</f>
        <v>-0.17818760609744722</v>
      </c>
    </row>
    <row r="115" spans="1:10" x14ac:dyDescent="0.2">
      <c r="A115" s="12">
        <v>42492</v>
      </c>
      <c r="B115" s="13">
        <v>12.186537787200001</v>
      </c>
      <c r="C115" s="13">
        <v>112.83000199999999</v>
      </c>
      <c r="D115" s="13">
        <v>113.510002</v>
      </c>
      <c r="E115" s="13">
        <v>112.18</v>
      </c>
      <c r="F115" s="13">
        <v>113.480003</v>
      </c>
      <c r="G115" s="13">
        <v>106.65334300000001</v>
      </c>
      <c r="H115" s="13">
        <v>106.65334300000001</v>
      </c>
      <c r="I115" s="14">
        <f t="shared" si="1"/>
        <v>8.8905396400060788E-3</v>
      </c>
      <c r="J115" s="14">
        <f>IF(COUNT(B115)=0,"",B115-(INTERCEPT('3. Cleaned Data'!$B$4:$B$1041,'3. Cleaned Data'!$H$4:$H$1041)+SLOPE('3. Cleaned Data'!$B$4:$B$1041,'3. Cleaned Data'!$H$4:$H$1041)*H115))</f>
        <v>-0.60508198209356934</v>
      </c>
    </row>
    <row r="116" spans="1:10" x14ac:dyDescent="0.2">
      <c r="A116" s="12">
        <v>42493</v>
      </c>
      <c r="B116" s="13">
        <v>13.133979180000001</v>
      </c>
      <c r="C116" s="13">
        <v>112.550003</v>
      </c>
      <c r="D116" s="13">
        <v>112.55999799999999</v>
      </c>
      <c r="E116" s="13">
        <v>110.93</v>
      </c>
      <c r="F116" s="13">
        <v>111.620003</v>
      </c>
      <c r="G116" s="13">
        <v>104.90522</v>
      </c>
      <c r="H116" s="13">
        <v>104.90522</v>
      </c>
      <c r="I116" s="14">
        <f t="shared" si="1"/>
        <v>-1.639070047715252E-2</v>
      </c>
      <c r="J116" s="14">
        <f>IF(COUNT(B116)=0,"",B116-(INTERCEPT('3. Cleaned Data'!$B$4:$B$1041,'3. Cleaned Data'!$H$4:$H$1041)+SLOPE('3. Cleaned Data'!$B$4:$B$1041,'3. Cleaned Data'!$H$4:$H$1041)*H116))</f>
        <v>0.58148939983607484</v>
      </c>
    </row>
    <row r="117" spans="1:10" x14ac:dyDescent="0.2">
      <c r="A117" s="12">
        <v>42494</v>
      </c>
      <c r="B117" s="13">
        <v>12.4191953028</v>
      </c>
      <c r="C117" s="13">
        <v>110.989998</v>
      </c>
      <c r="D117" s="13">
        <v>111.989998</v>
      </c>
      <c r="E117" s="13">
        <v>110.370003</v>
      </c>
      <c r="F117" s="13">
        <v>110.699997</v>
      </c>
      <c r="G117" s="13">
        <v>104.040565</v>
      </c>
      <c r="H117" s="13">
        <v>104.040565</v>
      </c>
      <c r="I117" s="14">
        <f t="shared" si="1"/>
        <v>-8.2422495277165719E-3</v>
      </c>
      <c r="J117" s="14">
        <f>IF(COUNT(B117)=0,"",B117-(INTERCEPT('3. Cleaned Data'!$B$4:$B$1041,'3. Cleaned Data'!$H$4:$H$1041)+SLOPE('3. Cleaned Data'!$B$4:$B$1041,'3. Cleaned Data'!$H$4:$H$1041)*H117))</f>
        <v>-1.5016220770487365E-2</v>
      </c>
    </row>
    <row r="118" spans="1:10" x14ac:dyDescent="0.2">
      <c r="A118" s="12">
        <v>42495</v>
      </c>
      <c r="B118" s="13">
        <v>12.924376221599999</v>
      </c>
      <c r="C118" s="13">
        <v>111.150002</v>
      </c>
      <c r="D118" s="13">
        <v>111.33000199999999</v>
      </c>
      <c r="E118" s="13">
        <v>110.099998</v>
      </c>
      <c r="F118" s="13">
        <v>110.260002</v>
      </c>
      <c r="G118" s="13">
        <v>103.627022</v>
      </c>
      <c r="H118" s="13">
        <v>103.627022</v>
      </c>
      <c r="I118" s="14">
        <f t="shared" si="1"/>
        <v>-3.9748246272980348E-3</v>
      </c>
      <c r="J118" s="14">
        <f>IF(COUNT(B118)=0,"",B118-(INTERCEPT('3. Cleaned Data'!$B$4:$B$1041,'3. Cleaned Data'!$H$4:$H$1041)+SLOPE('3. Cleaned Data'!$B$4:$B$1041,'3. Cleaned Data'!$H$4:$H$1041)*H118))</f>
        <v>0.5467342489676561</v>
      </c>
    </row>
    <row r="119" spans="1:10" x14ac:dyDescent="0.2">
      <c r="A119" s="12">
        <v>42496</v>
      </c>
      <c r="B119" s="13">
        <v>13.0147560192</v>
      </c>
      <c r="C119" s="13">
        <v>109.800003</v>
      </c>
      <c r="D119" s="13">
        <v>110.93</v>
      </c>
      <c r="E119" s="13">
        <v>109.540001</v>
      </c>
      <c r="F119" s="13">
        <v>110.910004</v>
      </c>
      <c r="G119" s="13">
        <v>104.23793000000001</v>
      </c>
      <c r="H119" s="13">
        <v>104.23793000000001</v>
      </c>
      <c r="I119" s="14">
        <f t="shared" si="1"/>
        <v>5.8952577060451539E-3</v>
      </c>
      <c r="J119" s="14">
        <f>IF(COUNT(B119)=0,"",B119-(INTERCEPT('3. Cleaned Data'!$B$4:$B$1041,'3. Cleaned Data'!$H$4:$H$1041)+SLOPE('3. Cleaned Data'!$B$4:$B$1041,'3. Cleaned Data'!$H$4:$H$1041)*H119))</f>
        <v>0.55354645813182302</v>
      </c>
    </row>
    <row r="120" spans="1:10" x14ac:dyDescent="0.2">
      <c r="A120" s="12">
        <v>42499</v>
      </c>
      <c r="B120" s="13">
        <v>12.198696804000001</v>
      </c>
      <c r="C120" s="13">
        <v>110.91999800000001</v>
      </c>
      <c r="D120" s="13">
        <v>111.889999</v>
      </c>
      <c r="E120" s="13">
        <v>110.629997</v>
      </c>
      <c r="F120" s="13">
        <v>111.230003</v>
      </c>
      <c r="G120" s="13">
        <v>104.538681</v>
      </c>
      <c r="H120" s="13">
        <v>104.538681</v>
      </c>
      <c r="I120" s="14">
        <f t="shared" si="1"/>
        <v>2.8852357294508746E-3</v>
      </c>
      <c r="J120" s="14">
        <f>IF(COUNT(B120)=0,"",B120-(INTERCEPT('3. Cleaned Data'!$B$4:$B$1041,'3. Cleaned Data'!$H$4:$H$1041)+SLOPE('3. Cleaned Data'!$B$4:$B$1041,'3. Cleaned Data'!$H$4:$H$1041)*H120))</f>
        <v>-0.30365321649850685</v>
      </c>
    </row>
    <row r="121" spans="1:10" x14ac:dyDescent="0.2">
      <c r="A121" s="12">
        <v>42500</v>
      </c>
      <c r="B121" s="13">
        <v>12.983586084000001</v>
      </c>
      <c r="C121" s="13">
        <v>111.660004</v>
      </c>
      <c r="D121" s="13">
        <v>112.400002</v>
      </c>
      <c r="E121" s="13">
        <v>111.07</v>
      </c>
      <c r="F121" s="13">
        <v>112.349998</v>
      </c>
      <c r="G121" s="13">
        <v>105.591309</v>
      </c>
      <c r="H121" s="13">
        <v>105.591309</v>
      </c>
      <c r="I121" s="14">
        <f t="shared" si="1"/>
        <v>1.0069268044428537E-2</v>
      </c>
      <c r="J121" s="14">
        <f>IF(COUNT(B121)=0,"",B121-(INTERCEPT('3. Cleaned Data'!$B$4:$B$1041,'3. Cleaned Data'!$H$4:$H$1041)+SLOPE('3. Cleaned Data'!$B$4:$B$1041,'3. Cleaned Data'!$H$4:$H$1041)*H121))</f>
        <v>0.33724452389154713</v>
      </c>
    </row>
    <row r="122" spans="1:10" x14ac:dyDescent="0.2">
      <c r="A122" s="12">
        <v>42501</v>
      </c>
      <c r="B122" s="13">
        <v>12.772524823199999</v>
      </c>
      <c r="C122" s="13">
        <v>112.099998</v>
      </c>
      <c r="D122" s="13">
        <v>112.269997</v>
      </c>
      <c r="E122" s="13">
        <v>110.870003</v>
      </c>
      <c r="F122" s="13">
        <v>110.959999</v>
      </c>
      <c r="G122" s="13">
        <v>104.284904</v>
      </c>
      <c r="H122" s="13">
        <v>104.284904</v>
      </c>
      <c r="I122" s="14">
        <f t="shared" si="1"/>
        <v>-1.2372277722212943E-2</v>
      </c>
      <c r="J122" s="14">
        <f>IF(COUNT(B122)=0,"",B122-(INTERCEPT('3. Cleaned Data'!$B$4:$B$1041,'3. Cleaned Data'!$H$4:$H$1041)+SLOPE('3. Cleaned Data'!$B$4:$B$1041,'3. Cleaned Data'!$H$4:$H$1041)*H122))</f>
        <v>0.30488957463193067</v>
      </c>
    </row>
    <row r="123" spans="1:10" x14ac:dyDescent="0.2">
      <c r="A123" s="12">
        <v>42502</v>
      </c>
      <c r="B123" s="13">
        <v>12.939768954</v>
      </c>
      <c r="C123" s="13">
        <v>111.19000200000001</v>
      </c>
      <c r="D123" s="13">
        <v>111.489998</v>
      </c>
      <c r="E123" s="13">
        <v>109.5</v>
      </c>
      <c r="F123" s="13">
        <v>110.370003</v>
      </c>
      <c r="G123" s="13">
        <v>103.73041499999999</v>
      </c>
      <c r="H123" s="13">
        <v>103.73041499999999</v>
      </c>
      <c r="I123" s="14">
        <f t="shared" si="1"/>
        <v>-5.3170591210401907E-3</v>
      </c>
      <c r="J123" s="14">
        <f>IF(COUNT(B123)=0,"",B123-(INTERCEPT('3. Cleaned Data'!$B$4:$B$1041,'3. Cleaned Data'!$H$4:$H$1041)+SLOPE('3. Cleaned Data'!$B$4:$B$1041,'3. Cleaned Data'!$H$4:$H$1041)*H123))</f>
        <v>0.54798360188802064</v>
      </c>
    </row>
    <row r="124" spans="1:10" x14ac:dyDescent="0.2">
      <c r="A124" s="12">
        <v>42503</v>
      </c>
      <c r="B124" s="13">
        <v>12.14011848</v>
      </c>
      <c r="C124" s="13">
        <v>110.05999799999999</v>
      </c>
      <c r="D124" s="13">
        <v>110.94000200000001</v>
      </c>
      <c r="E124" s="13">
        <v>109.360001</v>
      </c>
      <c r="F124" s="13">
        <v>109.639999</v>
      </c>
      <c r="G124" s="13">
        <v>103.04433400000001</v>
      </c>
      <c r="H124" s="13">
        <v>103.04433400000001</v>
      </c>
      <c r="I124" s="14">
        <f t="shared" si="1"/>
        <v>-6.6140774622369669E-3</v>
      </c>
      <c r="J124" s="14">
        <f>IF(COUNT(B124)=0,"",B124-(INTERCEPT('3. Cleaned Data'!$B$4:$B$1041,'3. Cleaned Data'!$H$4:$H$1041)+SLOPE('3. Cleaned Data'!$B$4:$B$1041,'3. Cleaned Data'!$H$4:$H$1041)*H124))</f>
        <v>-0.15781618650687612</v>
      </c>
    </row>
    <row r="125" spans="1:10" x14ac:dyDescent="0.2">
      <c r="A125" s="12">
        <v>42506</v>
      </c>
      <c r="B125" s="13">
        <v>12.780174326399999</v>
      </c>
      <c r="C125" s="13">
        <v>109.91999800000001</v>
      </c>
      <c r="D125" s="13">
        <v>111.519997</v>
      </c>
      <c r="E125" s="13">
        <v>109.870003</v>
      </c>
      <c r="F125" s="13">
        <v>111.029999</v>
      </c>
      <c r="G125" s="13">
        <v>104.35069300000001</v>
      </c>
      <c r="H125" s="13">
        <v>104.35069300000001</v>
      </c>
      <c r="I125" s="14">
        <f t="shared" si="1"/>
        <v>1.2677640286364422E-2</v>
      </c>
      <c r="J125" s="14">
        <f>IF(COUNT(B125)=0,"",B125-(INTERCEPT('3. Cleaned Data'!$B$4:$B$1041,'3. Cleaned Data'!$H$4:$H$1041)+SLOPE('3. Cleaned Data'!$B$4:$B$1041,'3. Cleaned Data'!$H$4:$H$1041)*H125))</f>
        <v>0.30353964080441465</v>
      </c>
    </row>
    <row r="126" spans="1:10" x14ac:dyDescent="0.2">
      <c r="A126" s="12">
        <v>42507</v>
      </c>
      <c r="B126" s="13">
        <v>11.9952176256</v>
      </c>
      <c r="C126" s="13">
        <v>110.879997</v>
      </c>
      <c r="D126" s="13">
        <v>111.41999800000001</v>
      </c>
      <c r="E126" s="13">
        <v>108.769997</v>
      </c>
      <c r="F126" s="13">
        <v>109.269997</v>
      </c>
      <c r="G126" s="13">
        <v>102.696579</v>
      </c>
      <c r="H126" s="13">
        <v>102.696579</v>
      </c>
      <c r="I126" s="14">
        <f t="shared" si="1"/>
        <v>-1.585149032024169E-2</v>
      </c>
      <c r="J126" s="14">
        <f>IF(COUNT(B126)=0,"",B126-(INTERCEPT('3. Cleaned Data'!$B$4:$B$1041,'3. Cleaned Data'!$H$4:$H$1041)+SLOPE('3. Cleaned Data'!$B$4:$B$1041,'3. Cleaned Data'!$H$4:$H$1041)*H126))</f>
        <v>-0.2551467902038187</v>
      </c>
    </row>
    <row r="127" spans="1:10" x14ac:dyDescent="0.2">
      <c r="A127" s="12">
        <v>42508</v>
      </c>
      <c r="B127" s="13">
        <v>13.104373968000001</v>
      </c>
      <c r="C127" s="13">
        <v>108.80999799999999</v>
      </c>
      <c r="D127" s="13">
        <v>110.660004</v>
      </c>
      <c r="E127" s="13">
        <v>108.790001</v>
      </c>
      <c r="F127" s="13">
        <v>109.839996</v>
      </c>
      <c r="G127" s="13">
        <v>103.2323</v>
      </c>
      <c r="H127" s="13">
        <v>103.2323</v>
      </c>
      <c r="I127" s="14">
        <f t="shared" si="1"/>
        <v>5.2165418285257115E-3</v>
      </c>
      <c r="J127" s="14">
        <f>IF(COUNT(B127)=0,"",B127-(INTERCEPT('3. Cleaned Data'!$B$4:$B$1041,'3. Cleaned Data'!$H$4:$H$1041)+SLOPE('3. Cleaned Data'!$B$4:$B$1041,'3. Cleaned Data'!$H$4:$H$1041)*H127))</f>
        <v>0.78072697602361352</v>
      </c>
    </row>
    <row r="128" spans="1:10" x14ac:dyDescent="0.2">
      <c r="A128" s="12">
        <v>42509</v>
      </c>
      <c r="B128" s="13">
        <v>12.2279976576</v>
      </c>
      <c r="C128" s="13">
        <v>109.040001</v>
      </c>
      <c r="D128" s="13">
        <v>109.769997</v>
      </c>
      <c r="E128" s="13">
        <v>107.989998</v>
      </c>
      <c r="F128" s="13">
        <v>108.959999</v>
      </c>
      <c r="G128" s="13">
        <v>102.405243</v>
      </c>
      <c r="H128" s="13">
        <v>102.405243</v>
      </c>
      <c r="I128" s="14">
        <f t="shared" si="1"/>
        <v>-8.0116107071138698E-3</v>
      </c>
      <c r="J128" s="14">
        <f>IF(COUNT(B128)=0,"",B128-(INTERCEPT('3. Cleaned Data'!$B$4:$B$1041,'3. Cleaned Data'!$H$4:$H$1041)+SLOPE('3. Cleaned Data'!$B$4:$B$1041,'3. Cleaned Data'!$H$4:$H$1041)*H128))</f>
        <v>1.7485800519494887E-2</v>
      </c>
    </row>
    <row r="129" spans="1:10" x14ac:dyDescent="0.2">
      <c r="A129" s="12">
        <v>42510</v>
      </c>
      <c r="B129" s="13">
        <v>13.324410028799999</v>
      </c>
      <c r="C129" s="13">
        <v>109.290001</v>
      </c>
      <c r="D129" s="13">
        <v>110.790001</v>
      </c>
      <c r="E129" s="13">
        <v>109.230003</v>
      </c>
      <c r="F129" s="13">
        <v>110.790001</v>
      </c>
      <c r="G129" s="13">
        <v>104.125153</v>
      </c>
      <c r="H129" s="13">
        <v>104.125153</v>
      </c>
      <c r="I129" s="14">
        <f t="shared" si="1"/>
        <v>1.6795136163096691E-2</v>
      </c>
      <c r="J129" s="14">
        <f>IF(COUNT(B129)=0,"",B129-(INTERCEPT('3. Cleaned Data'!$B$4:$B$1041,'3. Cleaned Data'!$H$4:$H$1041)+SLOPE('3. Cleaned Data'!$B$4:$B$1041,'3. Cleaned Data'!$H$4:$H$1041)*H129))</f>
        <v>0.87862750735321882</v>
      </c>
    </row>
    <row r="130" spans="1:10" x14ac:dyDescent="0.2">
      <c r="A130" s="12">
        <v>42513</v>
      </c>
      <c r="B130" s="13">
        <v>13.0532177664</v>
      </c>
      <c r="C130" s="13">
        <v>110.769997</v>
      </c>
      <c r="D130" s="13">
        <v>111.389999</v>
      </c>
      <c r="E130" s="13">
        <v>110.5</v>
      </c>
      <c r="F130" s="13">
        <v>110.660004</v>
      </c>
      <c r="G130" s="13">
        <v>104.002968</v>
      </c>
      <c r="H130" s="13">
        <v>104.002968</v>
      </c>
      <c r="I130" s="14">
        <f t="shared" si="1"/>
        <v>-1.173443653907591E-3</v>
      </c>
      <c r="J130" s="14">
        <f>IF(COUNT(B130)=0,"",B130-(INTERCEPT('3. Cleaned Data'!$B$4:$B$1041,'3. Cleaned Data'!$H$4:$H$1041)+SLOPE('3. Cleaned Data'!$B$4:$B$1041,'3. Cleaned Data'!$H$4:$H$1041)*H130))</f>
        <v>0.62414922773464099</v>
      </c>
    </row>
    <row r="131" spans="1:10" x14ac:dyDescent="0.2">
      <c r="A131" s="12">
        <v>42514</v>
      </c>
      <c r="B131" s="13">
        <v>12.795464840399999</v>
      </c>
      <c r="C131" s="13">
        <v>111.30999799999999</v>
      </c>
      <c r="D131" s="13">
        <v>113.220001</v>
      </c>
      <c r="E131" s="13">
        <v>111.269997</v>
      </c>
      <c r="F131" s="13">
        <v>112.94000200000001</v>
      </c>
      <c r="G131" s="13">
        <v>106.145813</v>
      </c>
      <c r="H131" s="13">
        <v>106.145813</v>
      </c>
      <c r="I131" s="14">
        <f t="shared" si="1"/>
        <v>2.0603690848514988E-2</v>
      </c>
      <c r="J131" s="14">
        <f>IF(COUNT(B131)=0,"",B131-(INTERCEPT('3. Cleaned Data'!$B$4:$B$1041,'3. Cleaned Data'!$H$4:$H$1041)+SLOPE('3. Cleaned Data'!$B$4:$B$1041,'3. Cleaned Data'!$H$4:$H$1041)*H131))</f>
        <v>7.3271331949040786E-2</v>
      </c>
    </row>
    <row r="132" spans="1:10" x14ac:dyDescent="0.2">
      <c r="A132" s="12">
        <v>42515</v>
      </c>
      <c r="B132" s="13">
        <v>12.710429793599999</v>
      </c>
      <c r="C132" s="13">
        <v>113.300003</v>
      </c>
      <c r="D132" s="13">
        <v>113.900002</v>
      </c>
      <c r="E132" s="13">
        <v>113.08000199999999</v>
      </c>
      <c r="F132" s="13">
        <v>113.599998</v>
      </c>
      <c r="G132" s="13">
        <v>106.76610599999999</v>
      </c>
      <c r="H132" s="13">
        <v>106.76610599999999</v>
      </c>
      <c r="I132" s="14">
        <f t="shared" si="1"/>
        <v>5.843782081164095E-3</v>
      </c>
      <c r="J132" s="14">
        <f>IF(COUNT(B132)=0,"",B132-(INTERCEPT('3. Cleaned Data'!$B$4:$B$1041,'3. Cleaned Data'!$H$4:$H$1041)+SLOPE('3. Cleaned Data'!$B$4:$B$1041,'3. Cleaned Data'!$H$4:$H$1041)*H132))</f>
        <v>-9.6615100220976302E-2</v>
      </c>
    </row>
    <row r="133" spans="1:10" x14ac:dyDescent="0.2">
      <c r="A133" s="12">
        <v>42516</v>
      </c>
      <c r="B133" s="13">
        <v>13.1883746064</v>
      </c>
      <c r="C133" s="13">
        <v>113.769997</v>
      </c>
      <c r="D133" s="13">
        <v>114.019997</v>
      </c>
      <c r="E133" s="13">
        <v>113.25</v>
      </c>
      <c r="F133" s="13">
        <v>113.470001</v>
      </c>
      <c r="G133" s="13">
        <v>106.643936</v>
      </c>
      <c r="H133" s="13">
        <v>106.643936</v>
      </c>
      <c r="I133" s="14">
        <f t="shared" ref="I133:I196" si="2">H133/H132-1</f>
        <v>-1.1442770049138185E-3</v>
      </c>
      <c r="J133" s="14">
        <f>IF(COUNT(B133)=0,"",B133-(INTERCEPT('3. Cleaned Data'!$B$4:$B$1041,'3. Cleaned Data'!$H$4:$H$1041)+SLOPE('3. Cleaned Data'!$B$4:$B$1041,'3. Cleaned Data'!$H$4:$H$1041)*H133))</f>
        <v>0.39804164347402882</v>
      </c>
    </row>
    <row r="134" spans="1:10" x14ac:dyDescent="0.2">
      <c r="A134" s="12">
        <v>42517</v>
      </c>
      <c r="B134" s="13">
        <v>12.763424473200001</v>
      </c>
      <c r="C134" s="13">
        <v>113.55999799999999</v>
      </c>
      <c r="D134" s="13">
        <v>114.599998</v>
      </c>
      <c r="E134" s="13">
        <v>113.510002</v>
      </c>
      <c r="F134" s="13">
        <v>114.599998</v>
      </c>
      <c r="G134" s="13">
        <v>107.705933</v>
      </c>
      <c r="H134" s="13">
        <v>107.705933</v>
      </c>
      <c r="I134" s="14">
        <f t="shared" si="2"/>
        <v>9.9583439981061339E-3</v>
      </c>
      <c r="J134" s="14">
        <f>IF(COUNT(B134)=0,"",B134-(INTERCEPT('3. Cleaned Data'!$B$4:$B$1041,'3. Cleaned Data'!$H$4:$H$1041)+SLOPE('3. Cleaned Data'!$B$4:$B$1041,'3. Cleaned Data'!$H$4:$H$1041)*H134))</f>
        <v>-0.1721816375912617</v>
      </c>
    </row>
    <row r="135" spans="1:10" x14ac:dyDescent="0.2">
      <c r="A135" s="12">
        <v>42521</v>
      </c>
      <c r="B135" s="13">
        <v>13.07922456</v>
      </c>
      <c r="C135" s="13">
        <v>114.82</v>
      </c>
      <c r="D135" s="13">
        <v>115.540001</v>
      </c>
      <c r="E135" s="13">
        <v>114.5</v>
      </c>
      <c r="F135" s="13">
        <v>115</v>
      </c>
      <c r="G135" s="13">
        <v>108.081886</v>
      </c>
      <c r="H135" s="13">
        <v>108.081886</v>
      </c>
      <c r="I135" s="14">
        <f t="shared" si="2"/>
        <v>3.4905505159126271E-3</v>
      </c>
      <c r="J135" s="14">
        <f>IF(COUNT(B135)=0,"",B135-(INTERCEPT('3. Cleaned Data'!$B$4:$B$1041,'3. Cleaned Data'!$H$4:$H$1041)+SLOPE('3. Cleaned Data'!$B$4:$B$1041,'3. Cleaned Data'!$H$4:$H$1041)*H135))</f>
        <v>9.2190925628729659E-2</v>
      </c>
    </row>
    <row r="136" spans="1:10" x14ac:dyDescent="0.2">
      <c r="A136" s="12">
        <v>42522</v>
      </c>
      <c r="B136" s="13">
        <v>12.559189278</v>
      </c>
      <c r="C136" s="13">
        <v>114.610001</v>
      </c>
      <c r="D136" s="13">
        <v>115.949997</v>
      </c>
      <c r="E136" s="13">
        <v>114.41999800000001</v>
      </c>
      <c r="F136" s="13">
        <v>115.779999</v>
      </c>
      <c r="G136" s="13">
        <v>108.814972</v>
      </c>
      <c r="H136" s="13">
        <v>108.814972</v>
      </c>
      <c r="I136" s="14">
        <f t="shared" si="2"/>
        <v>6.7826906721446534E-3</v>
      </c>
      <c r="J136" s="14">
        <f>IF(COUNT(B136)=0,"",B136-(INTERCEPT('3. Cleaned Data'!$B$4:$B$1041,'3. Cleaned Data'!$H$4:$H$1041)+SLOPE('3. Cleaned Data'!$B$4:$B$1041,'3. Cleaned Data'!$H$4:$H$1041)*H136))</f>
        <v>-0.52812497004152981</v>
      </c>
    </row>
    <row r="137" spans="1:10" x14ac:dyDescent="0.2">
      <c r="A137" s="12">
        <v>42523</v>
      </c>
      <c r="B137" s="13">
        <v>13.921474392</v>
      </c>
      <c r="C137" s="13">
        <v>115.489998</v>
      </c>
      <c r="D137" s="13">
        <v>116.66999800000001</v>
      </c>
      <c r="E137" s="13">
        <v>115.370003</v>
      </c>
      <c r="F137" s="13">
        <v>116.66999800000001</v>
      </c>
      <c r="G137" s="13">
        <v>109.65141300000001</v>
      </c>
      <c r="H137" s="13">
        <v>109.65141300000001</v>
      </c>
      <c r="I137" s="14">
        <f t="shared" si="2"/>
        <v>7.686819052804772E-3</v>
      </c>
      <c r="J137" s="14">
        <f>IF(COUNT(B137)=0,"",B137-(INTERCEPT('3. Cleaned Data'!$B$4:$B$1041,'3. Cleaned Data'!$H$4:$H$1041)+SLOPE('3. Cleaned Data'!$B$4:$B$1041,'3. Cleaned Data'!$H$4:$H$1041)*H137))</f>
        <v>0.71974134892082908</v>
      </c>
    </row>
    <row r="138" spans="1:10" x14ac:dyDescent="0.2">
      <c r="A138" s="12">
        <v>42524</v>
      </c>
      <c r="B138" s="13">
        <v>12.95596602</v>
      </c>
      <c r="C138" s="13">
        <v>116.470001</v>
      </c>
      <c r="D138" s="13">
        <v>116.470001</v>
      </c>
      <c r="E138" s="13">
        <v>115</v>
      </c>
      <c r="F138" s="13">
        <v>115.970001</v>
      </c>
      <c r="G138" s="13">
        <v>108.993538</v>
      </c>
      <c r="H138" s="13">
        <v>108.993538</v>
      </c>
      <c r="I138" s="14">
        <f t="shared" si="2"/>
        <v>-5.9996946870169987E-3</v>
      </c>
      <c r="J138" s="14">
        <f>IF(COUNT(B138)=0,"",B138-(INTERCEPT('3. Cleaned Data'!$B$4:$B$1041,'3. Cleaned Data'!$H$4:$H$1041)+SLOPE('3. Cleaned Data'!$B$4:$B$1041,'3. Cleaned Data'!$H$4:$H$1041)*H138))</f>
        <v>-0.1557747046904403</v>
      </c>
    </row>
    <row r="139" spans="1:10" x14ac:dyDescent="0.2">
      <c r="A139" s="12">
        <v>42527</v>
      </c>
      <c r="B139" s="13">
        <v>13.669080106799999</v>
      </c>
      <c r="C139" s="13">
        <v>116.08000199999999</v>
      </c>
      <c r="D139" s="13">
        <v>117.58000199999999</v>
      </c>
      <c r="E139" s="13">
        <v>116.010002</v>
      </c>
      <c r="F139" s="13">
        <v>117.220001</v>
      </c>
      <c r="G139" s="13">
        <v>110.16832700000001</v>
      </c>
      <c r="H139" s="13">
        <v>110.16832700000001</v>
      </c>
      <c r="I139" s="14">
        <f t="shared" si="2"/>
        <v>1.0778519732059788E-2</v>
      </c>
      <c r="J139" s="14">
        <f>IF(COUNT(B139)=0,"",B139-(INTERCEPT('3. Cleaned Data'!$B$4:$B$1041,'3. Cleaned Data'!$H$4:$H$1041)+SLOPE('3. Cleaned Data'!$B$4:$B$1041,'3. Cleaned Data'!$H$4:$H$1041)*H139))</f>
        <v>0.39663714273645745</v>
      </c>
    </row>
    <row r="140" spans="1:10" x14ac:dyDescent="0.2">
      <c r="A140" s="12">
        <v>42528</v>
      </c>
      <c r="B140" s="13">
        <v>12.435976026000001</v>
      </c>
      <c r="C140" s="13">
        <v>117.290001</v>
      </c>
      <c r="D140" s="13">
        <v>117.980003</v>
      </c>
      <c r="E140" s="13">
        <v>116.959999</v>
      </c>
      <c r="F140" s="13">
        <v>117.55999799999999</v>
      </c>
      <c r="G140" s="13">
        <v>110.487892</v>
      </c>
      <c r="H140" s="13">
        <v>110.487892</v>
      </c>
      <c r="I140" s="14">
        <f t="shared" si="2"/>
        <v>2.9006975843428595E-3</v>
      </c>
      <c r="J140" s="14">
        <f>IF(COUNT(B140)=0,"",B140-(INTERCEPT('3. Cleaned Data'!$B$4:$B$1041,'3. Cleaned Data'!$H$4:$H$1041)+SLOPE('3. Cleaned Data'!$B$4:$B$1041,'3. Cleaned Data'!$H$4:$H$1041)*H140))</f>
        <v>-0.88018101022906592</v>
      </c>
    </row>
    <row r="141" spans="1:10" x14ac:dyDescent="0.2">
      <c r="A141" s="12">
        <v>42529</v>
      </c>
      <c r="B141" s="13">
        <v>12.6894277272</v>
      </c>
      <c r="C141" s="13">
        <v>117.660004</v>
      </c>
      <c r="D141" s="13">
        <v>118.639999</v>
      </c>
      <c r="E141" s="13">
        <v>117.650002</v>
      </c>
      <c r="F141" s="13">
        <v>118.43</v>
      </c>
      <c r="G141" s="13">
        <v>111.30555</v>
      </c>
      <c r="H141" s="13">
        <v>111.30555</v>
      </c>
      <c r="I141" s="14">
        <f t="shared" si="2"/>
        <v>7.400430809196612E-3</v>
      </c>
      <c r="J141" s="14">
        <f>IF(COUNT(B141)=0,"",B141-(INTERCEPT('3. Cleaned Data'!$B$4:$B$1041,'3. Cleaned Data'!$H$4:$H$1041)+SLOPE('3. Cleaned Data'!$B$4:$B$1041,'3. Cleaned Data'!$H$4:$H$1041)*H141))</f>
        <v>-0.73857873189677292</v>
      </c>
    </row>
    <row r="142" spans="1:10" x14ac:dyDescent="0.2">
      <c r="A142" s="12">
        <v>42530</v>
      </c>
      <c r="B142" s="13">
        <v>12.523844173200001</v>
      </c>
      <c r="C142" s="13">
        <v>117.94000200000001</v>
      </c>
      <c r="D142" s="13">
        <v>117.94000200000001</v>
      </c>
      <c r="E142" s="13">
        <v>117.290001</v>
      </c>
      <c r="F142" s="13">
        <v>117.66999800000001</v>
      </c>
      <c r="G142" s="13">
        <v>110.591263</v>
      </c>
      <c r="H142" s="13">
        <v>110.591263</v>
      </c>
      <c r="I142" s="14">
        <f t="shared" si="2"/>
        <v>-6.4173529531995621E-3</v>
      </c>
      <c r="J142" s="14">
        <f>IF(COUNT(B142)=0,"",B142-(INTERCEPT('3. Cleaned Data'!$B$4:$B$1041,'3. Cleaned Data'!$H$4:$H$1041)+SLOPE('3. Cleaned Data'!$B$4:$B$1041,'3. Cleaned Data'!$H$4:$H$1041)*H142))</f>
        <v>-0.80645323307529182</v>
      </c>
    </row>
    <row r="143" spans="1:10" x14ac:dyDescent="0.2">
      <c r="A143" s="12">
        <v>42531</v>
      </c>
      <c r="B143" s="13">
        <v>12.920203799999999</v>
      </c>
      <c r="C143" s="13">
        <v>116.58000199999999</v>
      </c>
      <c r="D143" s="13">
        <v>116.879997</v>
      </c>
      <c r="E143" s="13">
        <v>115.69000200000001</v>
      </c>
      <c r="F143" s="13">
        <v>116.07</v>
      </c>
      <c r="G143" s="13">
        <v>109.087509</v>
      </c>
      <c r="H143" s="13">
        <v>109.087509</v>
      </c>
      <c r="I143" s="14">
        <f t="shared" si="2"/>
        <v>-1.3597403259604679E-2</v>
      </c>
      <c r="J143" s="14">
        <f>IF(COUNT(B143)=0,"",B143-(INTERCEPT('3. Cleaned Data'!$B$4:$B$1041,'3. Cleaned Data'!$H$4:$H$1041)+SLOPE('3. Cleaned Data'!$B$4:$B$1041,'3. Cleaned Data'!$H$4:$H$1041)*H143))</f>
        <v>-0.20439144591606428</v>
      </c>
    </row>
    <row r="144" spans="1:10" x14ac:dyDescent="0.2">
      <c r="A144" s="12">
        <v>42534</v>
      </c>
      <c r="B144" s="13">
        <v>13.1774584176</v>
      </c>
      <c r="C144" s="13">
        <v>115.650002</v>
      </c>
      <c r="D144" s="13">
        <v>116.18</v>
      </c>
      <c r="E144" s="13">
        <v>114.589996</v>
      </c>
      <c r="F144" s="13">
        <v>114.80999799999999</v>
      </c>
      <c r="G144" s="13">
        <v>107.90329699999999</v>
      </c>
      <c r="H144" s="13">
        <v>107.90329699999999</v>
      </c>
      <c r="I144" s="14">
        <f t="shared" si="2"/>
        <v>-1.0855615009047526E-2</v>
      </c>
      <c r="J144" s="14">
        <f>IF(COUNT(B144)=0,"",B144-(INTERCEPT('3. Cleaned Data'!$B$4:$B$1041,'3. Cleaned Data'!$H$4:$H$1041)+SLOPE('3. Cleaned Data'!$B$4:$B$1041,'3. Cleaned Data'!$H$4:$H$1041)*H144))</f>
        <v>0.21485440610347872</v>
      </c>
    </row>
    <row r="145" spans="1:10" x14ac:dyDescent="0.2">
      <c r="A145" s="12">
        <v>42535</v>
      </c>
      <c r="B145" s="13">
        <v>12.220619652</v>
      </c>
      <c r="C145" s="13">
        <v>114.389999</v>
      </c>
      <c r="D145" s="13">
        <v>115.110001</v>
      </c>
      <c r="E145" s="13">
        <v>113.66999800000001</v>
      </c>
      <c r="F145" s="13">
        <v>114.480003</v>
      </c>
      <c r="G145" s="13">
        <v>107.593163</v>
      </c>
      <c r="H145" s="13">
        <v>107.593163</v>
      </c>
      <c r="I145" s="14">
        <f t="shared" si="2"/>
        <v>-2.8741846507247537E-3</v>
      </c>
      <c r="J145" s="14">
        <f>IF(COUNT(B145)=0,"",B145-(INTERCEPT('3. Cleaned Data'!$B$4:$B$1041,'3. Cleaned Data'!$H$4:$H$1041)+SLOPE('3. Cleaned Data'!$B$4:$B$1041,'3. Cleaned Data'!$H$4:$H$1041)*H145))</f>
        <v>-0.69956037671686033</v>
      </c>
    </row>
    <row r="146" spans="1:10" x14ac:dyDescent="0.2">
      <c r="A146" s="12">
        <v>42536</v>
      </c>
      <c r="B146" s="13">
        <v>13.263734750399999</v>
      </c>
      <c r="C146" s="13">
        <v>114.889999</v>
      </c>
      <c r="D146" s="13">
        <v>115.55999799999999</v>
      </c>
      <c r="E146" s="13">
        <v>114.459999</v>
      </c>
      <c r="F146" s="13">
        <v>114.55999799999999</v>
      </c>
      <c r="G146" s="13">
        <v>107.66836499999999</v>
      </c>
      <c r="H146" s="13">
        <v>107.66836499999999</v>
      </c>
      <c r="I146" s="14">
        <f t="shared" si="2"/>
        <v>6.9894775748902127E-4</v>
      </c>
      <c r="J146" s="14">
        <f>IF(COUNT(B146)=0,"",B146-(INTERCEPT('3. Cleaned Data'!$B$4:$B$1041,'3. Cleaned Data'!$H$4:$H$1041)+SLOPE('3. Cleaned Data'!$B$4:$B$1041,'3. Cleaned Data'!$H$4:$H$1041)*H146))</f>
        <v>0.33326765753346344</v>
      </c>
    </row>
    <row r="147" spans="1:10" x14ac:dyDescent="0.2">
      <c r="A147" s="12">
        <v>42537</v>
      </c>
      <c r="B147" s="13">
        <v>12.849061341600001</v>
      </c>
      <c r="C147" s="13">
        <v>113.720001</v>
      </c>
      <c r="D147" s="13">
        <v>114.589996</v>
      </c>
      <c r="E147" s="13">
        <v>112.889999</v>
      </c>
      <c r="F147" s="13">
        <v>114.550003</v>
      </c>
      <c r="G147" s="13">
        <v>107.658974</v>
      </c>
      <c r="H147" s="13">
        <v>107.658974</v>
      </c>
      <c r="I147" s="14">
        <f t="shared" si="2"/>
        <v>-8.7221534384673838E-5</v>
      </c>
      <c r="J147" s="14">
        <f>IF(COUNT(B147)=0,"",B147-(INTERCEPT('3. Cleaned Data'!$B$4:$B$1041,'3. Cleaned Data'!$H$4:$H$1041)+SLOPE('3. Cleaned Data'!$B$4:$B$1041,'3. Cleaned Data'!$H$4:$H$1041)*H147))</f>
        <v>-8.012113357778361E-2</v>
      </c>
    </row>
    <row r="148" spans="1:10" x14ac:dyDescent="0.2">
      <c r="A148" s="12">
        <v>42538</v>
      </c>
      <c r="B148" s="13">
        <v>13.574501388</v>
      </c>
      <c r="C148" s="13">
        <v>114.410004</v>
      </c>
      <c r="D148" s="13">
        <v>114.91999800000001</v>
      </c>
      <c r="E148" s="13">
        <v>113.68</v>
      </c>
      <c r="F148" s="13">
        <v>114.05999799999999</v>
      </c>
      <c r="G148" s="13">
        <v>107.198418</v>
      </c>
      <c r="H148" s="13">
        <v>107.198418</v>
      </c>
      <c r="I148" s="14">
        <f t="shared" si="2"/>
        <v>-4.2779155595519258E-3</v>
      </c>
      <c r="J148" s="14">
        <f>IF(COUNT(B148)=0,"",B148-(INTERCEPT('3. Cleaned Data'!$B$4:$B$1041,'3. Cleaned Data'!$H$4:$H$1041)+SLOPE('3. Cleaned Data'!$B$4:$B$1041,'3. Cleaned Data'!$H$4:$H$1041)*H148))</f>
        <v>0.70831948616493356</v>
      </c>
    </row>
    <row r="149" spans="1:10" x14ac:dyDescent="0.2">
      <c r="A149" s="12">
        <v>42541</v>
      </c>
      <c r="B149" s="13">
        <v>13.175087639999999</v>
      </c>
      <c r="C149" s="13">
        <v>115.800003</v>
      </c>
      <c r="D149" s="13">
        <v>116.449997</v>
      </c>
      <c r="E149" s="13">
        <v>115.300003</v>
      </c>
      <c r="F149" s="13">
        <v>115.300003</v>
      </c>
      <c r="G149" s="13">
        <v>108.363846</v>
      </c>
      <c r="H149" s="13">
        <v>108.363846</v>
      </c>
      <c r="I149" s="14">
        <f t="shared" si="2"/>
        <v>1.087169028931001E-2</v>
      </c>
      <c r="J149" s="14">
        <f>IF(COUNT(B149)=0,"",B149-(INTERCEPT('3. Cleaned Data'!$B$4:$B$1041,'3. Cleaned Data'!$H$4:$H$1041)+SLOPE('3. Cleaned Data'!$B$4:$B$1041,'3. Cleaned Data'!$H$4:$H$1041)*H149))</f>
        <v>0.14948401270775413</v>
      </c>
    </row>
    <row r="150" spans="1:10" x14ac:dyDescent="0.2">
      <c r="A150" s="12">
        <v>42542</v>
      </c>
      <c r="B150" s="13">
        <v>12.801082430399999</v>
      </c>
      <c r="C150" s="13">
        <v>115.339996</v>
      </c>
      <c r="D150" s="13">
        <v>115.410004</v>
      </c>
      <c r="E150" s="13">
        <v>114.33000199999999</v>
      </c>
      <c r="F150" s="13">
        <v>115.08000199999999</v>
      </c>
      <c r="G150" s="13">
        <v>108.157082</v>
      </c>
      <c r="H150" s="13">
        <v>108.157082</v>
      </c>
      <c r="I150" s="14">
        <f t="shared" si="2"/>
        <v>-1.9080533557289669E-3</v>
      </c>
      <c r="J150" s="14">
        <f>IF(COUNT(B150)=0,"",B150-(INTERCEPT('3. Cleaned Data'!$B$4:$B$1041,'3. Cleaned Data'!$H$4:$H$1041)+SLOPE('3. Cleaned Data'!$B$4:$B$1041,'3. Cleaned Data'!$H$4:$H$1041)*H150))</f>
        <v>-0.19623744736638393</v>
      </c>
    </row>
    <row r="151" spans="1:10" x14ac:dyDescent="0.2">
      <c r="A151" s="12">
        <v>42543</v>
      </c>
      <c r="B151" s="13">
        <v>12.625924040399999</v>
      </c>
      <c r="C151" s="13">
        <v>115.300003</v>
      </c>
      <c r="D151" s="13">
        <v>115.879997</v>
      </c>
      <c r="E151" s="13">
        <v>114.489998</v>
      </c>
      <c r="F151" s="13">
        <v>114.629997</v>
      </c>
      <c r="G151" s="13">
        <v>107.734138</v>
      </c>
      <c r="H151" s="13">
        <v>107.734138</v>
      </c>
      <c r="I151" s="14">
        <f t="shared" si="2"/>
        <v>-3.9104605281418126E-3</v>
      </c>
      <c r="J151" s="14">
        <f>IF(COUNT(B151)=0,"",B151-(INTERCEPT('3. Cleaned Data'!$B$4:$B$1041,'3. Cleaned Data'!$H$4:$H$1041)+SLOPE('3. Cleaned Data'!$B$4:$B$1041,'3. Cleaned Data'!$H$4:$H$1041)*H151))</f>
        <v>-0.31354030081520889</v>
      </c>
    </row>
    <row r="152" spans="1:10" x14ac:dyDescent="0.2">
      <c r="A152" s="12">
        <v>42544</v>
      </c>
      <c r="B152" s="13">
        <v>12.821079294</v>
      </c>
      <c r="C152" s="13">
        <v>115.82</v>
      </c>
      <c r="D152" s="13">
        <v>116.910004</v>
      </c>
      <c r="E152" s="13">
        <v>115.730003</v>
      </c>
      <c r="F152" s="13">
        <v>116.82</v>
      </c>
      <c r="G152" s="13">
        <v>109.79239699999999</v>
      </c>
      <c r="H152" s="13">
        <v>109.79239699999999</v>
      </c>
      <c r="I152" s="14">
        <f t="shared" si="2"/>
        <v>1.9104984160174032E-2</v>
      </c>
      <c r="J152" s="14">
        <f>IF(COUNT(B152)=0,"",B152-(INTERCEPT('3. Cleaned Data'!$B$4:$B$1041,'3. Cleaned Data'!$H$4:$H$1041)+SLOPE('3. Cleaned Data'!$B$4:$B$1041,'3. Cleaned Data'!$H$4:$H$1041)*H152))</f>
        <v>-0.39993929270936768</v>
      </c>
    </row>
    <row r="153" spans="1:10" x14ac:dyDescent="0.2">
      <c r="A153" s="12">
        <v>42545</v>
      </c>
      <c r="B153" s="13">
        <v>12.094195248</v>
      </c>
      <c r="C153" s="13">
        <v>111.94000200000001</v>
      </c>
      <c r="D153" s="13">
        <v>114.040001</v>
      </c>
      <c r="E153" s="13">
        <v>111.5</v>
      </c>
      <c r="F153" s="13">
        <v>112.379997</v>
      </c>
      <c r="G153" s="13">
        <v>105.61949199999999</v>
      </c>
      <c r="H153" s="13">
        <v>105.61949199999999</v>
      </c>
      <c r="I153" s="14">
        <f t="shared" si="2"/>
        <v>-3.800723104715531E-2</v>
      </c>
      <c r="J153" s="14">
        <f>IF(COUNT(B153)=0,"",B153-(INTERCEPT('3. Cleaned Data'!$B$4:$B$1041,'3. Cleaned Data'!$H$4:$H$1041)+SLOPE('3. Cleaned Data'!$B$4:$B$1041,'3. Cleaned Data'!$H$4:$H$1041)*H153))</f>
        <v>-0.55600153309898914</v>
      </c>
    </row>
    <row r="154" spans="1:10" x14ac:dyDescent="0.2">
      <c r="A154" s="12">
        <v>42548</v>
      </c>
      <c r="B154" s="13">
        <v>13.226920992</v>
      </c>
      <c r="C154" s="13">
        <v>111.07</v>
      </c>
      <c r="D154" s="13">
        <v>111.07</v>
      </c>
      <c r="E154" s="13">
        <v>108.19000200000001</v>
      </c>
      <c r="F154" s="13">
        <v>108.69000200000001</v>
      </c>
      <c r="G154" s="13">
        <v>102.151489</v>
      </c>
      <c r="H154" s="13">
        <v>102.151489</v>
      </c>
      <c r="I154" s="14">
        <f t="shared" si="2"/>
        <v>-3.2834876729003759E-2</v>
      </c>
      <c r="J154" s="14">
        <f>IF(COUNT(B154)=0,"",B154-(INTERCEPT('3. Cleaned Data'!$B$4:$B$1041,'3. Cleaned Data'!$H$4:$H$1041)+SLOPE('3. Cleaned Data'!$B$4:$B$1041,'3. Cleaned Data'!$H$4:$H$1041)*H154))</f>
        <v>1.0511207606240944</v>
      </c>
    </row>
    <row r="155" spans="1:10" x14ac:dyDescent="0.2">
      <c r="A155" s="12">
        <v>42549</v>
      </c>
      <c r="B155" s="13">
        <v>13.5343625664</v>
      </c>
      <c r="C155" s="13">
        <v>109.650002</v>
      </c>
      <c r="D155" s="13">
        <v>110.879997</v>
      </c>
      <c r="E155" s="13">
        <v>109.57</v>
      </c>
      <c r="F155" s="13">
        <v>110.370003</v>
      </c>
      <c r="G155" s="13">
        <v>103.73041499999999</v>
      </c>
      <c r="H155" s="13">
        <v>103.73041499999999</v>
      </c>
      <c r="I155" s="14">
        <f t="shared" si="2"/>
        <v>1.54567105722756E-2</v>
      </c>
      <c r="J155" s="14">
        <f>IF(COUNT(B155)=0,"",B155-(INTERCEPT('3. Cleaned Data'!$B$4:$B$1041,'3. Cleaned Data'!$H$4:$H$1041)+SLOPE('3. Cleaned Data'!$B$4:$B$1041,'3. Cleaned Data'!$H$4:$H$1041)*H155))</f>
        <v>1.1425772142880213</v>
      </c>
    </row>
    <row r="156" spans="1:10" x14ac:dyDescent="0.2">
      <c r="A156" s="12">
        <v>42550</v>
      </c>
      <c r="B156" s="13">
        <v>13.206744666000001</v>
      </c>
      <c r="C156" s="13">
        <v>111.699997</v>
      </c>
      <c r="D156" s="13">
        <v>113.050003</v>
      </c>
      <c r="E156" s="13">
        <v>111.529999</v>
      </c>
      <c r="F156" s="13">
        <v>112.879997</v>
      </c>
      <c r="G156" s="13">
        <v>106.089432</v>
      </c>
      <c r="H156" s="13">
        <v>106.089432</v>
      </c>
      <c r="I156" s="14">
        <f t="shared" si="2"/>
        <v>2.2741806248437468E-2</v>
      </c>
      <c r="J156" s="14">
        <f>IF(COUNT(B156)=0,"",B156-(INTERCEPT('3. Cleaned Data'!$B$4:$B$1041,'3. Cleaned Data'!$H$4:$H$1041)+SLOPE('3. Cleaned Data'!$B$4:$B$1041,'3. Cleaned Data'!$H$4:$H$1041)*H156))</f>
        <v>0.49226365141653261</v>
      </c>
    </row>
    <row r="157" spans="1:10" x14ac:dyDescent="0.2">
      <c r="A157" s="12">
        <v>42551</v>
      </c>
      <c r="B157" s="13">
        <v>12.6568803984</v>
      </c>
      <c r="C157" s="13">
        <v>113.120003</v>
      </c>
      <c r="D157" s="13">
        <v>115.019997</v>
      </c>
      <c r="E157" s="13">
        <v>112.57</v>
      </c>
      <c r="F157" s="13">
        <v>114.980003</v>
      </c>
      <c r="G157" s="13">
        <v>108.06308</v>
      </c>
      <c r="H157" s="13">
        <v>108.06308</v>
      </c>
      <c r="I157" s="14">
        <f t="shared" si="2"/>
        <v>1.8603624911480265E-2</v>
      </c>
      <c r="J157" s="14">
        <f>IF(COUNT(B157)=0,"",B157-(INTERCEPT('3. Cleaned Data'!$B$4:$B$1041,'3. Cleaned Data'!$H$4:$H$1041)+SLOPE('3. Cleaned Data'!$B$4:$B$1041,'3. Cleaned Data'!$H$4:$H$1041)*H157))</f>
        <v>-0.32758071757549878</v>
      </c>
    </row>
    <row r="158" spans="1:10" x14ac:dyDescent="0.2">
      <c r="A158" s="12">
        <v>42552</v>
      </c>
      <c r="B158" s="13">
        <v>13.201249795200001</v>
      </c>
      <c r="C158" s="13">
        <v>115.050003</v>
      </c>
      <c r="D158" s="13">
        <v>115.949997</v>
      </c>
      <c r="E158" s="13">
        <v>114.800003</v>
      </c>
      <c r="F158" s="13">
        <v>115.389999</v>
      </c>
      <c r="G158" s="13">
        <v>108.448418</v>
      </c>
      <c r="H158" s="13">
        <v>108.448418</v>
      </c>
      <c r="I158" s="14">
        <f t="shared" si="2"/>
        <v>3.5658617170637452E-3</v>
      </c>
      <c r="J158" s="14">
        <f>IF(COUNT(B158)=0,"",B158-(INTERCEPT('3. Cleaned Data'!$B$4:$B$1041,'3. Cleaned Data'!$H$4:$H$1041)+SLOPE('3. Cleaned Data'!$B$4:$B$1041,'3. Cleaned Data'!$H$4:$H$1041)*H158))</f>
        <v>0.16407735871030482</v>
      </c>
    </row>
    <row r="159" spans="1:10" x14ac:dyDescent="0.2">
      <c r="A159" s="12">
        <v>42556</v>
      </c>
      <c r="B159" s="13">
        <v>13.111605539999999</v>
      </c>
      <c r="C159" s="13">
        <v>115.019997</v>
      </c>
      <c r="D159" s="13">
        <v>115.260002</v>
      </c>
      <c r="E159" s="13">
        <v>113.07</v>
      </c>
      <c r="F159" s="13">
        <v>113.69000200000001</v>
      </c>
      <c r="G159" s="13">
        <v>106.850685</v>
      </c>
      <c r="H159" s="13">
        <v>106.850685</v>
      </c>
      <c r="I159" s="14">
        <f t="shared" si="2"/>
        <v>-1.4732653822575825E-2</v>
      </c>
      <c r="J159" s="14">
        <f>IF(COUNT(B159)=0,"",B159-(INTERCEPT('3. Cleaned Data'!$B$4:$B$1041,'3. Cleaned Data'!$H$4:$H$1041)+SLOPE('3. Cleaned Data'!$B$4:$B$1041,'3. Cleaned Data'!$H$4:$H$1041)*H159))</f>
        <v>0.29299087943457991</v>
      </c>
    </row>
    <row r="160" spans="1:10" x14ac:dyDescent="0.2">
      <c r="A160" s="12">
        <v>42557</v>
      </c>
      <c r="B160" s="13">
        <v>12.727279998</v>
      </c>
      <c r="C160" s="13">
        <v>112.540001</v>
      </c>
      <c r="D160" s="13">
        <v>114.010002</v>
      </c>
      <c r="E160" s="13">
        <v>112.30999799999999</v>
      </c>
      <c r="F160" s="13">
        <v>113.889999</v>
      </c>
      <c r="G160" s="13">
        <v>107.62653400000001</v>
      </c>
      <c r="H160" s="13">
        <v>107.62653400000001</v>
      </c>
      <c r="I160" s="14">
        <f t="shared" si="2"/>
        <v>7.2610578022969108E-3</v>
      </c>
      <c r="J160" s="14">
        <f>IF(COUNT(B160)=0,"",B160-(INTERCEPT('3. Cleaned Data'!$B$4:$B$1041,'3. Cleaned Data'!$H$4:$H$1041)+SLOPE('3. Cleaned Data'!$B$4:$B$1041,'3. Cleaned Data'!$H$4:$H$1041)*H160))</f>
        <v>-0.19746493082242722</v>
      </c>
    </row>
    <row r="161" spans="1:10" x14ac:dyDescent="0.2">
      <c r="A161" s="12">
        <v>42558</v>
      </c>
      <c r="B161" s="13">
        <v>13.30478478</v>
      </c>
      <c r="C161" s="13">
        <v>114.220001</v>
      </c>
      <c r="D161" s="13">
        <v>114.989998</v>
      </c>
      <c r="E161" s="13">
        <v>113.410004</v>
      </c>
      <c r="F161" s="13">
        <v>114.129997</v>
      </c>
      <c r="G161" s="13">
        <v>107.853348</v>
      </c>
      <c r="H161" s="13">
        <v>107.853348</v>
      </c>
      <c r="I161" s="14">
        <f t="shared" si="2"/>
        <v>2.1074171170465394E-3</v>
      </c>
      <c r="J161" s="14">
        <f>IF(COUNT(B161)=0,"",B161-(INTERCEPT('3. Cleaned Data'!$B$4:$B$1041,'3. Cleaned Data'!$H$4:$H$1041)+SLOPE('3. Cleaned Data'!$B$4:$B$1041,'3. Cleaned Data'!$H$4:$H$1041)*H161))</f>
        <v>0.34901341347585024</v>
      </c>
    </row>
    <row r="162" spans="1:10" x14ac:dyDescent="0.2">
      <c r="A162" s="12">
        <v>42559</v>
      </c>
      <c r="B162" s="13">
        <v>12.84686292</v>
      </c>
      <c r="C162" s="13">
        <v>115.25</v>
      </c>
      <c r="D162" s="13">
        <v>117.089996</v>
      </c>
      <c r="E162" s="13">
        <v>115.150002</v>
      </c>
      <c r="F162" s="13">
        <v>116.790001</v>
      </c>
      <c r="G162" s="13">
        <v>110.36705000000001</v>
      </c>
      <c r="H162" s="13">
        <v>110.36705000000001</v>
      </c>
      <c r="I162" s="14">
        <f t="shared" si="2"/>
        <v>2.3306666381835539E-2</v>
      </c>
      <c r="J162" s="14">
        <f>IF(COUNT(B162)=0,"",B162-(INTERCEPT('3. Cleaned Data'!$B$4:$B$1041,'3. Cleaned Data'!$H$4:$H$1041)+SLOPE('3. Cleaned Data'!$B$4:$B$1041,'3. Cleaned Data'!$H$4:$H$1041)*H162))</f>
        <v>-0.45276384567807959</v>
      </c>
    </row>
    <row r="163" spans="1:10" x14ac:dyDescent="0.2">
      <c r="A163" s="12">
        <v>42562</v>
      </c>
      <c r="B163" s="13">
        <v>13.671985513199999</v>
      </c>
      <c r="C163" s="13">
        <v>117.55999799999999</v>
      </c>
      <c r="D163" s="13">
        <v>118.43</v>
      </c>
      <c r="E163" s="13">
        <v>117.470001</v>
      </c>
      <c r="F163" s="13">
        <v>118.139999</v>
      </c>
      <c r="G163" s="13">
        <v>111.642807</v>
      </c>
      <c r="H163" s="13">
        <v>111.642807</v>
      </c>
      <c r="I163" s="14">
        <f t="shared" si="2"/>
        <v>1.1559219893981121E-2</v>
      </c>
      <c r="J163" s="14">
        <f>IF(COUNT(B163)=0,"",B163-(INTERCEPT('3. Cleaned Data'!$B$4:$B$1041,'3. Cleaned Data'!$H$4:$H$1041)+SLOPE('3. Cleaned Data'!$B$4:$B$1041,'3. Cleaned Data'!$H$4:$H$1041)*H163))</f>
        <v>0.19784485030641186</v>
      </c>
    </row>
    <row r="164" spans="1:10" x14ac:dyDescent="0.2">
      <c r="A164" s="12">
        <v>42563</v>
      </c>
      <c r="B164" s="13">
        <v>13.845523247999999</v>
      </c>
      <c r="C164" s="13">
        <v>119</v>
      </c>
      <c r="D164" s="13">
        <v>120.41999800000001</v>
      </c>
      <c r="E164" s="13">
        <v>118.83000199999999</v>
      </c>
      <c r="F164" s="13">
        <v>119.720001</v>
      </c>
      <c r="G164" s="13">
        <v>113.135925</v>
      </c>
      <c r="H164" s="13">
        <v>113.135925</v>
      </c>
      <c r="I164" s="14">
        <f t="shared" si="2"/>
        <v>1.3374063588351026E-2</v>
      </c>
      <c r="J164" s="14">
        <f>IF(COUNT(B164)=0,"",B164-(INTERCEPT('3. Cleaned Data'!$B$4:$B$1041,'3. Cleaned Data'!$H$4:$H$1041)+SLOPE('3. Cleaned Data'!$B$4:$B$1041,'3. Cleaned Data'!$H$4:$H$1041)*H164))</f>
        <v>0.16713534900845239</v>
      </c>
    </row>
    <row r="165" spans="1:10" x14ac:dyDescent="0.2">
      <c r="A165" s="12">
        <v>42564</v>
      </c>
      <c r="B165" s="13">
        <v>20.3950827</v>
      </c>
      <c r="C165" s="13">
        <v>120.33000199999999</v>
      </c>
      <c r="D165" s="13">
        <v>120.389999</v>
      </c>
      <c r="E165" s="13">
        <v>118.949997</v>
      </c>
      <c r="F165" s="13">
        <v>119.25</v>
      </c>
      <c r="G165" s="13">
        <v>112.69177999999999</v>
      </c>
      <c r="H165" s="13">
        <v>112.69177999999999</v>
      </c>
      <c r="I165" s="14">
        <f t="shared" si="2"/>
        <v>-3.9257645173272904E-3</v>
      </c>
      <c r="J165" s="14">
        <f>IF(COUNT(B165)=0,"",B165-(INTERCEPT('3. Cleaned Data'!$B$4:$B$1041,'3. Cleaned Data'!$H$4:$H$1041)+SLOPE('3. Cleaned Data'!$B$4:$B$1041,'3. Cleaned Data'!$H$4:$H$1041)*H165))</f>
        <v>6.7774504738197976</v>
      </c>
    </row>
    <row r="166" spans="1:10" x14ac:dyDescent="0.2">
      <c r="A166" s="12">
        <v>42565</v>
      </c>
      <c r="B166" s="13">
        <v>13.663968496800001</v>
      </c>
      <c r="C166" s="13">
        <v>120.300003</v>
      </c>
      <c r="D166" s="13">
        <v>120.360001</v>
      </c>
      <c r="E166" s="13">
        <v>119.300003</v>
      </c>
      <c r="F166" s="13">
        <v>119.370003</v>
      </c>
      <c r="G166" s="13">
        <v>112.805161</v>
      </c>
      <c r="H166" s="13">
        <v>112.805161</v>
      </c>
      <c r="I166" s="14">
        <f t="shared" si="2"/>
        <v>1.0061159740311076E-3</v>
      </c>
      <c r="J166" s="14">
        <f>IF(COUNT(B166)=0,"",B166-(INTERCEPT('3. Cleaned Data'!$B$4:$B$1041,'3. Cleaned Data'!$H$4:$H$1041)+SLOPE('3. Cleaned Data'!$B$4:$B$1041,'3. Cleaned Data'!$H$4:$H$1041)*H166))</f>
        <v>3.0826608372056086E-2</v>
      </c>
    </row>
    <row r="167" spans="1:10" x14ac:dyDescent="0.2">
      <c r="A167" s="12">
        <v>42566</v>
      </c>
      <c r="B167" s="13">
        <v>13.889478067200001</v>
      </c>
      <c r="C167" s="13">
        <v>119.889999</v>
      </c>
      <c r="D167" s="13">
        <v>120.040001</v>
      </c>
      <c r="E167" s="13">
        <v>119.279999</v>
      </c>
      <c r="F167" s="13">
        <v>119.699997</v>
      </c>
      <c r="G167" s="13">
        <v>113.11702</v>
      </c>
      <c r="H167" s="13">
        <v>113.11702</v>
      </c>
      <c r="I167" s="14">
        <f t="shared" si="2"/>
        <v>2.7645809574261548E-3</v>
      </c>
      <c r="J167" s="14">
        <f>IF(COUNT(B167)=0,"",B167-(INTERCEPT('3. Cleaned Data'!$B$4:$B$1041,'3. Cleaned Data'!$H$4:$H$1041)+SLOPE('3. Cleaned Data'!$B$4:$B$1041,'3. Cleaned Data'!$H$4:$H$1041)*H167))</f>
        <v>0.2136762290545704</v>
      </c>
    </row>
    <row r="168" spans="1:10" x14ac:dyDescent="0.2">
      <c r="A168" s="12">
        <v>42569</v>
      </c>
      <c r="B168" s="13">
        <v>13.4169704856</v>
      </c>
      <c r="C168" s="13">
        <v>119.529999</v>
      </c>
      <c r="D168" s="13">
        <v>120.349998</v>
      </c>
      <c r="E168" s="13">
        <v>119.33000199999999</v>
      </c>
      <c r="F168" s="13">
        <v>119.900002</v>
      </c>
      <c r="G168" s="13">
        <v>113.306015</v>
      </c>
      <c r="H168" s="13">
        <v>113.306015</v>
      </c>
      <c r="I168" s="14">
        <f t="shared" si="2"/>
        <v>1.6707918932095112E-3</v>
      </c>
      <c r="J168" s="14">
        <f>IF(COUNT(B168)=0,"",B168-(INTERCEPT('3. Cleaned Data'!$B$4:$B$1041,'3. Cleaned Data'!$H$4:$H$1041)+SLOPE('3. Cleaned Data'!$B$4:$B$1041,'3. Cleaned Data'!$H$4:$H$1041)*H168))</f>
        <v>-0.28468443742307237</v>
      </c>
    </row>
    <row r="169" spans="1:10" x14ac:dyDescent="0.2">
      <c r="A169" s="12">
        <v>42570</v>
      </c>
      <c r="B169" s="13">
        <v>14.1995600448</v>
      </c>
      <c r="C169" s="13">
        <v>119.760002</v>
      </c>
      <c r="D169" s="13">
        <v>119.970001</v>
      </c>
      <c r="E169" s="13">
        <v>118.93</v>
      </c>
      <c r="F169" s="13">
        <v>119.300003</v>
      </c>
      <c r="G169" s="13">
        <v>112.739014</v>
      </c>
      <c r="H169" s="13">
        <v>112.739014</v>
      </c>
      <c r="I169" s="14">
        <f t="shared" si="2"/>
        <v>-5.0041562224212299E-3</v>
      </c>
      <c r="J169" s="14">
        <f>IF(COUNT(B169)=0,"",B169-(INTERCEPT('3. Cleaned Data'!$B$4:$B$1041,'3. Cleaned Data'!$H$4:$H$1041)+SLOPE('3. Cleaned Data'!$B$4:$B$1041,'3. Cleaned Data'!$H$4:$H$1041)*H169))</f>
        <v>0.57546656508869631</v>
      </c>
    </row>
    <row r="170" spans="1:10" x14ac:dyDescent="0.2">
      <c r="A170" s="12">
        <v>42571</v>
      </c>
      <c r="B170" s="13">
        <v>13.0876892928</v>
      </c>
      <c r="C170" s="13">
        <v>119.550003</v>
      </c>
      <c r="D170" s="13">
        <v>120.44000200000001</v>
      </c>
      <c r="E170" s="13">
        <v>118.94000200000001</v>
      </c>
      <c r="F170" s="13">
        <v>120.08000199999999</v>
      </c>
      <c r="G170" s="13">
        <v>113.476128</v>
      </c>
      <c r="H170" s="13">
        <v>113.476128</v>
      </c>
      <c r="I170" s="14">
        <f t="shared" si="2"/>
        <v>6.5382335169261729E-3</v>
      </c>
      <c r="J170" s="14">
        <f>IF(COUNT(B170)=0,"",B170-(INTERCEPT('3. Cleaned Data'!$B$4:$B$1041,'3. Cleaned Data'!$H$4:$H$1041)+SLOPE('3. Cleaned Data'!$B$4:$B$1041,'3. Cleaned Data'!$H$4:$H$1041)*H170))</f>
        <v>-0.63723580048043438</v>
      </c>
    </row>
    <row r="171" spans="1:10" x14ac:dyDescent="0.2">
      <c r="A171" s="12">
        <v>42572</v>
      </c>
      <c r="B171" s="13">
        <v>14.24673432</v>
      </c>
      <c r="C171" s="13">
        <v>120.010002</v>
      </c>
      <c r="D171" s="13">
        <v>120.599998</v>
      </c>
      <c r="E171" s="13">
        <v>119.25</v>
      </c>
      <c r="F171" s="13">
        <v>119.510002</v>
      </c>
      <c r="G171" s="13">
        <v>112.937462</v>
      </c>
      <c r="H171" s="13">
        <v>112.937462</v>
      </c>
      <c r="I171" s="14">
        <f t="shared" si="2"/>
        <v>-4.7469543550164861E-3</v>
      </c>
      <c r="J171" s="14">
        <f>IF(COUNT(B171)=0,"",B171-(INTERCEPT('3. Cleaned Data'!$B$4:$B$1041,'3. Cleaned Data'!$H$4:$H$1041)+SLOPE('3. Cleaned Data'!$B$4:$B$1041,'3. Cleaned Data'!$H$4:$H$1041)*H171))</f>
        <v>0.59549465659178225</v>
      </c>
    </row>
    <row r="172" spans="1:10" x14ac:dyDescent="0.2">
      <c r="A172" s="12">
        <v>42573</v>
      </c>
      <c r="B172" s="13">
        <v>13.8747119052</v>
      </c>
      <c r="C172" s="13">
        <v>119.58000199999999</v>
      </c>
      <c r="D172" s="13">
        <v>120.650002</v>
      </c>
      <c r="E172" s="13">
        <v>119.349998</v>
      </c>
      <c r="F172" s="13">
        <v>120.400002</v>
      </c>
      <c r="G172" s="13">
        <v>113.778526</v>
      </c>
      <c r="H172" s="13">
        <v>113.778526</v>
      </c>
      <c r="I172" s="14">
        <f t="shared" si="2"/>
        <v>7.4471657597547924E-3</v>
      </c>
      <c r="J172" s="14">
        <f>IF(COUNT(B172)=0,"",B172-(INTERCEPT('3. Cleaned Data'!$B$4:$B$1041,'3. Cleaned Data'!$H$4:$H$1041)+SLOPE('3. Cleaned Data'!$B$4:$B$1041,'3. Cleaned Data'!$H$4:$H$1041)*H172))</f>
        <v>0.10842105536077362</v>
      </c>
    </row>
    <row r="173" spans="1:10" x14ac:dyDescent="0.2">
      <c r="A173" s="12">
        <v>42576</v>
      </c>
      <c r="B173" s="13">
        <v>13.291117703999999</v>
      </c>
      <c r="C173" s="13">
        <v>120.150002</v>
      </c>
      <c r="D173" s="13">
        <v>120.459999</v>
      </c>
      <c r="E173" s="13">
        <v>119.760002</v>
      </c>
      <c r="F173" s="13">
        <v>120.220001</v>
      </c>
      <c r="G173" s="13">
        <v>113.608414</v>
      </c>
      <c r="H173" s="13">
        <v>113.608414</v>
      </c>
      <c r="I173" s="14">
        <f t="shared" si="2"/>
        <v>-1.4951151678657126E-3</v>
      </c>
      <c r="J173" s="14">
        <f>IF(COUNT(B173)=0,"",B173-(INTERCEPT('3. Cleaned Data'!$B$4:$B$1041,'3. Cleaned Data'!$H$4:$H$1041)+SLOPE('3. Cleaned Data'!$B$4:$B$1041,'3. Cleaned Data'!$H$4:$H$1041)*H173))</f>
        <v>-0.4519031123742927</v>
      </c>
    </row>
    <row r="174" spans="1:10" x14ac:dyDescent="0.2">
      <c r="A174" s="12">
        <v>42577</v>
      </c>
      <c r="B174" s="13">
        <v>13.5921050892</v>
      </c>
      <c r="C174" s="13">
        <v>120.199997</v>
      </c>
      <c r="D174" s="13">
        <v>120.970001</v>
      </c>
      <c r="E174" s="13">
        <v>119.91999800000001</v>
      </c>
      <c r="F174" s="13">
        <v>120.800003</v>
      </c>
      <c r="G174" s="13">
        <v>114.156525</v>
      </c>
      <c r="H174" s="13">
        <v>114.156525</v>
      </c>
      <c r="I174" s="14">
        <f t="shared" si="2"/>
        <v>4.8245634341836929E-3</v>
      </c>
      <c r="J174" s="14">
        <f>IF(COUNT(B174)=0,"",B174-(INTERCEPT('3. Cleaned Data'!$B$4:$B$1041,'3. Cleaned Data'!$H$4:$H$1041)+SLOPE('3. Cleaned Data'!$B$4:$B$1041,'3. Cleaned Data'!$H$4:$H$1041)*H174))</f>
        <v>-0.22589316152635774</v>
      </c>
    </row>
    <row r="175" spans="1:10" x14ac:dyDescent="0.2">
      <c r="A175" s="12">
        <v>42578</v>
      </c>
      <c r="B175" s="13">
        <v>13.05370452</v>
      </c>
      <c r="C175" s="13">
        <v>121</v>
      </c>
      <c r="D175" s="13">
        <v>121.470001</v>
      </c>
      <c r="E175" s="13">
        <v>120.349998</v>
      </c>
      <c r="F175" s="13">
        <v>121.139999</v>
      </c>
      <c r="G175" s="13">
        <v>114.47782100000001</v>
      </c>
      <c r="H175" s="13">
        <v>114.47782100000001</v>
      </c>
      <c r="I175" s="14">
        <f t="shared" si="2"/>
        <v>2.814521552753968E-3</v>
      </c>
      <c r="J175" s="14">
        <f>IF(COUNT(B175)=0,"",B175-(INTERCEPT('3. Cleaned Data'!$B$4:$B$1041,'3. Cleaned Data'!$H$4:$H$1041)+SLOPE('3. Cleaned Data'!$B$4:$B$1041,'3. Cleaned Data'!$H$4:$H$1041)*H175))</f>
        <v>-0.80824459058427323</v>
      </c>
    </row>
    <row r="176" spans="1:10" x14ac:dyDescent="0.2">
      <c r="A176" s="12">
        <v>42579</v>
      </c>
      <c r="B176" s="13">
        <v>13.278112394400001</v>
      </c>
      <c r="C176" s="13">
        <v>120.879997</v>
      </c>
      <c r="D176" s="13">
        <v>121.239998</v>
      </c>
      <c r="E176" s="13">
        <v>120.529999</v>
      </c>
      <c r="F176" s="13">
        <v>120.83000199999999</v>
      </c>
      <c r="G176" s="13">
        <v>114.18486</v>
      </c>
      <c r="H176" s="13">
        <v>114.18486</v>
      </c>
      <c r="I176" s="14">
        <f t="shared" si="2"/>
        <v>-2.5591070605720523E-3</v>
      </c>
      <c r="J176" s="14">
        <f>IF(COUNT(B176)=0,"",B176-(INTERCEPT('3. Cleaned Data'!$B$4:$B$1041,'3. Cleaned Data'!$H$4:$H$1041)+SLOPE('3. Cleaned Data'!$B$4:$B$1041,'3. Cleaned Data'!$H$4:$H$1041)*H176))</f>
        <v>-0.54376186976590901</v>
      </c>
    </row>
    <row r="177" spans="1:10" x14ac:dyDescent="0.2">
      <c r="A177" s="12">
        <v>42580</v>
      </c>
      <c r="B177" s="13">
        <v>13.112727552000001</v>
      </c>
      <c r="C177" s="13">
        <v>120.709999</v>
      </c>
      <c r="D177" s="13">
        <v>121.760002</v>
      </c>
      <c r="E177" s="13">
        <v>120.050003</v>
      </c>
      <c r="F177" s="13">
        <v>121.07</v>
      </c>
      <c r="G177" s="13">
        <v>114.411659</v>
      </c>
      <c r="H177" s="13">
        <v>114.411659</v>
      </c>
      <c r="I177" s="14">
        <f t="shared" si="2"/>
        <v>1.986244060727449E-3</v>
      </c>
      <c r="J177" s="14">
        <f>IF(COUNT(B177)=0,"",B177-(INTERCEPT('3. Cleaned Data'!$B$4:$B$1041,'3. Cleaned Data'!$H$4:$H$1041)+SLOPE('3. Cleaned Data'!$B$4:$B$1041,'3. Cleaned Data'!$H$4:$H$1041)*H177))</f>
        <v>-0.74017109798121616</v>
      </c>
    </row>
    <row r="178" spans="1:10" x14ac:dyDescent="0.2">
      <c r="A178" s="12">
        <v>42583</v>
      </c>
      <c r="B178" s="13">
        <v>14.218427808</v>
      </c>
      <c r="C178" s="13">
        <v>121.199997</v>
      </c>
      <c r="D178" s="13">
        <v>121.699997</v>
      </c>
      <c r="E178" s="13">
        <v>120.44000200000001</v>
      </c>
      <c r="F178" s="13">
        <v>121.16999800000001</v>
      </c>
      <c r="G178" s="13">
        <v>114.50618</v>
      </c>
      <c r="H178" s="13">
        <v>114.50618</v>
      </c>
      <c r="I178" s="14">
        <f t="shared" si="2"/>
        <v>8.2614832112515302E-4</v>
      </c>
      <c r="J178" s="14">
        <f>IF(COUNT(B178)=0,"",B178-(INTERCEPT('3. Cleaned Data'!$B$4:$B$1041,'3. Cleaned Data'!$H$4:$H$1041)+SLOPE('3. Cleaned Data'!$B$4:$B$1041,'3. Cleaned Data'!$H$4:$H$1041)*H178))</f>
        <v>0.35259940095791009</v>
      </c>
    </row>
    <row r="179" spans="1:10" x14ac:dyDescent="0.2">
      <c r="A179" s="12">
        <v>42584</v>
      </c>
      <c r="B179" s="13">
        <v>13.452818605199999</v>
      </c>
      <c r="C179" s="13">
        <v>121.160004</v>
      </c>
      <c r="D179" s="13">
        <v>121.209999</v>
      </c>
      <c r="E179" s="13">
        <v>119.099998</v>
      </c>
      <c r="F179" s="13">
        <v>119.480003</v>
      </c>
      <c r="G179" s="13">
        <v>112.909119</v>
      </c>
      <c r="H179" s="13">
        <v>112.909119</v>
      </c>
      <c r="I179" s="14">
        <f t="shared" si="2"/>
        <v>-1.3947378211376815E-2</v>
      </c>
      <c r="J179" s="14">
        <f>IF(COUNT(B179)=0,"",B179-(INTERCEPT('3. Cleaned Data'!$B$4:$B$1041,'3. Cleaned Data'!$H$4:$H$1041)+SLOPE('3. Cleaned Data'!$B$4:$B$1041,'3. Cleaned Data'!$H$4:$H$1041)*H179))</f>
        <v>-0.19454395042924588</v>
      </c>
    </row>
    <row r="180" spans="1:10" x14ac:dyDescent="0.2">
      <c r="A180" s="12">
        <v>42585</v>
      </c>
      <c r="B180" s="13">
        <v>13.446215931599999</v>
      </c>
      <c r="C180" s="13">
        <v>119.370003</v>
      </c>
      <c r="D180" s="13">
        <v>120.5</v>
      </c>
      <c r="E180" s="13">
        <v>119.099998</v>
      </c>
      <c r="F180" s="13">
        <v>120.449997</v>
      </c>
      <c r="G180" s="13">
        <v>113.82576</v>
      </c>
      <c r="H180" s="13">
        <v>113.82576</v>
      </c>
      <c r="I180" s="14">
        <f t="shared" si="2"/>
        <v>8.1183965309303829E-3</v>
      </c>
      <c r="J180" s="14">
        <f>IF(COUNT(B180)=0,"",B180-(INTERCEPT('3. Cleaned Data'!$B$4:$B$1041,'3. Cleaned Data'!$H$4:$H$1041)+SLOPE('3. Cleaned Data'!$B$4:$B$1041,'3. Cleaned Data'!$H$4:$H$1041)*H180))</f>
        <v>-0.32653617177032856</v>
      </c>
    </row>
    <row r="181" spans="1:10" x14ac:dyDescent="0.2">
      <c r="A181" s="12">
        <v>42586</v>
      </c>
      <c r="B181" s="13">
        <v>13.460516370000001</v>
      </c>
      <c r="C181" s="13">
        <v>120.449997</v>
      </c>
      <c r="D181" s="13">
        <v>121.19000200000001</v>
      </c>
      <c r="E181" s="13">
        <v>120.260002</v>
      </c>
      <c r="F181" s="13">
        <v>120.55999799999999</v>
      </c>
      <c r="G181" s="13">
        <v>113.92971</v>
      </c>
      <c r="H181" s="13">
        <v>113.92971</v>
      </c>
      <c r="I181" s="14">
        <f t="shared" si="2"/>
        <v>9.1323791732200732E-4</v>
      </c>
      <c r="J181" s="14">
        <f>IF(COUNT(B181)=0,"",B181-(INTERCEPT('3. Cleaned Data'!$B$4:$B$1041,'3. Cleaned Data'!$H$4:$H$1041)+SLOPE('3. Cleaned Data'!$B$4:$B$1041,'3. Cleaned Data'!$H$4:$H$1041)*H181))</f>
        <v>-0.32645530623220687</v>
      </c>
    </row>
    <row r="182" spans="1:10" x14ac:dyDescent="0.2">
      <c r="A182" s="12">
        <v>42587</v>
      </c>
      <c r="B182" s="13">
        <v>13.5014879496</v>
      </c>
      <c r="C182" s="13">
        <v>121.339996</v>
      </c>
      <c r="D182" s="13">
        <v>122.58000199999999</v>
      </c>
      <c r="E182" s="13">
        <v>120.970001</v>
      </c>
      <c r="F182" s="13">
        <v>122.300003</v>
      </c>
      <c r="G182" s="13">
        <v>115.574043</v>
      </c>
      <c r="H182" s="13">
        <v>115.574043</v>
      </c>
      <c r="I182" s="14">
        <f t="shared" si="2"/>
        <v>1.443287268966098E-2</v>
      </c>
      <c r="J182" s="14">
        <f>IF(COUNT(B182)=0,"",B182-(INTERCEPT('3. Cleaned Data'!$B$4:$B$1041,'3. Cleaned Data'!$H$4:$H$1041)+SLOPE('3. Cleaned Data'!$B$4:$B$1041,'3. Cleaned Data'!$H$4:$H$1041)*H182))</f>
        <v>-0.51041602968840749</v>
      </c>
    </row>
    <row r="183" spans="1:10" x14ac:dyDescent="0.2">
      <c r="A183" s="12">
        <v>42590</v>
      </c>
      <c r="B183" s="13">
        <v>13.5659458032</v>
      </c>
      <c r="C183" s="13">
        <v>122.349998</v>
      </c>
      <c r="D183" s="13">
        <v>122.849998</v>
      </c>
      <c r="E183" s="13">
        <v>122.029999</v>
      </c>
      <c r="F183" s="13">
        <v>122.239998</v>
      </c>
      <c r="G183" s="13">
        <v>115.517319</v>
      </c>
      <c r="H183" s="13">
        <v>115.517319</v>
      </c>
      <c r="I183" s="14">
        <f t="shared" si="2"/>
        <v>-4.9080224700626118E-4</v>
      </c>
      <c r="J183" s="14">
        <f>IF(COUNT(B183)=0,"",B183-(INTERCEPT('3. Cleaned Data'!$B$4:$B$1041,'3. Cleaned Data'!$H$4:$H$1041)+SLOPE('3. Cleaned Data'!$B$4:$B$1041,'3. Cleaned Data'!$H$4:$H$1041)*H183))</f>
        <v>-0.43819876241820666</v>
      </c>
    </row>
    <row r="184" spans="1:10" x14ac:dyDescent="0.2">
      <c r="A184" s="12">
        <v>42591</v>
      </c>
      <c r="B184" s="13">
        <v>13.717846098000001</v>
      </c>
      <c r="C184" s="13">
        <v>122.269997</v>
      </c>
      <c r="D184" s="13">
        <v>122.629997</v>
      </c>
      <c r="E184" s="13">
        <v>122.139999</v>
      </c>
      <c r="F184" s="13">
        <v>122.370003</v>
      </c>
      <c r="G184" s="13">
        <v>115.640175</v>
      </c>
      <c r="H184" s="13">
        <v>115.640175</v>
      </c>
      <c r="I184" s="14">
        <f t="shared" si="2"/>
        <v>1.0635288376108498E-3</v>
      </c>
      <c r="J184" s="14">
        <f>IF(COUNT(B184)=0,"",B184-(INTERCEPT('3. Cleaned Data'!$B$4:$B$1041,'3. Cleaned Data'!$H$4:$H$1041)+SLOPE('3. Cleaned Data'!$B$4:$B$1041,'3. Cleaned Data'!$H$4:$H$1041)*H184))</f>
        <v>-0.30310423811862997</v>
      </c>
    </row>
    <row r="185" spans="1:10" x14ac:dyDescent="0.2">
      <c r="A185" s="12">
        <v>42592</v>
      </c>
      <c r="B185" s="13">
        <v>13.573816172400001</v>
      </c>
      <c r="C185" s="13">
        <v>122.379997</v>
      </c>
      <c r="D185" s="13">
        <v>122.599998</v>
      </c>
      <c r="E185" s="13">
        <v>121.150002</v>
      </c>
      <c r="F185" s="13">
        <v>121.489998</v>
      </c>
      <c r="G185" s="13">
        <v>114.808571</v>
      </c>
      <c r="H185" s="13">
        <v>114.808571</v>
      </c>
      <c r="I185" s="14">
        <f t="shared" si="2"/>
        <v>-7.1913070003568613E-3</v>
      </c>
      <c r="J185" s="14">
        <f>IF(COUNT(B185)=0,"",B185-(INTERCEPT('3. Cleaned Data'!$B$4:$B$1041,'3. Cleaned Data'!$H$4:$H$1041)+SLOPE('3. Cleaned Data'!$B$4:$B$1041,'3. Cleaned Data'!$H$4:$H$1041)*H185))</f>
        <v>-0.33337703365388727</v>
      </c>
    </row>
    <row r="186" spans="1:10" x14ac:dyDescent="0.2">
      <c r="A186" s="12">
        <v>42593</v>
      </c>
      <c r="B186" s="13">
        <v>13.7414217204</v>
      </c>
      <c r="C186" s="13">
        <v>122.029999</v>
      </c>
      <c r="D186" s="13">
        <v>122.400002</v>
      </c>
      <c r="E186" s="13">
        <v>121.57</v>
      </c>
      <c r="F186" s="13">
        <v>122.07</v>
      </c>
      <c r="G186" s="13">
        <v>115.35668200000001</v>
      </c>
      <c r="H186" s="13">
        <v>115.35668200000001</v>
      </c>
      <c r="I186" s="14">
        <f t="shared" si="2"/>
        <v>4.7741296248693388E-3</v>
      </c>
      <c r="J186" s="14">
        <f>IF(COUNT(B186)=0,"",B186-(INTERCEPT('3. Cleaned Data'!$B$4:$B$1041,'3. Cleaned Data'!$H$4:$H$1041)+SLOPE('3. Cleaned Data'!$B$4:$B$1041,'3. Cleaned Data'!$H$4:$H$1041)*H186))</f>
        <v>-0.24074892000595582</v>
      </c>
    </row>
    <row r="187" spans="1:10" x14ac:dyDescent="0.2">
      <c r="A187" s="12">
        <v>42594</v>
      </c>
      <c r="B187" s="13">
        <v>13.977793717200001</v>
      </c>
      <c r="C187" s="13">
        <v>121.83000199999999</v>
      </c>
      <c r="D187" s="13">
        <v>122.459999</v>
      </c>
      <c r="E187" s="13">
        <v>121.629997</v>
      </c>
      <c r="F187" s="13">
        <v>122.19000200000001</v>
      </c>
      <c r="G187" s="13">
        <v>115.470085</v>
      </c>
      <c r="H187" s="13">
        <v>115.470085</v>
      </c>
      <c r="I187" s="14">
        <f t="shared" si="2"/>
        <v>9.8306398930581018E-4</v>
      </c>
      <c r="J187" s="14">
        <f>IF(COUNT(B187)=0,"",B187-(INTERCEPT('3. Cleaned Data'!$B$4:$B$1041,'3. Cleaned Data'!$H$4:$H$1041)+SLOPE('3. Cleaned Data'!$B$4:$B$1041,'3. Cleaned Data'!$H$4:$H$1041)*H187))</f>
        <v>-1.9889594887104067E-2</v>
      </c>
    </row>
    <row r="188" spans="1:10" x14ac:dyDescent="0.2">
      <c r="A188" s="12">
        <v>42597</v>
      </c>
      <c r="B188" s="13">
        <v>13.38380064</v>
      </c>
      <c r="C188" s="13">
        <v>122.459999</v>
      </c>
      <c r="D188" s="13">
        <v>123.69000200000001</v>
      </c>
      <c r="E188" s="13">
        <v>122.43</v>
      </c>
      <c r="F188" s="13">
        <v>123.400002</v>
      </c>
      <c r="G188" s="13">
        <v>116.613541</v>
      </c>
      <c r="H188" s="13">
        <v>116.613541</v>
      </c>
      <c r="I188" s="14">
        <f t="shared" si="2"/>
        <v>9.9026167686635524E-3</v>
      </c>
      <c r="J188" s="14">
        <f>IF(COUNT(B188)=0,"",B188-(INTERCEPT('3. Cleaned Data'!$B$4:$B$1041,'3. Cleaned Data'!$H$4:$H$1041)+SLOPE('3. Cleaned Data'!$B$4:$B$1041,'3. Cleaned Data'!$H$4:$H$1041)*H188))</f>
        <v>-0.77029879432233983</v>
      </c>
    </row>
    <row r="189" spans="1:10" x14ac:dyDescent="0.2">
      <c r="A189" s="12">
        <v>42598</v>
      </c>
      <c r="B189" s="13">
        <v>13.802044410000001</v>
      </c>
      <c r="C189" s="13">
        <v>123.08000199999999</v>
      </c>
      <c r="D189" s="13">
        <v>123.120003</v>
      </c>
      <c r="E189" s="13">
        <v>122.260002</v>
      </c>
      <c r="F189" s="13">
        <v>122.400002</v>
      </c>
      <c r="G189" s="13">
        <v>115.668533</v>
      </c>
      <c r="H189" s="13">
        <v>115.668533</v>
      </c>
      <c r="I189" s="14">
        <f t="shared" si="2"/>
        <v>-8.1037587221538532E-3</v>
      </c>
      <c r="J189" s="14">
        <f>IF(COUNT(B189)=0,"",B189-(INTERCEPT('3. Cleaned Data'!$B$4:$B$1041,'3. Cleaned Data'!$H$4:$H$1041)+SLOPE('3. Cleaned Data'!$B$4:$B$1041,'3. Cleaned Data'!$H$4:$H$1041)*H189))</f>
        <v>-0.22278508578401812</v>
      </c>
    </row>
    <row r="190" spans="1:10" x14ac:dyDescent="0.2">
      <c r="A190" s="12">
        <v>42599</v>
      </c>
      <c r="B190" s="13">
        <v>14.2526765664</v>
      </c>
      <c r="C190" s="13">
        <v>122.44000200000001</v>
      </c>
      <c r="D190" s="13">
        <v>122.5</v>
      </c>
      <c r="E190" s="13">
        <v>121.33000199999999</v>
      </c>
      <c r="F190" s="13">
        <v>122.040001</v>
      </c>
      <c r="G190" s="13">
        <v>115.32833100000001</v>
      </c>
      <c r="H190" s="13">
        <v>115.32833100000001</v>
      </c>
      <c r="I190" s="14">
        <f t="shared" si="2"/>
        <v>-2.9411802084495786E-3</v>
      </c>
      <c r="J190" s="14">
        <f>IF(COUNT(B190)=0,"",B190-(INTERCEPT('3. Cleaned Data'!$B$4:$B$1041,'3. Cleaned Data'!$H$4:$H$1041)+SLOPE('3. Cleaned Data'!$B$4:$B$1041,'3. Cleaned Data'!$H$4:$H$1041)*H190))</f>
        <v>0.27438412811243929</v>
      </c>
    </row>
    <row r="191" spans="1:10" x14ac:dyDescent="0.2">
      <c r="A191" s="12">
        <v>42600</v>
      </c>
      <c r="B191" s="13">
        <v>14.070737039999999</v>
      </c>
      <c r="C191" s="13">
        <v>122.08000199999999</v>
      </c>
      <c r="D191" s="13">
        <v>122.970001</v>
      </c>
      <c r="E191" s="13">
        <v>122.040001</v>
      </c>
      <c r="F191" s="13">
        <v>122.94000200000001</v>
      </c>
      <c r="G191" s="13">
        <v>116.178825</v>
      </c>
      <c r="H191" s="13">
        <v>116.178825</v>
      </c>
      <c r="I191" s="14">
        <f t="shared" si="2"/>
        <v>7.3745452884426133E-3</v>
      </c>
      <c r="J191" s="14">
        <f>IF(COUNT(B191)=0,"",B191-(INTERCEPT('3. Cleaned Data'!$B$4:$B$1041,'3. Cleaned Data'!$H$4:$H$1041)+SLOPE('3. Cleaned Data'!$B$4:$B$1041,'3. Cleaned Data'!$H$4:$H$1041)*H191))</f>
        <v>-2.389653731200525E-2</v>
      </c>
    </row>
    <row r="192" spans="1:10" x14ac:dyDescent="0.2">
      <c r="A192" s="12">
        <v>42601</v>
      </c>
      <c r="B192" s="13">
        <v>14.374888760399999</v>
      </c>
      <c r="C192" s="13">
        <v>122.769997</v>
      </c>
      <c r="D192" s="13">
        <v>123.07</v>
      </c>
      <c r="E192" s="13">
        <v>122.279999</v>
      </c>
      <c r="F192" s="13">
        <v>122.94000200000001</v>
      </c>
      <c r="G192" s="13">
        <v>116.178825</v>
      </c>
      <c r="H192" s="13">
        <v>116.178825</v>
      </c>
      <c r="I192" s="14">
        <f t="shared" si="2"/>
        <v>0</v>
      </c>
      <c r="J192" s="14">
        <f>IF(COUNT(B192)=0,"",B192-(INTERCEPT('3. Cleaned Data'!$B$4:$B$1041,'3. Cleaned Data'!$H$4:$H$1041)+SLOPE('3. Cleaned Data'!$B$4:$B$1041,'3. Cleaned Data'!$H$4:$H$1041)*H192))</f>
        <v>0.28025518308799491</v>
      </c>
    </row>
    <row r="193" spans="1:10" x14ac:dyDescent="0.2">
      <c r="A193" s="12">
        <v>42604</v>
      </c>
      <c r="B193" s="13">
        <v>14.402919262799999</v>
      </c>
      <c r="C193" s="13">
        <v>122.68</v>
      </c>
      <c r="D193" s="13">
        <v>123.339996</v>
      </c>
      <c r="E193" s="13">
        <v>122.33000199999999</v>
      </c>
      <c r="F193" s="13">
        <v>123.220001</v>
      </c>
      <c r="G193" s="13">
        <v>116.44343600000001</v>
      </c>
      <c r="H193" s="13">
        <v>116.44343600000001</v>
      </c>
      <c r="I193" s="14">
        <f t="shared" si="2"/>
        <v>2.277618145991811E-3</v>
      </c>
      <c r="J193" s="14">
        <f>IF(COUNT(B193)=0,"",B193-(INTERCEPT('3. Cleaned Data'!$B$4:$B$1041,'3. Cleaned Data'!$H$4:$H$1041)+SLOPE('3. Cleaned Data'!$B$4:$B$1041,'3. Cleaned Data'!$H$4:$H$1041)*H193))</f>
        <v>0.27208890439559852</v>
      </c>
    </row>
    <row r="194" spans="1:10" x14ac:dyDescent="0.2">
      <c r="A194" s="12">
        <v>42605</v>
      </c>
      <c r="B194" s="13">
        <v>14.094617185200001</v>
      </c>
      <c r="C194" s="13">
        <v>123.610001</v>
      </c>
      <c r="D194" s="13">
        <v>124.459999</v>
      </c>
      <c r="E194" s="13">
        <v>123.610001</v>
      </c>
      <c r="F194" s="13">
        <v>124.08000199999999</v>
      </c>
      <c r="G194" s="13">
        <v>117.256142</v>
      </c>
      <c r="H194" s="13">
        <v>117.256142</v>
      </c>
      <c r="I194" s="14">
        <f t="shared" si="2"/>
        <v>6.9794058636332146E-3</v>
      </c>
      <c r="J194" s="14">
        <f>IF(COUNT(B194)=0,"",B194-(INTERCEPT('3. Cleaned Data'!$B$4:$B$1041,'3. Cleaned Data'!$H$4:$H$1041)+SLOPE('3. Cleaned Data'!$B$4:$B$1041,'3. Cleaned Data'!$H$4:$H$1041)*H194))</f>
        <v>-0.14738519997001731</v>
      </c>
    </row>
    <row r="195" spans="1:10" x14ac:dyDescent="0.2">
      <c r="A195" s="12">
        <v>42606</v>
      </c>
      <c r="B195" s="13">
        <v>14.167920520799999</v>
      </c>
      <c r="C195" s="13">
        <v>123.94000200000001</v>
      </c>
      <c r="D195" s="13">
        <v>124.25</v>
      </c>
      <c r="E195" s="13">
        <v>122.769997</v>
      </c>
      <c r="F195" s="13">
        <v>123.07</v>
      </c>
      <c r="G195" s="13">
        <v>116.301689</v>
      </c>
      <c r="H195" s="13">
        <v>116.301689</v>
      </c>
      <c r="I195" s="14">
        <f t="shared" si="2"/>
        <v>-8.1398976950819435E-3</v>
      </c>
      <c r="J195" s="14">
        <f>IF(COUNT(B195)=0,"",B195-(INTERCEPT('3. Cleaned Data'!$B$4:$B$1041,'3. Cleaned Data'!$H$4:$H$1041)+SLOPE('3. Cleaned Data'!$B$4:$B$1041,'3. Cleaned Data'!$H$4:$H$1041)*H195))</f>
        <v>5.6480078648151633E-2</v>
      </c>
    </row>
    <row r="196" spans="1:10" x14ac:dyDescent="0.2">
      <c r="A196" s="12">
        <v>42607</v>
      </c>
      <c r="B196" s="13">
        <v>13.491576576</v>
      </c>
      <c r="C196" s="13">
        <v>122.620003</v>
      </c>
      <c r="D196" s="13">
        <v>123.69000200000001</v>
      </c>
      <c r="E196" s="13">
        <v>122.610001</v>
      </c>
      <c r="F196" s="13">
        <v>123.30999799999999</v>
      </c>
      <c r="G196" s="13">
        <v>116.52847300000001</v>
      </c>
      <c r="H196" s="13">
        <v>116.52847300000001</v>
      </c>
      <c r="I196" s="14">
        <f t="shared" si="2"/>
        <v>1.9499630826513847E-3</v>
      </c>
      <c r="J196" s="14">
        <f>IF(COUNT(B196)=0,"",B196-(INTERCEPT('3. Cleaned Data'!$B$4:$B$1041,'3. Cleaned Data'!$H$4:$H$1041)+SLOPE('3. Cleaned Data'!$B$4:$B$1041,'3. Cleaned Data'!$H$4:$H$1041)*H196))</f>
        <v>-0.65088620008074116</v>
      </c>
    </row>
    <row r="197" spans="1:10" x14ac:dyDescent="0.2">
      <c r="A197" s="12">
        <v>42608</v>
      </c>
      <c r="B197" s="13">
        <v>14.1140891772</v>
      </c>
      <c r="C197" s="13">
        <v>123.449997</v>
      </c>
      <c r="D197" s="13">
        <v>124.410004</v>
      </c>
      <c r="E197" s="13">
        <v>122.300003</v>
      </c>
      <c r="F197" s="13">
        <v>123.05999799999999</v>
      </c>
      <c r="G197" s="13">
        <v>116.292221</v>
      </c>
      <c r="H197" s="13">
        <v>116.292221</v>
      </c>
      <c r="I197" s="14">
        <f t="shared" ref="I197:I260" si="3">H197/H196-1</f>
        <v>-2.0274186550097717E-3</v>
      </c>
      <c r="J197" s="14">
        <f>IF(COUNT(B197)=0,"",B197-(INTERCEPT('3. Cleaned Data'!$B$4:$B$1041,'3. Cleaned Data'!$H$4:$H$1041)+SLOPE('3. Cleaned Data'!$B$4:$B$1041,'3. Cleaned Data'!$H$4:$H$1041)*H197))</f>
        <v>3.9438857538396377E-3</v>
      </c>
    </row>
    <row r="198" spans="1:10" x14ac:dyDescent="0.2">
      <c r="A198" s="12">
        <v>42611</v>
      </c>
      <c r="B198" s="13">
        <v>14.124397479600001</v>
      </c>
      <c r="C198" s="13">
        <v>123.269997</v>
      </c>
      <c r="D198" s="13">
        <v>124.16999800000001</v>
      </c>
      <c r="E198" s="13">
        <v>123.239998</v>
      </c>
      <c r="F198" s="13">
        <v>123.699997</v>
      </c>
      <c r="G198" s="13">
        <v>116.897034</v>
      </c>
      <c r="H198" s="13">
        <v>116.897034</v>
      </c>
      <c r="I198" s="14">
        <f t="shared" si="3"/>
        <v>5.2008035859940627E-3</v>
      </c>
      <c r="J198" s="14">
        <f>IF(COUNT(B198)=0,"",B198-(INTERCEPT('3. Cleaned Data'!$B$4:$B$1041,'3. Cleaned Data'!$H$4:$H$1041)+SLOPE('3. Cleaned Data'!$B$4:$B$1041,'3. Cleaned Data'!$H$4:$H$1041)*H198))</f>
        <v>-6.8481650435016306E-2</v>
      </c>
    </row>
    <row r="199" spans="1:10" x14ac:dyDescent="0.2">
      <c r="A199" s="12">
        <v>42612</v>
      </c>
      <c r="B199" s="13">
        <v>13.837109764799999</v>
      </c>
      <c r="C199" s="13">
        <v>123.83000199999999</v>
      </c>
      <c r="D199" s="13">
        <v>124.16999800000001</v>
      </c>
      <c r="E199" s="13">
        <v>123.379997</v>
      </c>
      <c r="F199" s="13">
        <v>123.93</v>
      </c>
      <c r="G199" s="13">
        <v>117.11438</v>
      </c>
      <c r="H199" s="13">
        <v>117.11438</v>
      </c>
      <c r="I199" s="14">
        <f t="shared" si="3"/>
        <v>1.8592943940731743E-3</v>
      </c>
      <c r="J199" s="14">
        <f>IF(COUNT(B199)=0,"",B199-(INTERCEPT('3. Cleaned Data'!$B$4:$B$1041,'3. Cleaned Data'!$H$4:$H$1041)+SLOPE('3. Cleaned Data'!$B$4:$B$1041,'3. Cleaned Data'!$H$4:$H$1041)*H199))</f>
        <v>-0.38550065223105356</v>
      </c>
    </row>
    <row r="200" spans="1:10" x14ac:dyDescent="0.2">
      <c r="A200" s="12">
        <v>42613</v>
      </c>
      <c r="B200" s="13">
        <v>14.5570986444</v>
      </c>
      <c r="C200" s="13">
        <v>123.779999</v>
      </c>
      <c r="D200" s="13">
        <v>123.889999</v>
      </c>
      <c r="E200" s="13">
        <v>122.550003</v>
      </c>
      <c r="F200" s="13">
        <v>123.230003</v>
      </c>
      <c r="G200" s="13">
        <v>116.452881</v>
      </c>
      <c r="H200" s="13">
        <v>116.452881</v>
      </c>
      <c r="I200" s="14">
        <f t="shared" si="3"/>
        <v>-5.6483157747152513E-3</v>
      </c>
      <c r="J200" s="14">
        <f>IF(COUNT(B200)=0,"",B200-(INTERCEPT('3. Cleaned Data'!$B$4:$B$1041,'3. Cleaned Data'!$H$4:$H$1041)+SLOPE('3. Cleaned Data'!$B$4:$B$1041,'3. Cleaned Data'!$H$4:$H$1041)*H200))</f>
        <v>0.42497628151574851</v>
      </c>
    </row>
    <row r="201" spans="1:10" x14ac:dyDescent="0.2">
      <c r="A201" s="12">
        <v>42614</v>
      </c>
      <c r="B201" s="13">
        <v>14.5059912</v>
      </c>
      <c r="C201" s="13">
        <v>123.339996</v>
      </c>
      <c r="D201" s="13">
        <v>123.629997</v>
      </c>
      <c r="E201" s="13">
        <v>122.019997</v>
      </c>
      <c r="F201" s="13">
        <v>123.32</v>
      </c>
      <c r="G201" s="13">
        <v>116.537933</v>
      </c>
      <c r="H201" s="13">
        <v>116.537933</v>
      </c>
      <c r="I201" s="14">
        <f t="shared" si="3"/>
        <v>7.3035548171618281E-4</v>
      </c>
      <c r="J201" s="14">
        <f>IF(COUNT(B201)=0,"",B201-(INTERCEPT('3. Cleaned Data'!$B$4:$B$1041,'3. Cleaned Data'!$H$4:$H$1041)+SLOPE('3. Cleaned Data'!$B$4:$B$1041,'3. Cleaned Data'!$H$4:$H$1041)*H201))</f>
        <v>0.3622343675529951</v>
      </c>
    </row>
    <row r="202" spans="1:10" x14ac:dyDescent="0.2">
      <c r="A202" s="12">
        <v>42615</v>
      </c>
      <c r="B202" s="13">
        <v>14.193207960000001</v>
      </c>
      <c r="C202" s="13">
        <v>124.010002</v>
      </c>
      <c r="D202" s="13">
        <v>124.529999</v>
      </c>
      <c r="E202" s="13">
        <v>123.629997</v>
      </c>
      <c r="F202" s="13">
        <v>124.510002</v>
      </c>
      <c r="G202" s="13">
        <v>117.662498</v>
      </c>
      <c r="H202" s="13">
        <v>117.662498</v>
      </c>
      <c r="I202" s="14">
        <f t="shared" si="3"/>
        <v>9.6497764380290008E-3</v>
      </c>
      <c r="J202" s="14">
        <f>IF(COUNT(B202)=0,"",B202-(INTERCEPT('3. Cleaned Data'!$B$4:$B$1041,'3. Cleaned Data'!$H$4:$H$1041)+SLOPE('3. Cleaned Data'!$B$4:$B$1041,'3. Cleaned Data'!$H$4:$H$1041)*H202))</f>
        <v>-0.10438084893011101</v>
      </c>
    </row>
    <row r="203" spans="1:10" x14ac:dyDescent="0.2">
      <c r="A203" s="12">
        <v>42619</v>
      </c>
      <c r="B203" s="13">
        <v>13.612314513599999</v>
      </c>
      <c r="C203" s="13">
        <v>124.91999800000001</v>
      </c>
      <c r="D203" s="13">
        <v>124.970001</v>
      </c>
      <c r="E203" s="13">
        <v>123.970001</v>
      </c>
      <c r="F203" s="13">
        <v>124.629997</v>
      </c>
      <c r="G203" s="13">
        <v>117.775879</v>
      </c>
      <c r="H203" s="13">
        <v>117.775879</v>
      </c>
      <c r="I203" s="14">
        <f t="shared" si="3"/>
        <v>9.6361204230088759E-4</v>
      </c>
      <c r="J203" s="14">
        <f>IF(COUNT(B203)=0,"",B203-(INTERCEPT('3. Cleaned Data'!$B$4:$B$1041,'3. Cleaned Data'!$H$4:$H$1041)+SLOPE('3. Cleaned Data'!$B$4:$B$1041,'3. Cleaned Data'!$H$4:$H$1041)*H203))</f>
        <v>-0.7007839575778565</v>
      </c>
    </row>
    <row r="204" spans="1:10" x14ac:dyDescent="0.2">
      <c r="A204" s="12">
        <v>42620</v>
      </c>
      <c r="B204" s="13">
        <v>13.941459</v>
      </c>
      <c r="C204" s="13">
        <v>124.550003</v>
      </c>
      <c r="D204" s="13">
        <v>125.44000200000001</v>
      </c>
      <c r="E204" s="13">
        <v>124.480003</v>
      </c>
      <c r="F204" s="13">
        <v>125.410004</v>
      </c>
      <c r="G204" s="13">
        <v>118.51300000000001</v>
      </c>
      <c r="H204" s="13">
        <v>118.51300000000001</v>
      </c>
      <c r="I204" s="14">
        <f t="shared" si="3"/>
        <v>6.2586754287776714E-3</v>
      </c>
      <c r="J204" s="14">
        <f>IF(COUNT(B204)=0,"",B204-(INTERCEPT('3. Cleaned Data'!$B$4:$B$1041,'3. Cleaned Data'!$H$4:$H$1041)+SLOPE('3. Cleaned Data'!$B$4:$B$1041,'3. Cleaned Data'!$H$4:$H$1041)*H204))</f>
        <v>-0.47247204229397788</v>
      </c>
    </row>
    <row r="205" spans="1:10" x14ac:dyDescent="0.2">
      <c r="A205" s="12">
        <v>42621</v>
      </c>
      <c r="B205" s="13">
        <v>14.220787276799999</v>
      </c>
      <c r="C205" s="13">
        <v>125.30999799999999</v>
      </c>
      <c r="D205" s="13">
        <v>125.410004</v>
      </c>
      <c r="E205" s="13">
        <v>124.769997</v>
      </c>
      <c r="F205" s="13">
        <v>125.160004</v>
      </c>
      <c r="G205" s="13">
        <v>118.27673299999999</v>
      </c>
      <c r="H205" s="13">
        <v>118.27673299999999</v>
      </c>
      <c r="I205" s="14">
        <f t="shared" si="3"/>
        <v>-1.9935956392970189E-3</v>
      </c>
      <c r="J205" s="14">
        <f>IF(COUNT(B205)=0,"",B205-(INTERCEPT('3. Cleaned Data'!$B$4:$B$1041,'3. Cleaned Data'!$H$4:$H$1041)+SLOPE('3. Cleaned Data'!$B$4:$B$1041,'3. Cleaned Data'!$H$4:$H$1041)*H205))</f>
        <v>-0.16082422897298088</v>
      </c>
    </row>
    <row r="206" spans="1:10" x14ac:dyDescent="0.2">
      <c r="A206" s="12">
        <v>42622</v>
      </c>
      <c r="B206" s="13">
        <v>12.992295684</v>
      </c>
      <c r="C206" s="13">
        <v>124.18</v>
      </c>
      <c r="D206" s="13">
        <v>124.209999</v>
      </c>
      <c r="E206" s="13">
        <v>121.209999</v>
      </c>
      <c r="F206" s="13">
        <v>121.25</v>
      </c>
      <c r="G206" s="13">
        <v>114.581772</v>
      </c>
      <c r="H206" s="13">
        <v>114.581772</v>
      </c>
      <c r="I206" s="14">
        <f t="shared" si="3"/>
        <v>-3.1239965006473303E-2</v>
      </c>
      <c r="J206" s="14">
        <f>IF(COUNT(B206)=0,"",B206-(INTERCEPT('3. Cleaned Data'!$B$4:$B$1041,'3. Cleaned Data'!$H$4:$H$1041)+SLOPE('3. Cleaned Data'!$B$4:$B$1041,'3. Cleaned Data'!$H$4:$H$1041)*H206))</f>
        <v>-0.88387313623858077</v>
      </c>
    </row>
    <row r="207" spans="1:10" x14ac:dyDescent="0.2">
      <c r="A207" s="12">
        <v>42625</v>
      </c>
      <c r="B207" s="13">
        <v>14.116187714400001</v>
      </c>
      <c r="C207" s="13">
        <v>120.69000200000001</v>
      </c>
      <c r="D207" s="13">
        <v>122.970001</v>
      </c>
      <c r="E207" s="13">
        <v>120.58000199999999</v>
      </c>
      <c r="F207" s="13">
        <v>122.94000200000001</v>
      </c>
      <c r="G207" s="13">
        <v>116.178825</v>
      </c>
      <c r="H207" s="13">
        <v>116.178825</v>
      </c>
      <c r="I207" s="14">
        <f t="shared" si="3"/>
        <v>1.3938107014089596E-2</v>
      </c>
      <c r="J207" s="14">
        <f>IF(COUNT(B207)=0,"",B207-(INTERCEPT('3. Cleaned Data'!$B$4:$B$1041,'3. Cleaned Data'!$H$4:$H$1041)+SLOPE('3. Cleaned Data'!$B$4:$B$1041,'3. Cleaned Data'!$H$4:$H$1041)*H207))</f>
        <v>2.1554137087996139E-2</v>
      </c>
    </row>
    <row r="208" spans="1:10" x14ac:dyDescent="0.2">
      <c r="A208" s="12">
        <v>42626</v>
      </c>
      <c r="B208" s="13">
        <v>13.818987119999999</v>
      </c>
      <c r="C208" s="13">
        <v>122.05999799999999</v>
      </c>
      <c r="D208" s="13">
        <v>122.160004</v>
      </c>
      <c r="E208" s="13">
        <v>119.879997</v>
      </c>
      <c r="F208" s="13">
        <v>120.58000199999999</v>
      </c>
      <c r="G208" s="13">
        <v>113.948616</v>
      </c>
      <c r="H208" s="13">
        <v>113.948616</v>
      </c>
      <c r="I208" s="14">
        <f t="shared" si="3"/>
        <v>-1.9196346666442876E-2</v>
      </c>
      <c r="J208" s="14">
        <f>IF(COUNT(B208)=0,"",B208-(INTERCEPT('3. Cleaned Data'!$B$4:$B$1041,'3. Cleaned Data'!$H$4:$H$1041)+SLOPE('3. Cleaned Data'!$B$4:$B$1041,'3. Cleaned Data'!$H$4:$H$1041)*H208))</f>
        <v>2.9429246129247133E-2</v>
      </c>
    </row>
    <row r="209" spans="1:10" x14ac:dyDescent="0.2">
      <c r="A209" s="12">
        <v>42627</v>
      </c>
      <c r="B209" s="13">
        <v>14.4672756384</v>
      </c>
      <c r="C209" s="13">
        <v>120.769997</v>
      </c>
      <c r="D209" s="13">
        <v>121.470001</v>
      </c>
      <c r="E209" s="13">
        <v>120.290001</v>
      </c>
      <c r="F209" s="13">
        <v>120.599998</v>
      </c>
      <c r="G209" s="13">
        <v>113.967506</v>
      </c>
      <c r="H209" s="13">
        <v>113.967506</v>
      </c>
      <c r="I209" s="14">
        <f t="shared" si="3"/>
        <v>1.6577647595128475E-4</v>
      </c>
      <c r="J209" s="14">
        <f>IF(COUNT(B209)=0,"",B209-(INTERCEPT('3. Cleaned Data'!$B$4:$B$1041,'3. Cleaned Data'!$H$4:$H$1041)+SLOPE('3. Cleaned Data'!$B$4:$B$1041,'3. Cleaned Data'!$H$4:$H$1041)*H209))</f>
        <v>0.67513375556954891</v>
      </c>
    </row>
    <row r="210" spans="1:10" x14ac:dyDescent="0.2">
      <c r="A210" s="12">
        <v>42628</v>
      </c>
      <c r="B210" s="13">
        <v>14.405947795199999</v>
      </c>
      <c r="C210" s="13">
        <v>120.68</v>
      </c>
      <c r="D210" s="13">
        <v>122.19000200000001</v>
      </c>
      <c r="E210" s="13">
        <v>120.510002</v>
      </c>
      <c r="F210" s="13">
        <v>122.040001</v>
      </c>
      <c r="G210" s="13">
        <v>115.32833100000001</v>
      </c>
      <c r="H210" s="13">
        <v>115.32833100000001</v>
      </c>
      <c r="I210" s="14">
        <f t="shared" si="3"/>
        <v>1.1940464854956145E-2</v>
      </c>
      <c r="J210" s="14">
        <f>IF(COUNT(B210)=0,"",B210-(INTERCEPT('3. Cleaned Data'!$B$4:$B$1041,'3. Cleaned Data'!$H$4:$H$1041)+SLOPE('3. Cleaned Data'!$B$4:$B$1041,'3. Cleaned Data'!$H$4:$H$1041)*H210))</f>
        <v>0.42765535691243883</v>
      </c>
    </row>
    <row r="211" spans="1:10" x14ac:dyDescent="0.2">
      <c r="A211" s="12">
        <v>42629</v>
      </c>
      <c r="B211" s="13">
        <v>13.349960766000001</v>
      </c>
      <c r="C211" s="13">
        <v>122.040001</v>
      </c>
      <c r="D211" s="13">
        <v>122.040001</v>
      </c>
      <c r="E211" s="13">
        <v>121.099998</v>
      </c>
      <c r="F211" s="13">
        <v>121.860001</v>
      </c>
      <c r="G211" s="13">
        <v>115.158226</v>
      </c>
      <c r="H211" s="13">
        <v>115.158226</v>
      </c>
      <c r="I211" s="14">
        <f t="shared" si="3"/>
        <v>-1.4749628172456841E-3</v>
      </c>
      <c r="J211" s="14">
        <f>IF(COUNT(B211)=0,"",B211-(INTERCEPT('3. Cleaned Data'!$B$4:$B$1041,'3. Cleaned Data'!$H$4:$H$1041)+SLOPE('3. Cleaned Data'!$B$4:$B$1041,'3. Cleaned Data'!$H$4:$H$1041)*H211))</f>
        <v>-0.60506259636961879</v>
      </c>
    </row>
    <row r="212" spans="1:10" x14ac:dyDescent="0.2">
      <c r="A212" s="12">
        <v>42632</v>
      </c>
      <c r="B212" s="13">
        <v>14.396987429999999</v>
      </c>
      <c r="C212" s="13">
        <v>122.32</v>
      </c>
      <c r="D212" s="13">
        <v>123.550003</v>
      </c>
      <c r="E212" s="13">
        <v>121.989998</v>
      </c>
      <c r="F212" s="13">
        <v>122.66999800000001</v>
      </c>
      <c r="G212" s="13">
        <v>115.923683</v>
      </c>
      <c r="H212" s="13">
        <v>115.923683</v>
      </c>
      <c r="I212" s="14">
        <f t="shared" si="3"/>
        <v>6.6470023600397887E-3</v>
      </c>
      <c r="J212" s="14">
        <f>IF(COUNT(B212)=0,"",B212-(INTERCEPT('3. Cleaned Data'!$B$4:$B$1041,'3. Cleaned Data'!$H$4:$H$1041)+SLOPE('3. Cleaned Data'!$B$4:$B$1041,'3. Cleaned Data'!$H$4:$H$1041)*H212))</f>
        <v>0.33725534628227827</v>
      </c>
    </row>
    <row r="213" spans="1:10" x14ac:dyDescent="0.2">
      <c r="A213" s="12">
        <v>42633</v>
      </c>
      <c r="B213" s="13">
        <v>13.8704494824</v>
      </c>
      <c r="C213" s="13">
        <v>123.199997</v>
      </c>
      <c r="D213" s="13">
        <v>123.230003</v>
      </c>
      <c r="E213" s="13">
        <v>122.150002</v>
      </c>
      <c r="F213" s="13">
        <v>122.150002</v>
      </c>
      <c r="G213" s="13">
        <v>115.43227400000001</v>
      </c>
      <c r="H213" s="13">
        <v>115.43227400000001</v>
      </c>
      <c r="I213" s="14">
        <f t="shared" si="3"/>
        <v>-4.2390733910687706E-3</v>
      </c>
      <c r="J213" s="14">
        <f>IF(COUNT(B213)=0,"",B213-(INTERCEPT('3. Cleaned Data'!$B$4:$B$1041,'3. Cleaned Data'!$H$4:$H$1041)+SLOPE('3. Cleaned Data'!$B$4:$B$1041,'3. Cleaned Data'!$H$4:$H$1041)*H213))</f>
        <v>-0.12206157120244576</v>
      </c>
    </row>
    <row r="214" spans="1:10" x14ac:dyDescent="0.2">
      <c r="A214" s="12">
        <v>42634</v>
      </c>
      <c r="B214" s="13">
        <v>14.4333581112</v>
      </c>
      <c r="C214" s="13">
        <v>122.58000199999999</v>
      </c>
      <c r="D214" s="13">
        <v>123.970001</v>
      </c>
      <c r="E214" s="13">
        <v>122.099998</v>
      </c>
      <c r="F214" s="13">
        <v>123.91999800000001</v>
      </c>
      <c r="G214" s="13">
        <v>117.104919</v>
      </c>
      <c r="H214" s="13">
        <v>117.104919</v>
      </c>
      <c r="I214" s="14">
        <f t="shared" si="3"/>
        <v>1.4490271585570591E-2</v>
      </c>
      <c r="J214" s="14">
        <f>IF(COUNT(B214)=0,"",B214-(INTERCEPT('3. Cleaned Data'!$B$4:$B$1041,'3. Cleaned Data'!$H$4:$H$1041)+SLOPE('3. Cleaned Data'!$B$4:$B$1041,'3. Cleaned Data'!$H$4:$H$1041)*H214))</f>
        <v>0.21204188732764351</v>
      </c>
    </row>
    <row r="215" spans="1:10" x14ac:dyDescent="0.2">
      <c r="A215" s="12">
        <v>42635</v>
      </c>
      <c r="B215" s="13">
        <v>14.069825160000001</v>
      </c>
      <c r="C215" s="13">
        <v>124.730003</v>
      </c>
      <c r="D215" s="13">
        <v>125.800003</v>
      </c>
      <c r="E215" s="13">
        <v>124.660004</v>
      </c>
      <c r="F215" s="13">
        <v>125.699997</v>
      </c>
      <c r="G215" s="13">
        <v>118.787025</v>
      </c>
      <c r="H215" s="13">
        <v>118.787025</v>
      </c>
      <c r="I215" s="14">
        <f t="shared" si="3"/>
        <v>1.436409345025047E-2</v>
      </c>
      <c r="J215" s="14">
        <f>IF(COUNT(B215)=0,"",B215-(INTERCEPT('3. Cleaned Data'!$B$4:$B$1041,'3. Cleaned Data'!$H$4:$H$1041)+SLOPE('3. Cleaned Data'!$B$4:$B$1041,'3. Cleaned Data'!$H$4:$H$1041)*H215))</f>
        <v>-0.3815904273009636</v>
      </c>
    </row>
    <row r="216" spans="1:10" x14ac:dyDescent="0.2">
      <c r="A216" s="12">
        <v>42636</v>
      </c>
      <c r="B216" s="13">
        <v>14.4614126304</v>
      </c>
      <c r="C216" s="13">
        <v>125.55999799999999</v>
      </c>
      <c r="D216" s="13">
        <v>125.879997</v>
      </c>
      <c r="E216" s="13">
        <v>124.80999799999999</v>
      </c>
      <c r="F216" s="13">
        <v>124.80999799999999</v>
      </c>
      <c r="G216" s="13">
        <v>117.945999</v>
      </c>
      <c r="H216" s="13">
        <v>117.945999</v>
      </c>
      <c r="I216" s="14">
        <f t="shared" si="3"/>
        <v>-7.0801167046653513E-3</v>
      </c>
      <c r="J216" s="14">
        <f>IF(COUNT(B216)=0,"",B216-(INTERCEPT('3. Cleaned Data'!$B$4:$B$1041,'3. Cleaned Data'!$H$4:$H$1041)+SLOPE('3. Cleaned Data'!$B$4:$B$1041,'3. Cleaned Data'!$H$4:$H$1041)*H216))</f>
        <v>0.12504303141779083</v>
      </c>
    </row>
    <row r="217" spans="1:10" x14ac:dyDescent="0.2">
      <c r="A217" s="12">
        <v>42639</v>
      </c>
      <c r="B217" s="13">
        <v>13.551767335199999</v>
      </c>
      <c r="C217" s="13">
        <v>123.800003</v>
      </c>
      <c r="D217" s="13">
        <v>124.16999800000001</v>
      </c>
      <c r="E217" s="13">
        <v>123.099998</v>
      </c>
      <c r="F217" s="13">
        <v>123.230003</v>
      </c>
      <c r="G217" s="13">
        <v>116.774742</v>
      </c>
      <c r="H217" s="13">
        <v>116.774742</v>
      </c>
      <c r="I217" s="14">
        <f t="shared" si="3"/>
        <v>-9.9304513076361456E-3</v>
      </c>
      <c r="J217" s="14">
        <f>IF(COUNT(B217)=0,"",B217-(INTERCEPT('3. Cleaned Data'!$B$4:$B$1041,'3. Cleaned Data'!$H$4:$H$1041)+SLOPE('3. Cleaned Data'!$B$4:$B$1041,'3. Cleaned Data'!$H$4:$H$1041)*H217))</f>
        <v>-0.62438317526383003</v>
      </c>
    </row>
    <row r="218" spans="1:10" x14ac:dyDescent="0.2">
      <c r="A218" s="12">
        <v>42640</v>
      </c>
      <c r="B218" s="13">
        <v>13.559431679999999</v>
      </c>
      <c r="C218" s="13">
        <v>123.16999800000001</v>
      </c>
      <c r="D218" s="13">
        <v>123.879997</v>
      </c>
      <c r="E218" s="13">
        <v>122.80999799999999</v>
      </c>
      <c r="F218" s="13">
        <v>123.730003</v>
      </c>
      <c r="G218" s="13">
        <v>117.248543</v>
      </c>
      <c r="H218" s="13">
        <v>117.248543</v>
      </c>
      <c r="I218" s="14">
        <f t="shared" si="3"/>
        <v>4.0573928221565581E-3</v>
      </c>
      <c r="J218" s="14">
        <f>IF(COUNT(B218)=0,"",B218-(INTERCEPT('3. Cleaned Data'!$B$4:$B$1041,'3. Cleaned Data'!$H$4:$H$1041)+SLOPE('3. Cleaned Data'!$B$4:$B$1041,'3. Cleaned Data'!$H$4:$H$1041)*H218))</f>
        <v>-0.68153121951174711</v>
      </c>
    </row>
    <row r="219" spans="1:10" x14ac:dyDescent="0.2">
      <c r="A219" s="12">
        <v>42641</v>
      </c>
      <c r="B219" s="13">
        <v>14.080059840000001</v>
      </c>
      <c r="C219" s="13">
        <v>123.949997</v>
      </c>
      <c r="D219" s="13">
        <v>124.760002</v>
      </c>
      <c r="E219" s="13">
        <v>123.07</v>
      </c>
      <c r="F219" s="13">
        <v>124.68</v>
      </c>
      <c r="G219" s="13">
        <v>118.148796</v>
      </c>
      <c r="H219" s="13">
        <v>118.148796</v>
      </c>
      <c r="I219" s="14">
        <f t="shared" si="3"/>
        <v>7.6781593780659296E-3</v>
      </c>
      <c r="J219" s="14">
        <f>IF(COUNT(B219)=0,"",B219-(INTERCEPT('3. Cleaned Data'!$B$4:$B$1041,'3. Cleaned Data'!$H$4:$H$1041)+SLOPE('3. Cleaned Data'!$B$4:$B$1041,'3. Cleaned Data'!$H$4:$H$1041)*H219))</f>
        <v>-0.2840508529472956</v>
      </c>
    </row>
    <row r="220" spans="1:10" x14ac:dyDescent="0.2">
      <c r="A220" s="12">
        <v>42642</v>
      </c>
      <c r="B220" s="13">
        <v>14.29090686</v>
      </c>
      <c r="C220" s="13">
        <v>124.620003</v>
      </c>
      <c r="D220" s="13">
        <v>124.639999</v>
      </c>
      <c r="E220" s="13">
        <v>122.699997</v>
      </c>
      <c r="F220" s="13">
        <v>122.860001</v>
      </c>
      <c r="G220" s="13">
        <v>116.42411800000001</v>
      </c>
      <c r="H220" s="13">
        <v>116.42411800000001</v>
      </c>
      <c r="I220" s="14">
        <f t="shared" si="3"/>
        <v>-1.4597508044009166E-2</v>
      </c>
      <c r="J220" s="14">
        <f>IF(COUNT(B220)=0,"",B220-(INTERCEPT('3. Cleaned Data'!$B$4:$B$1041,'3. Cleaned Data'!$H$4:$H$1041)+SLOPE('3. Cleaned Data'!$B$4:$B$1041,'3. Cleaned Data'!$H$4:$H$1041)*H220))</f>
        <v>0.16271905771436579</v>
      </c>
    </row>
    <row r="221" spans="1:10" x14ac:dyDescent="0.2">
      <c r="A221" s="12">
        <v>42643</v>
      </c>
      <c r="B221" s="13">
        <v>13.531048243200001</v>
      </c>
      <c r="C221" s="13">
        <v>123.41999800000001</v>
      </c>
      <c r="D221" s="13">
        <v>124.779999</v>
      </c>
      <c r="E221" s="13">
        <v>122.860001</v>
      </c>
      <c r="F221" s="13">
        <v>124.209999</v>
      </c>
      <c r="G221" s="13">
        <v>117.7034</v>
      </c>
      <c r="H221" s="13">
        <v>117.7034</v>
      </c>
      <c r="I221" s="14">
        <f t="shared" si="3"/>
        <v>1.0988118458410856E-2</v>
      </c>
      <c r="J221" s="14">
        <f>IF(COUNT(B221)=0,"",B221-(INTERCEPT('3. Cleaned Data'!$B$4:$B$1041,'3. Cleaned Data'!$H$4:$H$1041)+SLOPE('3. Cleaned Data'!$B$4:$B$1041,'3. Cleaned Data'!$H$4:$H$1041)*H221))</f>
        <v>-0.77213564960886671</v>
      </c>
    </row>
    <row r="222" spans="1:10" x14ac:dyDescent="0.2">
      <c r="A222" s="12">
        <v>42646</v>
      </c>
      <c r="B222" s="13">
        <v>14.6432622336</v>
      </c>
      <c r="C222" s="13">
        <v>123.83000199999999</v>
      </c>
      <c r="D222" s="13">
        <v>124.099998</v>
      </c>
      <c r="E222" s="13">
        <v>123.129997</v>
      </c>
      <c r="F222" s="13">
        <v>123.82</v>
      </c>
      <c r="G222" s="13">
        <v>117.333832</v>
      </c>
      <c r="H222" s="13">
        <v>117.333832</v>
      </c>
      <c r="I222" s="14">
        <f t="shared" si="3"/>
        <v>-3.1398243381244306E-3</v>
      </c>
      <c r="J222" s="14">
        <f>IF(COUNT(B222)=0,"",B222-(INTERCEPT('3. Cleaned Data'!$B$4:$B$1041,'3. Cleaned Data'!$H$4:$H$1041)+SLOPE('3. Cleaned Data'!$B$4:$B$1041,'3. Cleaned Data'!$H$4:$H$1041)*H222))</f>
        <v>0.39063244472012393</v>
      </c>
    </row>
    <row r="223" spans="1:10" x14ac:dyDescent="0.2">
      <c r="A223" s="12">
        <v>42647</v>
      </c>
      <c r="B223" s="13">
        <v>14.5101092616</v>
      </c>
      <c r="C223" s="13">
        <v>124.019997</v>
      </c>
      <c r="D223" s="13">
        <v>124.30999799999999</v>
      </c>
      <c r="E223" s="13">
        <v>122.650002</v>
      </c>
      <c r="F223" s="13">
        <v>123.209999</v>
      </c>
      <c r="G223" s="13">
        <v>116.755775</v>
      </c>
      <c r="H223" s="13">
        <v>116.755775</v>
      </c>
      <c r="I223" s="14">
        <f t="shared" si="3"/>
        <v>-4.9266012210357202E-3</v>
      </c>
      <c r="J223" s="14">
        <f>IF(COUNT(B223)=0,"",B223-(INTERCEPT('3. Cleaned Data'!$B$4:$B$1041,'3. Cleaned Data'!$H$4:$H$1041)+SLOPE('3. Cleaned Data'!$B$4:$B$1041,'3. Cleaned Data'!$H$4:$H$1041)*H223))</f>
        <v>0.33655329311280724</v>
      </c>
    </row>
    <row r="224" spans="1:10" x14ac:dyDescent="0.2">
      <c r="A224" s="12">
        <v>42648</v>
      </c>
      <c r="B224" s="13">
        <v>13.427911344</v>
      </c>
      <c r="C224" s="13">
        <v>123.69000200000001</v>
      </c>
      <c r="D224" s="13">
        <v>124.68</v>
      </c>
      <c r="E224" s="13">
        <v>123.650002</v>
      </c>
      <c r="F224" s="13">
        <v>123.949997</v>
      </c>
      <c r="G224" s="13">
        <v>117.457016</v>
      </c>
      <c r="H224" s="13">
        <v>117.457016</v>
      </c>
      <c r="I224" s="14">
        <f t="shared" si="3"/>
        <v>6.0060498078147173E-3</v>
      </c>
      <c r="J224" s="14">
        <f>IF(COUNT(B224)=0,"",B224-(INTERCEPT('3. Cleaned Data'!$B$4:$B$1041,'3. Cleaned Data'!$H$4:$H$1041)+SLOPE('3. Cleaned Data'!$B$4:$B$1041,'3. Cleaned Data'!$H$4:$H$1041)*H224))</f>
        <v>-0.84156908329658897</v>
      </c>
    </row>
    <row r="225" spans="1:10" x14ac:dyDescent="0.2">
      <c r="A225" s="12">
        <v>42649</v>
      </c>
      <c r="B225" s="13">
        <v>14.0152757868</v>
      </c>
      <c r="C225" s="13">
        <v>123.75</v>
      </c>
      <c r="D225" s="13">
        <v>124.019997</v>
      </c>
      <c r="E225" s="13">
        <v>122.82</v>
      </c>
      <c r="F225" s="13">
        <v>123.82</v>
      </c>
      <c r="G225" s="13">
        <v>117.333832</v>
      </c>
      <c r="H225" s="13">
        <v>117.333832</v>
      </c>
      <c r="I225" s="14">
        <f t="shared" si="3"/>
        <v>-1.0487581261215961E-3</v>
      </c>
      <c r="J225" s="14">
        <f>IF(COUNT(B225)=0,"",B225-(INTERCEPT('3. Cleaned Data'!$B$4:$B$1041,'3. Cleaned Data'!$H$4:$H$1041)+SLOPE('3. Cleaned Data'!$B$4:$B$1041,'3. Cleaned Data'!$H$4:$H$1041)*H225))</f>
        <v>-0.23735400207987567</v>
      </c>
    </row>
    <row r="226" spans="1:10" x14ac:dyDescent="0.2">
      <c r="A226" s="12">
        <v>42650</v>
      </c>
      <c r="B226" s="13">
        <v>13.171882734</v>
      </c>
      <c r="C226" s="13">
        <v>124.040001</v>
      </c>
      <c r="D226" s="13">
        <v>124.32</v>
      </c>
      <c r="E226" s="13">
        <v>122.230003</v>
      </c>
      <c r="F226" s="13">
        <v>123.83000199999999</v>
      </c>
      <c r="G226" s="13">
        <v>117.395706</v>
      </c>
      <c r="H226" s="13">
        <v>117.395706</v>
      </c>
      <c r="I226" s="14">
        <f t="shared" si="3"/>
        <v>5.2733298610752044E-4</v>
      </c>
      <c r="J226" s="14">
        <f>IF(COUNT(B226)=0,"",B226-(INTERCEPT('3. Cleaned Data'!$B$4:$B$1041,'3. Cleaned Data'!$H$4:$H$1041)+SLOPE('3. Cleaned Data'!$B$4:$B$1041,'3. Cleaned Data'!$H$4:$H$1041)*H226))</f>
        <v>-1.0892109495528501</v>
      </c>
    </row>
    <row r="227" spans="1:10" x14ac:dyDescent="0.2">
      <c r="A227" s="12">
        <v>42653</v>
      </c>
      <c r="B227" s="13">
        <v>13.062775158000001</v>
      </c>
      <c r="C227" s="13">
        <v>122.83000199999999</v>
      </c>
      <c r="D227" s="13">
        <v>124.739998</v>
      </c>
      <c r="E227" s="13">
        <v>122.83000199999999</v>
      </c>
      <c r="F227" s="13">
        <v>124.300003</v>
      </c>
      <c r="G227" s="13">
        <v>117.788696</v>
      </c>
      <c r="H227" s="13">
        <v>117.788696</v>
      </c>
      <c r="I227" s="14">
        <f t="shared" si="3"/>
        <v>3.3475670737053154E-3</v>
      </c>
      <c r="J227" s="14">
        <f>IF(COUNT(B227)=0,"",B227-(INTERCEPT('3. Cleaned Data'!$B$4:$B$1041,'3. Cleaned Data'!$H$4:$H$1041)+SLOPE('3. Cleaned Data'!$B$4:$B$1041,'3. Cleaned Data'!$H$4:$H$1041)*H227))</f>
        <v>-1.2520765817239869</v>
      </c>
    </row>
    <row r="228" spans="1:10" x14ac:dyDescent="0.2">
      <c r="A228" s="12">
        <v>42654</v>
      </c>
      <c r="B228" s="13">
        <v>13.694569680000001</v>
      </c>
      <c r="C228" s="13">
        <v>124.050003</v>
      </c>
      <c r="D228" s="13">
        <v>124.110001</v>
      </c>
      <c r="E228" s="13">
        <v>121.339996</v>
      </c>
      <c r="F228" s="13">
        <v>122.029999</v>
      </c>
      <c r="G228" s="13">
        <v>115.63758900000001</v>
      </c>
      <c r="H228" s="13">
        <v>115.63758900000001</v>
      </c>
      <c r="I228" s="14">
        <f t="shared" si="3"/>
        <v>-1.8262423076659262E-2</v>
      </c>
      <c r="J228" s="14">
        <f>IF(COUNT(B228)=0,"",B228-(INTERCEPT('3. Cleaned Data'!$B$4:$B$1041,'3. Cleaned Data'!$H$4:$H$1041)+SLOPE('3. Cleaned Data'!$B$4:$B$1041,'3. Cleaned Data'!$H$4:$H$1041)*H228))</f>
        <v>-0.32602691090053781</v>
      </c>
    </row>
    <row r="229" spans="1:10" x14ac:dyDescent="0.2">
      <c r="A229" s="12">
        <v>42655</v>
      </c>
      <c r="B229" s="13">
        <v>13.67864964</v>
      </c>
      <c r="C229" s="13">
        <v>122.089996</v>
      </c>
      <c r="D229" s="13">
        <v>122.610001</v>
      </c>
      <c r="E229" s="13">
        <v>121.529999</v>
      </c>
      <c r="F229" s="13">
        <v>121.93</v>
      </c>
      <c r="G229" s="13">
        <v>115.54283100000001</v>
      </c>
      <c r="H229" s="13">
        <v>115.54283100000001</v>
      </c>
      <c r="I229" s="14">
        <f t="shared" si="3"/>
        <v>-8.1943942985529539E-4</v>
      </c>
      <c r="J229" s="14">
        <f>IF(COUNT(B229)=0,"",B229-(INTERCEPT('3. Cleaned Data'!$B$4:$B$1041,'3. Cleaned Data'!$H$4:$H$1041)+SLOPE('3. Cleaned Data'!$B$4:$B$1041,'3. Cleaned Data'!$H$4:$H$1041)*H229))</f>
        <v>-0.32898477403429638</v>
      </c>
    </row>
    <row r="230" spans="1:10" x14ac:dyDescent="0.2">
      <c r="A230" s="12">
        <v>42656</v>
      </c>
      <c r="B230" s="13">
        <v>13.069257426</v>
      </c>
      <c r="C230" s="13">
        <v>120.989998</v>
      </c>
      <c r="D230" s="13">
        <v>121.410004</v>
      </c>
      <c r="E230" s="13">
        <v>120.110001</v>
      </c>
      <c r="F230" s="13">
        <v>120.91999800000001</v>
      </c>
      <c r="G230" s="13">
        <v>114.585747</v>
      </c>
      <c r="H230" s="13">
        <v>114.585747</v>
      </c>
      <c r="I230" s="14">
        <f t="shared" si="3"/>
        <v>-8.2833698267269495E-3</v>
      </c>
      <c r="J230" s="14">
        <f>IF(COUNT(B230)=0,"",B230-(INTERCEPT('3. Cleaned Data'!$B$4:$B$1041,'3. Cleaned Data'!$H$4:$H$1041)+SLOPE('3. Cleaned Data'!$B$4:$B$1041,'3. Cleaned Data'!$H$4:$H$1041)*H230))</f>
        <v>-0.80745514413878183</v>
      </c>
    </row>
    <row r="231" spans="1:10" x14ac:dyDescent="0.2">
      <c r="A231" s="12">
        <v>42657</v>
      </c>
      <c r="B231" s="13">
        <v>13.815104399999999</v>
      </c>
      <c r="C231" s="13">
        <v>121.360001</v>
      </c>
      <c r="D231" s="13">
        <v>121.839996</v>
      </c>
      <c r="E231" s="13">
        <v>120.400002</v>
      </c>
      <c r="F231" s="13">
        <v>120.43</v>
      </c>
      <c r="G231" s="13">
        <v>114.121414</v>
      </c>
      <c r="H231" s="13">
        <v>114.121414</v>
      </c>
      <c r="I231" s="14">
        <f t="shared" si="3"/>
        <v>-4.0522753671972112E-3</v>
      </c>
      <c r="J231" s="14">
        <f>IF(COUNT(B231)=0,"",B231-(INTERCEPT('3. Cleaned Data'!$B$4:$B$1041,'3. Cleaned Data'!$H$4:$H$1041)+SLOPE('3. Cleaned Data'!$B$4:$B$1041,'3. Cleaned Data'!$H$4:$H$1041)*H231))</f>
        <v>1.9090682034477169E-3</v>
      </c>
    </row>
    <row r="232" spans="1:10" x14ac:dyDescent="0.2">
      <c r="A232" s="12">
        <v>42660</v>
      </c>
      <c r="B232" s="13">
        <v>14.0496526656</v>
      </c>
      <c r="C232" s="13">
        <v>120.58000199999999</v>
      </c>
      <c r="D232" s="13">
        <v>120.849998</v>
      </c>
      <c r="E232" s="13">
        <v>120.160004</v>
      </c>
      <c r="F232" s="13">
        <v>120.290001</v>
      </c>
      <c r="G232" s="13">
        <v>113.988747</v>
      </c>
      <c r="H232" s="13">
        <v>113.988747</v>
      </c>
      <c r="I232" s="14">
        <f t="shared" si="3"/>
        <v>-1.1625075027549281E-3</v>
      </c>
      <c r="J232" s="14">
        <f>IF(COUNT(B232)=0,"",B232-(INTERCEPT('3. Cleaned Data'!$B$4:$B$1041,'3. Cleaned Data'!$H$4:$H$1041)+SLOPE('3. Cleaned Data'!$B$4:$B$1041,'3. Cleaned Data'!$H$4:$H$1041)*H232))</f>
        <v>0.2546051748122693</v>
      </c>
    </row>
    <row r="233" spans="1:10" x14ac:dyDescent="0.2">
      <c r="A233" s="12">
        <v>42661</v>
      </c>
      <c r="B233" s="13">
        <v>14.3180416704</v>
      </c>
      <c r="C233" s="13">
        <v>121.519997</v>
      </c>
      <c r="D233" s="13">
        <v>121.58000199999999</v>
      </c>
      <c r="E233" s="13">
        <v>120.660004</v>
      </c>
      <c r="F233" s="13">
        <v>120.980003</v>
      </c>
      <c r="G233" s="13">
        <v>114.64260899999999</v>
      </c>
      <c r="H233" s="13">
        <v>114.64260899999999</v>
      </c>
      <c r="I233" s="14">
        <f t="shared" si="3"/>
        <v>5.7361978020513682E-3</v>
      </c>
      <c r="J233" s="14">
        <f>IF(COUNT(B233)=0,"",B233-(INTERCEPT('3. Cleaned Data'!$B$4:$B$1041,'3. Cleaned Data'!$H$4:$H$1041)+SLOPE('3. Cleaned Data'!$B$4:$B$1041,'3. Cleaned Data'!$H$4:$H$1041)*H233))</f>
        <v>0.43355080923599409</v>
      </c>
    </row>
    <row r="234" spans="1:10" x14ac:dyDescent="0.2">
      <c r="A234" s="12">
        <v>42662</v>
      </c>
      <c r="B234" s="13">
        <v>14.409102239999999</v>
      </c>
      <c r="C234" s="13">
        <v>121.16999800000001</v>
      </c>
      <c r="D234" s="13">
        <v>121.949997</v>
      </c>
      <c r="E234" s="13">
        <v>120.5</v>
      </c>
      <c r="F234" s="13">
        <v>121.489998</v>
      </c>
      <c r="G234" s="13">
        <v>115.12587000000001</v>
      </c>
      <c r="H234" s="13">
        <v>115.12587000000001</v>
      </c>
      <c r="I234" s="14">
        <f t="shared" si="3"/>
        <v>4.2153698717726229E-3</v>
      </c>
      <c r="J234" s="14">
        <f>IF(COUNT(B234)=0,"",B234-(INTERCEPT('3. Cleaned Data'!$B$4:$B$1041,'3. Cleaned Data'!$H$4:$H$1041)+SLOPE('3. Cleaned Data'!$B$4:$B$1041,'3. Cleaned Data'!$H$4:$H$1041)*H234))</f>
        <v>0.45850493342180698</v>
      </c>
    </row>
    <row r="235" spans="1:10" x14ac:dyDescent="0.2">
      <c r="A235" s="12">
        <v>42663</v>
      </c>
      <c r="B235" s="13">
        <v>13.06385622</v>
      </c>
      <c r="C235" s="13">
        <v>121.139999</v>
      </c>
      <c r="D235" s="13">
        <v>122</v>
      </c>
      <c r="E235" s="13">
        <v>120.410004</v>
      </c>
      <c r="F235" s="13">
        <v>121.129997</v>
      </c>
      <c r="G235" s="13">
        <v>114.784744</v>
      </c>
      <c r="H235" s="13">
        <v>114.784744</v>
      </c>
      <c r="I235" s="14">
        <f t="shared" si="3"/>
        <v>-2.9630698990592563E-3</v>
      </c>
      <c r="J235" s="14">
        <f>IF(COUNT(B235)=0,"",B235-(INTERCEPT('3. Cleaned Data'!$B$4:$B$1041,'3. Cleaned Data'!$H$4:$H$1041)+SLOPE('3. Cleaned Data'!$B$4:$B$1041,'3. Cleaned Data'!$H$4:$H$1041)*H235))</f>
        <v>-0.84007763287851667</v>
      </c>
    </row>
    <row r="236" spans="1:10" x14ac:dyDescent="0.2">
      <c r="A236" s="12">
        <v>42664</v>
      </c>
      <c r="B236" s="13">
        <v>12.934220664</v>
      </c>
      <c r="C236" s="13">
        <v>120.260002</v>
      </c>
      <c r="D236" s="13">
        <v>121.370003</v>
      </c>
      <c r="E236" s="13">
        <v>120.099998</v>
      </c>
      <c r="F236" s="13">
        <v>121.07</v>
      </c>
      <c r="G236" s="13">
        <v>114.727898</v>
      </c>
      <c r="H236" s="13">
        <v>114.727898</v>
      </c>
      <c r="I236" s="14">
        <f t="shared" si="3"/>
        <v>-4.952400294589987E-4</v>
      </c>
      <c r="J236" s="14">
        <f>IF(COUNT(B236)=0,"",B236-(INTERCEPT('3. Cleaned Data'!$B$4:$B$1041,'3. Cleaned Data'!$H$4:$H$1041)+SLOPE('3. Cleaned Data'!$B$4:$B$1041,'3. Cleaned Data'!$H$4:$H$1041)*H236))</f>
        <v>-0.96193708653213328</v>
      </c>
    </row>
    <row r="237" spans="1:10" x14ac:dyDescent="0.2">
      <c r="A237" s="12">
        <v>42667</v>
      </c>
      <c r="B237" s="13">
        <v>12.9208139136</v>
      </c>
      <c r="C237" s="13">
        <v>122.040001</v>
      </c>
      <c r="D237" s="13">
        <v>122.610001</v>
      </c>
      <c r="E237" s="13">
        <v>121.449997</v>
      </c>
      <c r="F237" s="13">
        <v>121.839996</v>
      </c>
      <c r="G237" s="13">
        <v>115.45755</v>
      </c>
      <c r="H237" s="13">
        <v>115.45755</v>
      </c>
      <c r="I237" s="14">
        <f t="shared" si="3"/>
        <v>6.3598480641562372E-3</v>
      </c>
      <c r="J237" s="14">
        <f>IF(COUNT(B237)=0,"",B237-(INTERCEPT('3. Cleaned Data'!$B$4:$B$1041,'3. Cleaned Data'!$H$4:$H$1041)+SLOPE('3. Cleaned Data'!$B$4:$B$1041,'3. Cleaned Data'!$H$4:$H$1041)*H237))</f>
        <v>-1.0751547054055894</v>
      </c>
    </row>
    <row r="238" spans="1:10" x14ac:dyDescent="0.2">
      <c r="A238" s="12">
        <v>42668</v>
      </c>
      <c r="B238" s="13">
        <v>12.884788454400001</v>
      </c>
      <c r="C238" s="13">
        <v>121.80999799999999</v>
      </c>
      <c r="D238" s="13">
        <v>121.989998</v>
      </c>
      <c r="E238" s="13">
        <v>120.599998</v>
      </c>
      <c r="F238" s="13">
        <v>120.93</v>
      </c>
      <c r="G238" s="13">
        <v>114.59523</v>
      </c>
      <c r="H238" s="13">
        <v>114.59523</v>
      </c>
      <c r="I238" s="14">
        <f t="shared" si="3"/>
        <v>-7.4687190227057387E-3</v>
      </c>
      <c r="J238" s="14">
        <f>IF(COUNT(B238)=0,"",B238-(INTERCEPT('3. Cleaned Data'!$B$4:$B$1041,'3. Cleaned Data'!$H$4:$H$1041)+SLOPE('3. Cleaned Data'!$B$4:$B$1041,'3. Cleaned Data'!$H$4:$H$1041)*H238))</f>
        <v>-0.99322131833088534</v>
      </c>
    </row>
    <row r="239" spans="1:10" x14ac:dyDescent="0.2">
      <c r="A239" s="12">
        <v>42669</v>
      </c>
      <c r="B239" s="13">
        <v>12.801345341999999</v>
      </c>
      <c r="C239" s="13">
        <v>120.110001</v>
      </c>
      <c r="D239" s="13">
        <v>121</v>
      </c>
      <c r="E239" s="13">
        <v>119.459999</v>
      </c>
      <c r="F239" s="13">
        <v>119.730003</v>
      </c>
      <c r="G239" s="13">
        <v>113.45807600000001</v>
      </c>
      <c r="H239" s="13">
        <v>113.45807600000001</v>
      </c>
      <c r="I239" s="14">
        <f t="shared" si="3"/>
        <v>-9.923222807790455E-3</v>
      </c>
      <c r="J239" s="14">
        <f>IF(COUNT(B239)=0,"",B239-(INTERCEPT('3. Cleaned Data'!$B$4:$B$1041,'3. Cleaned Data'!$H$4:$H$1041)+SLOPE('3. Cleaned Data'!$B$4:$B$1041,'3. Cleaned Data'!$H$4:$H$1041)*H239))</f>
        <v>-0.92111037437516785</v>
      </c>
    </row>
    <row r="240" spans="1:10" x14ac:dyDescent="0.2">
      <c r="A240" s="12">
        <v>42670</v>
      </c>
      <c r="B240" s="13">
        <v>13.5764229312</v>
      </c>
      <c r="C240" s="13">
        <v>120.120003</v>
      </c>
      <c r="D240" s="13">
        <v>120.139999</v>
      </c>
      <c r="E240" s="13">
        <v>118.089996</v>
      </c>
      <c r="F240" s="13">
        <v>118.360001</v>
      </c>
      <c r="G240" s="13">
        <v>112.159843</v>
      </c>
      <c r="H240" s="13">
        <v>112.159843</v>
      </c>
      <c r="I240" s="14">
        <f t="shared" si="3"/>
        <v>-1.1442402742666058E-2</v>
      </c>
      <c r="J240" s="14">
        <f>IF(COUNT(B240)=0,"",B240-(INTERCEPT('3. Cleaned Data'!$B$4:$B$1041,'3. Cleaned Data'!$H$4:$H$1041)+SLOPE('3. Cleaned Data'!$B$4:$B$1041,'3. Cleaned Data'!$H$4:$H$1041)*H240))</f>
        <v>3.1555658645860518E-2</v>
      </c>
    </row>
    <row r="241" spans="1:10" x14ac:dyDescent="0.2">
      <c r="A241" s="12">
        <v>42671</v>
      </c>
      <c r="B241" s="13">
        <v>13.797823788000001</v>
      </c>
      <c r="C241" s="13">
        <v>118.30999799999999</v>
      </c>
      <c r="D241" s="13">
        <v>119.029999</v>
      </c>
      <c r="E241" s="13">
        <v>117.75</v>
      </c>
      <c r="F241" s="13">
        <v>118.029999</v>
      </c>
      <c r="G241" s="13">
        <v>111.847122</v>
      </c>
      <c r="H241" s="13">
        <v>111.847122</v>
      </c>
      <c r="I241" s="14">
        <f t="shared" si="3"/>
        <v>-2.7881725904341792E-3</v>
      </c>
      <c r="J241" s="14">
        <f>IF(COUNT(B241)=0,"",B241-(INTERCEPT('3. Cleaned Data'!$B$4:$B$1041,'3. Cleaned Data'!$H$4:$H$1041)+SLOPE('3. Cleaned Data'!$B$4:$B$1041,'3. Cleaned Data'!$H$4:$H$1041)*H241))</f>
        <v>0.29573438023604481</v>
      </c>
    </row>
    <row r="242" spans="1:10" x14ac:dyDescent="0.2">
      <c r="A242" s="12">
        <v>42674</v>
      </c>
      <c r="B242" s="13">
        <v>12.42324633</v>
      </c>
      <c r="C242" s="13">
        <v>118.18</v>
      </c>
      <c r="D242" s="13">
        <v>118.639999</v>
      </c>
      <c r="E242" s="13">
        <v>117.800003</v>
      </c>
      <c r="F242" s="13">
        <v>118.5</v>
      </c>
      <c r="G242" s="13">
        <v>112.292503</v>
      </c>
      <c r="H242" s="13">
        <v>112.292503</v>
      </c>
      <c r="I242" s="14">
        <f t="shared" si="3"/>
        <v>3.9820515006188106E-3</v>
      </c>
      <c r="J242" s="14">
        <f>IF(COUNT(B242)=0,"",B242-(INTERCEPT('3. Cleaned Data'!$B$4:$B$1041,'3. Cleaned Data'!$H$4:$H$1041)+SLOPE('3. Cleaned Data'!$B$4:$B$1041,'3. Cleaned Data'!$H$4:$H$1041)*H242))</f>
        <v>-1.1397678260159658</v>
      </c>
    </row>
    <row r="243" spans="1:10" x14ac:dyDescent="0.2">
      <c r="A243" s="12">
        <v>42675</v>
      </c>
      <c r="B243" s="13">
        <v>12.503186094</v>
      </c>
      <c r="C243" s="13">
        <v>118.660004</v>
      </c>
      <c r="D243" s="13">
        <v>118.699997</v>
      </c>
      <c r="E243" s="13">
        <v>116.279999</v>
      </c>
      <c r="F243" s="13">
        <v>117.050003</v>
      </c>
      <c r="G243" s="13">
        <v>110.918488</v>
      </c>
      <c r="H243" s="13">
        <v>110.918488</v>
      </c>
      <c r="I243" s="14">
        <f t="shared" si="3"/>
        <v>-1.2236035027200387E-2</v>
      </c>
      <c r="J243" s="14">
        <f>IF(COUNT(B243)=0,"",B243-(INTERCEPT('3. Cleaned Data'!$B$4:$B$1041,'3. Cleaned Data'!$H$4:$H$1041)+SLOPE('3. Cleaned Data'!$B$4:$B$1041,'3. Cleaned Data'!$H$4:$H$1041)*H243))</f>
        <v>-0.87187321443718169</v>
      </c>
    </row>
    <row r="244" spans="1:10" x14ac:dyDescent="0.2">
      <c r="A244" s="12">
        <v>42676</v>
      </c>
      <c r="B244" s="13">
        <v>13.3482312612</v>
      </c>
      <c r="C244" s="13">
        <v>116.870003</v>
      </c>
      <c r="D244" s="13">
        <v>117</v>
      </c>
      <c r="E244" s="13">
        <v>115.389999</v>
      </c>
      <c r="F244" s="13">
        <v>115.55999799999999</v>
      </c>
      <c r="G244" s="13">
        <v>109.50653800000001</v>
      </c>
      <c r="H244" s="13">
        <v>109.50653800000001</v>
      </c>
      <c r="I244" s="14">
        <f t="shared" si="3"/>
        <v>-1.2729618167892753E-2</v>
      </c>
      <c r="J244" s="14">
        <f>IF(COUNT(B244)=0,"",B244-(INTERCEPT('3. Cleaned Data'!$B$4:$B$1041,'3. Cleaned Data'!$H$4:$H$1041)+SLOPE('3. Cleaned Data'!$B$4:$B$1041,'3. Cleaned Data'!$H$4:$H$1041)*H244))</f>
        <v>0.16631602108729915</v>
      </c>
    </row>
    <row r="245" spans="1:10" x14ac:dyDescent="0.2">
      <c r="A245" s="12">
        <v>42677</v>
      </c>
      <c r="B245" s="13">
        <v>13.112763920400001</v>
      </c>
      <c r="C245" s="13">
        <v>115.910004</v>
      </c>
      <c r="D245" s="13">
        <v>116.239998</v>
      </c>
      <c r="E245" s="13">
        <v>114.879997</v>
      </c>
      <c r="F245" s="13">
        <v>115</v>
      </c>
      <c r="G245" s="13">
        <v>108.97584500000001</v>
      </c>
      <c r="H245" s="13">
        <v>108.97584500000001</v>
      </c>
      <c r="I245" s="14">
        <f t="shared" si="3"/>
        <v>-4.84622205844909E-3</v>
      </c>
      <c r="J245" s="14">
        <f>IF(COUNT(B245)=0,"",B245-(INTERCEPT('3. Cleaned Data'!$B$4:$B$1041,'3. Cleaned Data'!$H$4:$H$1041)+SLOPE('3. Cleaned Data'!$B$4:$B$1041,'3. Cleaned Data'!$H$4:$H$1041)*H245))</f>
        <v>3.4434641332747873E-3</v>
      </c>
    </row>
    <row r="246" spans="1:10" x14ac:dyDescent="0.2">
      <c r="A246" s="12">
        <v>42678</v>
      </c>
      <c r="B246" s="13">
        <v>13.516470432</v>
      </c>
      <c r="C246" s="13">
        <v>115.300003</v>
      </c>
      <c r="D246" s="13">
        <v>116.900002</v>
      </c>
      <c r="E246" s="13">
        <v>115.050003</v>
      </c>
      <c r="F246" s="13">
        <v>115.739998</v>
      </c>
      <c r="G246" s="13">
        <v>109.677071</v>
      </c>
      <c r="H246" s="13">
        <v>109.677071</v>
      </c>
      <c r="I246" s="14">
        <f t="shared" si="3"/>
        <v>6.4346920182174472E-3</v>
      </c>
      <c r="J246" s="14">
        <f>IF(COUNT(B246)=0,"",B246-(INTERCEPT('3. Cleaned Data'!$B$4:$B$1041,'3. Cleaned Data'!$H$4:$H$1041)+SLOPE('3. Cleaned Data'!$B$4:$B$1041,'3. Cleaned Data'!$H$4:$H$1041)*H246))</f>
        <v>0.31122756881029368</v>
      </c>
    </row>
    <row r="247" spans="1:10" x14ac:dyDescent="0.2">
      <c r="A247" s="12">
        <v>42681</v>
      </c>
      <c r="B247" s="13">
        <v>14.2989563856</v>
      </c>
      <c r="C247" s="13">
        <v>118</v>
      </c>
      <c r="D247" s="13">
        <v>118.82</v>
      </c>
      <c r="E247" s="13">
        <v>117.709999</v>
      </c>
      <c r="F247" s="13">
        <v>118.57</v>
      </c>
      <c r="G247" s="13">
        <v>112.35884900000001</v>
      </c>
      <c r="H247" s="13">
        <v>112.35884900000001</v>
      </c>
      <c r="I247" s="14">
        <f t="shared" si="3"/>
        <v>2.4451582956660278E-2</v>
      </c>
      <c r="J247" s="14">
        <f>IF(COUNT(B247)=0,"",B247-(INTERCEPT('3. Cleaned Data'!$B$4:$B$1041,'3. Cleaned Data'!$H$4:$H$1041)+SLOPE('3. Cleaned Data'!$B$4:$B$1041,'3. Cleaned Data'!$H$4:$H$1041)*H247))</f>
        <v>0.72686659917427576</v>
      </c>
    </row>
    <row r="248" spans="1:10" x14ac:dyDescent="0.2">
      <c r="A248" s="12">
        <v>42682</v>
      </c>
      <c r="B248" s="13">
        <v>14.3377810884</v>
      </c>
      <c r="C248" s="13">
        <v>118.300003</v>
      </c>
      <c r="D248" s="13">
        <v>119.459999</v>
      </c>
      <c r="E248" s="13">
        <v>117.709999</v>
      </c>
      <c r="F248" s="13">
        <v>118.879997</v>
      </c>
      <c r="G248" s="13">
        <v>112.65261099999999</v>
      </c>
      <c r="H248" s="13">
        <v>112.65261099999999</v>
      </c>
      <c r="I248" s="14">
        <f t="shared" si="3"/>
        <v>2.6144981246647436E-3</v>
      </c>
      <c r="J248" s="14">
        <f>IF(COUNT(B248)=0,"",B248-(INTERCEPT('3. Cleaned Data'!$B$4:$B$1041,'3. Cleaned Data'!$H$4:$H$1041)+SLOPE('3. Cleaned Data'!$B$4:$B$1041,'3. Cleaned Data'!$H$4:$H$1041)*H248))</f>
        <v>0.7255068848213071</v>
      </c>
    </row>
    <row r="249" spans="1:10" x14ac:dyDescent="0.2">
      <c r="A249" s="12">
        <v>42683</v>
      </c>
      <c r="B249" s="13">
        <v>14.245567207200001</v>
      </c>
      <c r="C249" s="13">
        <v>118.08000199999999</v>
      </c>
      <c r="D249" s="13">
        <v>122.83000199999999</v>
      </c>
      <c r="E249" s="13">
        <v>118.050003</v>
      </c>
      <c r="F249" s="13">
        <v>122.540001</v>
      </c>
      <c r="G249" s="13">
        <v>116.12088</v>
      </c>
      <c r="H249" s="13">
        <v>116.12088</v>
      </c>
      <c r="I249" s="14">
        <f t="shared" si="3"/>
        <v>3.0787293514217939E-2</v>
      </c>
      <c r="J249" s="14">
        <f>IF(COUNT(B249)=0,"",B249-(INTERCEPT('3. Cleaned Data'!$B$4:$B$1041,'3. Cleaned Data'!$H$4:$H$1041)+SLOPE('3. Cleaned Data'!$B$4:$B$1041,'3. Cleaned Data'!$H$4:$H$1041)*H249))</f>
        <v>0.15886006711244782</v>
      </c>
    </row>
    <row r="250" spans="1:10" x14ac:dyDescent="0.2">
      <c r="A250" s="12">
        <v>42684</v>
      </c>
      <c r="B250" s="13">
        <v>15.468222672</v>
      </c>
      <c r="C250" s="13">
        <v>124.260002</v>
      </c>
      <c r="D250" s="13">
        <v>125.400002</v>
      </c>
      <c r="E250" s="13">
        <v>122.620003</v>
      </c>
      <c r="F250" s="13">
        <v>124.5</v>
      </c>
      <c r="G250" s="13">
        <v>117.978188</v>
      </c>
      <c r="H250" s="13">
        <v>117.978188</v>
      </c>
      <c r="I250" s="14">
        <f t="shared" si="3"/>
        <v>1.5994608377063679E-2</v>
      </c>
      <c r="J250" s="14">
        <f>IF(COUNT(B250)=0,"",B250-(INTERCEPT('3. Cleaned Data'!$B$4:$B$1041,'3. Cleaned Data'!$H$4:$H$1041)+SLOPE('3. Cleaned Data'!$B$4:$B$1041,'3. Cleaned Data'!$H$4:$H$1041)*H250))</f>
        <v>1.1274498615617894</v>
      </c>
    </row>
    <row r="251" spans="1:10" x14ac:dyDescent="0.2">
      <c r="A251" s="12">
        <v>42685</v>
      </c>
      <c r="B251" s="13">
        <v>14.8778067372</v>
      </c>
      <c r="C251" s="13">
        <v>125.029999</v>
      </c>
      <c r="D251" s="13">
        <v>127.720001</v>
      </c>
      <c r="E251" s="13">
        <v>124.550003</v>
      </c>
      <c r="F251" s="13">
        <v>127.360001</v>
      </c>
      <c r="G251" s="13">
        <v>120.688393</v>
      </c>
      <c r="H251" s="13">
        <v>120.688393</v>
      </c>
      <c r="I251" s="14">
        <f t="shared" si="3"/>
        <v>2.2972085314617585E-2</v>
      </c>
      <c r="J251" s="14">
        <f>IF(COUNT(B251)=0,"",B251-(INTERCEPT('3. Cleaned Data'!$B$4:$B$1041,'3. Cleaned Data'!$H$4:$H$1041)+SLOPE('3. Cleaned Data'!$B$4:$B$1041,'3. Cleaned Data'!$H$4:$H$1041)*H251))</f>
        <v>0.16629840518287153</v>
      </c>
    </row>
    <row r="252" spans="1:10" x14ac:dyDescent="0.2">
      <c r="A252" s="12">
        <v>42688</v>
      </c>
      <c r="B252" s="13">
        <v>15.1132632552</v>
      </c>
      <c r="C252" s="13">
        <v>128.949997</v>
      </c>
      <c r="D252" s="13">
        <v>130.259995</v>
      </c>
      <c r="E252" s="13">
        <v>128.38999899999999</v>
      </c>
      <c r="F252" s="13">
        <v>129.14999399999999</v>
      </c>
      <c r="G252" s="13">
        <v>122.384598</v>
      </c>
      <c r="H252" s="13">
        <v>122.384598</v>
      </c>
      <c r="I252" s="14">
        <f t="shared" si="3"/>
        <v>1.4054416981092777E-2</v>
      </c>
      <c r="J252" s="14">
        <f>IF(COUNT(B252)=0,"",B252-(INTERCEPT('3. Cleaned Data'!$B$4:$B$1041,'3. Cleaned Data'!$H$4:$H$1041)+SLOPE('3. Cleaned Data'!$B$4:$B$1041,'3. Cleaned Data'!$H$4:$H$1041)*H252))</f>
        <v>0.16972692331578898</v>
      </c>
    </row>
    <row r="253" spans="1:10" x14ac:dyDescent="0.2">
      <c r="A253" s="12">
        <v>42689</v>
      </c>
      <c r="B253" s="13">
        <v>14.299573478399999</v>
      </c>
      <c r="C253" s="13">
        <v>128.85000600000001</v>
      </c>
      <c r="D253" s="13">
        <v>129.88999899999999</v>
      </c>
      <c r="E253" s="13">
        <v>128.300003</v>
      </c>
      <c r="F253" s="13">
        <v>129.550003</v>
      </c>
      <c r="G253" s="13">
        <v>122.763672</v>
      </c>
      <c r="H253" s="13">
        <v>122.763672</v>
      </c>
      <c r="I253" s="14">
        <f t="shared" si="3"/>
        <v>3.0973995600329651E-3</v>
      </c>
      <c r="J253" s="14">
        <f>IF(COUNT(B253)=0,"",B253-(INTERCEPT('3. Cleaned Data'!$B$4:$B$1041,'3. Cleaned Data'!$H$4:$H$1041)+SLOPE('3. Cleaned Data'!$B$4:$B$1041,'3. Cleaned Data'!$H$4:$H$1041)*H253))</f>
        <v>-0.69581730623114524</v>
      </c>
    </row>
    <row r="254" spans="1:10" x14ac:dyDescent="0.2">
      <c r="A254" s="12">
        <v>42690</v>
      </c>
      <c r="B254" s="13">
        <v>15.114401620800001</v>
      </c>
      <c r="C254" s="13">
        <v>129.25</v>
      </c>
      <c r="D254" s="13">
        <v>130</v>
      </c>
      <c r="E254" s="13">
        <v>129.029999</v>
      </c>
      <c r="F254" s="13">
        <v>129.53999300000001</v>
      </c>
      <c r="G254" s="13">
        <v>122.754181</v>
      </c>
      <c r="H254" s="13">
        <v>122.754181</v>
      </c>
      <c r="I254" s="14">
        <f t="shared" si="3"/>
        <v>-7.7311144619396366E-5</v>
      </c>
      <c r="J254" s="14">
        <f>IF(COUNT(B254)=0,"",B254-(INTERCEPT('3. Cleaned Data'!$B$4:$B$1041,'3. Cleaned Data'!$H$4:$H$1041)+SLOPE('3. Cleaned Data'!$B$4:$B$1041,'3. Cleaned Data'!$H$4:$H$1041)*H254))</f>
        <v>0.12030913310037938</v>
      </c>
    </row>
    <row r="255" spans="1:10" x14ac:dyDescent="0.2">
      <c r="A255" s="12">
        <v>42691</v>
      </c>
      <c r="B255" s="13">
        <v>14.648176998</v>
      </c>
      <c r="C255" s="13">
        <v>129.949997</v>
      </c>
      <c r="D255" s="13">
        <v>130.83000200000001</v>
      </c>
      <c r="E255" s="13">
        <v>129.75</v>
      </c>
      <c r="F255" s="13">
        <v>130.300003</v>
      </c>
      <c r="G255" s="13">
        <v>123.474373</v>
      </c>
      <c r="H255" s="13">
        <v>123.474373</v>
      </c>
      <c r="I255" s="14">
        <f t="shared" si="3"/>
        <v>5.8669447682599962E-3</v>
      </c>
      <c r="J255" s="14">
        <f>IF(COUNT(B255)=0,"",B255-(INTERCEPT('3. Cleaned Data'!$B$4:$B$1041,'3. Cleaned Data'!$H$4:$H$1041)+SLOPE('3. Cleaned Data'!$B$4:$B$1041,'3. Cleaned Data'!$H$4:$H$1041)*H255))</f>
        <v>-0.4444323018068097</v>
      </c>
    </row>
    <row r="256" spans="1:10" x14ac:dyDescent="0.2">
      <c r="A256" s="12">
        <v>42692</v>
      </c>
      <c r="B256" s="13">
        <v>15.955372944000001</v>
      </c>
      <c r="C256" s="13">
        <v>130.69000199999999</v>
      </c>
      <c r="D256" s="13">
        <v>131.08999600000001</v>
      </c>
      <c r="E256" s="13">
        <v>130.300003</v>
      </c>
      <c r="F256" s="13">
        <v>130.990005</v>
      </c>
      <c r="G256" s="13">
        <v>124.128242</v>
      </c>
      <c r="H256" s="13">
        <v>124.128242</v>
      </c>
      <c r="I256" s="14">
        <f t="shared" si="3"/>
        <v>5.2955846959432673E-3</v>
      </c>
      <c r="J256" s="14">
        <f>IF(COUNT(B256)=0,"",B256-(INTERCEPT('3. Cleaned Data'!$B$4:$B$1041,'3. Cleaned Data'!$H$4:$H$1041)+SLOPE('3. Cleaned Data'!$B$4:$B$1041,'3. Cleaned Data'!$H$4:$H$1041)*H256))</f>
        <v>0.77331931626991945</v>
      </c>
    </row>
    <row r="257" spans="1:10" x14ac:dyDescent="0.2">
      <c r="A257" s="12">
        <v>42695</v>
      </c>
      <c r="B257" s="13">
        <v>14.9407169688</v>
      </c>
      <c r="C257" s="13">
        <v>131.30999800000001</v>
      </c>
      <c r="D257" s="13">
        <v>132</v>
      </c>
      <c r="E257" s="13">
        <v>130.61000100000001</v>
      </c>
      <c r="F257" s="13">
        <v>131.60000600000001</v>
      </c>
      <c r="G257" s="13">
        <v>124.706284</v>
      </c>
      <c r="H257" s="13">
        <v>124.706284</v>
      </c>
      <c r="I257" s="14">
        <f t="shared" si="3"/>
        <v>4.6568129112791734E-3</v>
      </c>
      <c r="J257" s="14">
        <f>IF(COUNT(B257)=0,"",B257-(INTERCEPT('3. Cleaned Data'!$B$4:$B$1041,'3. Cleaned Data'!$H$4:$H$1041)+SLOPE('3. Cleaned Data'!$B$4:$B$1041,'3. Cleaned Data'!$H$4:$H$1041)*H257))</f>
        <v>-0.32040842743634457</v>
      </c>
    </row>
    <row r="258" spans="1:10" x14ac:dyDescent="0.2">
      <c r="A258" s="12">
        <v>42696</v>
      </c>
      <c r="B258" s="13">
        <v>15.4991987328</v>
      </c>
      <c r="C258" s="13">
        <v>132.11999499999999</v>
      </c>
      <c r="D258" s="13">
        <v>132.89999399999999</v>
      </c>
      <c r="E258" s="13">
        <v>131.66999799999999</v>
      </c>
      <c r="F258" s="13">
        <v>132.800003</v>
      </c>
      <c r="G258" s="13">
        <v>125.843445</v>
      </c>
      <c r="H258" s="13">
        <v>125.843445</v>
      </c>
      <c r="I258" s="14">
        <f t="shared" si="3"/>
        <v>9.1187144987818769E-3</v>
      </c>
      <c r="J258" s="14">
        <f>IF(COUNT(B258)=0,"",B258-(INTERCEPT('3. Cleaned Data'!$B$4:$B$1041,'3. Cleaned Data'!$H$4:$H$1041)+SLOPE('3. Cleaned Data'!$B$4:$B$1041,'3. Cleaned Data'!$H$4:$H$1041)*H258))</f>
        <v>8.2518322660941834E-2</v>
      </c>
    </row>
    <row r="259" spans="1:10" x14ac:dyDescent="0.2">
      <c r="A259" s="12">
        <v>42697</v>
      </c>
      <c r="B259" s="13">
        <v>14.4382113792</v>
      </c>
      <c r="C259" s="13">
        <v>132.479996</v>
      </c>
      <c r="D259" s="13">
        <v>133.64999399999999</v>
      </c>
      <c r="E259" s="13">
        <v>132.10000600000001</v>
      </c>
      <c r="F259" s="13">
        <v>133.63000500000001</v>
      </c>
      <c r="G259" s="13">
        <v>126.62994399999999</v>
      </c>
      <c r="H259" s="13">
        <v>126.62994399999999</v>
      </c>
      <c r="I259" s="14">
        <f t="shared" si="3"/>
        <v>6.2498209580958974E-3</v>
      </c>
      <c r="J259" s="14">
        <f>IF(COUNT(B259)=0,"",B259-(INTERCEPT('3. Cleaned Data'!$B$4:$B$1041,'3. Cleaned Data'!$H$4:$H$1041)+SLOPE('3. Cleaned Data'!$B$4:$B$1041,'3. Cleaned Data'!$H$4:$H$1041)*H259))</f>
        <v>-1.0860561385513225</v>
      </c>
    </row>
    <row r="260" spans="1:10" x14ac:dyDescent="0.2">
      <c r="A260" s="12">
        <v>42699</v>
      </c>
      <c r="B260" s="13">
        <v>14.666572435200001</v>
      </c>
      <c r="C260" s="13">
        <v>133.729996</v>
      </c>
      <c r="D260" s="13">
        <v>134.10000600000001</v>
      </c>
      <c r="E260" s="13">
        <v>133.53999300000001</v>
      </c>
      <c r="F260" s="13">
        <v>134.070007</v>
      </c>
      <c r="G260" s="13">
        <v>127.046913</v>
      </c>
      <c r="H260" s="13">
        <v>127.046913</v>
      </c>
      <c r="I260" s="14">
        <f t="shared" si="3"/>
        <v>3.2928151654241233E-3</v>
      </c>
      <c r="J260" s="14">
        <f>IF(COUNT(B260)=0,"",B260-(INTERCEPT('3. Cleaned Data'!$B$4:$B$1041,'3. Cleaned Data'!$H$4:$H$1041)+SLOPE('3. Cleaned Data'!$B$4:$B$1041,'3. Cleaned Data'!$H$4:$H$1041)*H260))</f>
        <v>-0.91473328434684653</v>
      </c>
    </row>
    <row r="261" spans="1:10" x14ac:dyDescent="0.2">
      <c r="A261" s="12">
        <v>42702</v>
      </c>
      <c r="B261" s="13">
        <v>15.042045099599999</v>
      </c>
      <c r="C261" s="13">
        <v>133.970001</v>
      </c>
      <c r="D261" s="13">
        <v>134</v>
      </c>
      <c r="E261" s="13">
        <v>132.14999399999999</v>
      </c>
      <c r="F261" s="13">
        <v>132.33000200000001</v>
      </c>
      <c r="G261" s="13">
        <v>125.398048</v>
      </c>
      <c r="H261" s="13">
        <v>125.398048</v>
      </c>
      <c r="I261" s="14">
        <f t="shared" ref="I261:I324" si="4">H261/H260-1</f>
        <v>-1.2978394839078033E-2</v>
      </c>
      <c r="J261" s="14">
        <f>IF(COUNT(B261)=0,"",B261-(INTERCEPT('3. Cleaned Data'!$B$4:$B$1041,'3. Cleaned Data'!$H$4:$H$1041)+SLOPE('3. Cleaned Data'!$B$4:$B$1041,'3. Cleaned Data'!$H$4:$H$1041)*H261))</f>
        <v>-0.31370837360820403</v>
      </c>
    </row>
    <row r="262" spans="1:10" x14ac:dyDescent="0.2">
      <c r="A262" s="12">
        <v>42703</v>
      </c>
      <c r="B262" s="13">
        <v>15.3317071368</v>
      </c>
      <c r="C262" s="13">
        <v>132.509995</v>
      </c>
      <c r="D262" s="13">
        <v>133.08999600000001</v>
      </c>
      <c r="E262" s="13">
        <v>132.10000600000001</v>
      </c>
      <c r="F262" s="13">
        <v>132.259995</v>
      </c>
      <c r="G262" s="13">
        <v>125.33169599999999</v>
      </c>
      <c r="H262" s="13">
        <v>125.33169599999999</v>
      </c>
      <c r="I262" s="14">
        <f t="shared" si="4"/>
        <v>-5.2913104357099616E-4</v>
      </c>
      <c r="J262" s="14">
        <f>IF(COUNT(B262)=0,"",B262-(INTERCEPT('3. Cleaned Data'!$B$4:$B$1041,'3. Cleaned Data'!$H$4:$H$1041)+SLOPE('3. Cleaned Data'!$B$4:$B$1041,'3. Cleaned Data'!$H$4:$H$1041)*H262))</f>
        <v>-1.4969885243880654E-2</v>
      </c>
    </row>
    <row r="263" spans="1:10" x14ac:dyDescent="0.2">
      <c r="A263" s="12">
        <v>42704</v>
      </c>
      <c r="B263" s="13">
        <v>20.738649859199999</v>
      </c>
      <c r="C263" s="13">
        <v>132.91999799999999</v>
      </c>
      <c r="D263" s="13">
        <v>133.08999600000001</v>
      </c>
      <c r="E263" s="13">
        <v>131.5</v>
      </c>
      <c r="F263" s="13">
        <v>131.61000100000001</v>
      </c>
      <c r="G263" s="13">
        <v>124.71575199999999</v>
      </c>
      <c r="H263" s="13">
        <v>124.71575199999999</v>
      </c>
      <c r="I263" s="14">
        <f t="shared" si="4"/>
        <v>-4.9145110108459455E-3</v>
      </c>
      <c r="J263" s="14">
        <f>IF(COUNT(B263)=0,"",B263-(INTERCEPT('3. Cleaned Data'!$B$4:$B$1041,'3. Cleaned Data'!$H$4:$H$1041)+SLOPE('3. Cleaned Data'!$B$4:$B$1041,'3. Cleaned Data'!$H$4:$H$1041)*H263))</f>
        <v>5.4762293122579671</v>
      </c>
    </row>
    <row r="264" spans="1:10" x14ac:dyDescent="0.2">
      <c r="A264" s="12">
        <v>42705</v>
      </c>
      <c r="B264" s="13">
        <v>15.304758959999999</v>
      </c>
      <c r="C264" s="13">
        <v>132.25</v>
      </c>
      <c r="D264" s="13">
        <v>132.550003</v>
      </c>
      <c r="E264" s="13">
        <v>130.28999300000001</v>
      </c>
      <c r="F264" s="13">
        <v>130.970001</v>
      </c>
      <c r="G264" s="13">
        <v>124.109283</v>
      </c>
      <c r="H264" s="13">
        <v>124.109283</v>
      </c>
      <c r="I264" s="14">
        <f t="shared" si="4"/>
        <v>-4.862809952025815E-3</v>
      </c>
      <c r="J264" s="14">
        <f>IF(COUNT(B264)=0,"",B264-(INTERCEPT('3. Cleaned Data'!$B$4:$B$1041,'3. Cleaned Data'!$H$4:$H$1041)+SLOPE('3. Cleaned Data'!$B$4:$B$1041,'3. Cleaned Data'!$H$4:$H$1041)*H264))</f>
        <v>0.12529877990713167</v>
      </c>
    </row>
    <row r="265" spans="1:10" x14ac:dyDescent="0.2">
      <c r="A265" s="12">
        <v>42706</v>
      </c>
      <c r="B265" s="13">
        <v>14.990112590400001</v>
      </c>
      <c r="C265" s="13">
        <v>130.94000199999999</v>
      </c>
      <c r="D265" s="13">
        <v>131.470001</v>
      </c>
      <c r="E265" s="13">
        <v>130.520004</v>
      </c>
      <c r="F265" s="13">
        <v>130.89999399999999</v>
      </c>
      <c r="G265" s="13">
        <v>124.04293800000001</v>
      </c>
      <c r="H265" s="13">
        <v>124.04293800000001</v>
      </c>
      <c r="I265" s="14">
        <f t="shared" si="4"/>
        <v>-5.3456919898564603E-4</v>
      </c>
      <c r="J265" s="14">
        <f>IF(COUNT(B265)=0,"",B265-(INTERCEPT('3. Cleaned Data'!$B$4:$B$1041,'3. Cleaned Data'!$H$4:$H$1041)+SLOPE('3. Cleaned Data'!$B$4:$B$1041,'3. Cleaned Data'!$H$4:$H$1041)*H265))</f>
        <v>-0.18027209607553552</v>
      </c>
    </row>
    <row r="266" spans="1:10" x14ac:dyDescent="0.2">
      <c r="A266" s="12">
        <v>42709</v>
      </c>
      <c r="B266" s="13">
        <v>16.011011073599999</v>
      </c>
      <c r="C266" s="13">
        <v>131.970001</v>
      </c>
      <c r="D266" s="13">
        <v>133.33000200000001</v>
      </c>
      <c r="E266" s="13">
        <v>131.88999899999999</v>
      </c>
      <c r="F266" s="13">
        <v>133.14999399999999</v>
      </c>
      <c r="G266" s="15">
        <v>126.175089</v>
      </c>
      <c r="H266" s="13">
        <v>126.175089</v>
      </c>
      <c r="I266" s="14">
        <f t="shared" si="4"/>
        <v>1.7188814086296356E-2</v>
      </c>
      <c r="J266" s="14">
        <f>IF(COUNT(B266)=0,"",B266-(INTERCEPT('3. Cleaned Data'!$B$4:$B$1041,'3. Cleaned Data'!$H$4:$H$1041)+SLOPE('3. Cleaned Data'!$B$4:$B$1041,'3. Cleaned Data'!$H$4:$H$1041)*H266))</f>
        <v>0.54896427556094096</v>
      </c>
    </row>
    <row r="267" spans="1:10" x14ac:dyDescent="0.2">
      <c r="A267" s="12">
        <v>42710</v>
      </c>
      <c r="B267" s="13">
        <v>15.8850506088</v>
      </c>
      <c r="C267" s="13">
        <v>133.520004</v>
      </c>
      <c r="D267" s="13">
        <v>134.91000399999999</v>
      </c>
      <c r="E267" s="13">
        <v>132.740005</v>
      </c>
      <c r="F267" s="13">
        <v>134.58999600000001</v>
      </c>
      <c r="G267" s="13">
        <v>127.539658</v>
      </c>
      <c r="H267" s="13">
        <v>127.539658</v>
      </c>
      <c r="I267" s="14">
        <f t="shared" si="4"/>
        <v>1.0814884386568524E-2</v>
      </c>
      <c r="J267" s="14">
        <f>IF(COUNT(B267)=0,"",B267-(INTERCEPT('3. Cleaned Data'!$B$4:$B$1041,'3. Cleaned Data'!$H$4:$H$1041)+SLOPE('3. Cleaned Data'!$B$4:$B$1041,'3. Cleaned Data'!$H$4:$H$1041)*H267))</f>
        <v>0.23634110445443568</v>
      </c>
    </row>
    <row r="268" spans="1:10" x14ac:dyDescent="0.2">
      <c r="A268" s="12">
        <v>42711</v>
      </c>
      <c r="B268" s="13">
        <v>15.4061353512</v>
      </c>
      <c r="C268" s="13">
        <v>134.58999600000001</v>
      </c>
      <c r="D268" s="13">
        <v>136.179993</v>
      </c>
      <c r="E268" s="13">
        <v>134.179993</v>
      </c>
      <c r="F268" s="13">
        <v>135.89999399999999</v>
      </c>
      <c r="G268" s="13">
        <v>128.781036</v>
      </c>
      <c r="H268" s="13">
        <v>128.781036</v>
      </c>
      <c r="I268" s="14">
        <f t="shared" si="4"/>
        <v>9.7332705722010804E-3</v>
      </c>
      <c r="J268" s="14">
        <f>IF(COUNT(B268)=0,"",B268-(INTERCEPT('3. Cleaned Data'!$B$4:$B$1041,'3. Cleaned Data'!$H$4:$H$1041)+SLOPE('3. Cleaned Data'!$B$4:$B$1041,'3. Cleaned Data'!$H$4:$H$1041)*H268))</f>
        <v>-0.41238526348836047</v>
      </c>
    </row>
    <row r="269" spans="1:10" x14ac:dyDescent="0.2">
      <c r="A269" s="12">
        <v>42712</v>
      </c>
      <c r="B269" s="13">
        <v>15.874147799999999</v>
      </c>
      <c r="C269" s="13">
        <v>136.25</v>
      </c>
      <c r="D269" s="13">
        <v>138.21000699999999</v>
      </c>
      <c r="E269" s="13">
        <v>135.800003</v>
      </c>
      <c r="F269" s="13">
        <v>138.03999300000001</v>
      </c>
      <c r="G269" s="13">
        <v>130.80891399999999</v>
      </c>
      <c r="H269" s="13">
        <v>130.80891399999999</v>
      </c>
      <c r="I269" s="14">
        <f t="shared" si="4"/>
        <v>1.5746712893348613E-2</v>
      </c>
      <c r="J269" s="14">
        <f>IF(COUNT(B269)=0,"",B269-(INTERCEPT('3. Cleaned Data'!$B$4:$B$1041,'3. Cleaned Data'!$H$4:$H$1041)+SLOPE('3. Cleaned Data'!$B$4:$B$1041,'3. Cleaned Data'!$H$4:$H$1041)*H269))</f>
        <v>-0.22177116943584707</v>
      </c>
    </row>
    <row r="270" spans="1:10" x14ac:dyDescent="0.2">
      <c r="A270" s="12">
        <v>42713</v>
      </c>
      <c r="B270" s="13">
        <v>15.6758081472</v>
      </c>
      <c r="C270" s="13">
        <v>138.39999399999999</v>
      </c>
      <c r="D270" s="13">
        <v>138.820007</v>
      </c>
      <c r="E270" s="13">
        <v>137.75</v>
      </c>
      <c r="F270" s="13">
        <v>138.30999800000001</v>
      </c>
      <c r="G270" s="13">
        <v>131.064774</v>
      </c>
      <c r="H270" s="13">
        <v>131.064774</v>
      </c>
      <c r="I270" s="14">
        <f t="shared" si="4"/>
        <v>1.9559829080151303E-3</v>
      </c>
      <c r="J270" s="14">
        <f>IF(COUNT(B270)=0,"",B270-(INTERCEPT('3. Cleaned Data'!$B$4:$B$1041,'3. Cleaned Data'!$H$4:$H$1041)+SLOPE('3. Cleaned Data'!$B$4:$B$1041,'3. Cleaned Data'!$H$4:$H$1041)*H270))</f>
        <v>-0.45511053279323299</v>
      </c>
    </row>
    <row r="271" spans="1:10" x14ac:dyDescent="0.2">
      <c r="A271" s="12">
        <v>42716</v>
      </c>
      <c r="B271" s="13">
        <v>16.102618272000001</v>
      </c>
      <c r="C271" s="13">
        <v>137.949997</v>
      </c>
      <c r="D271" s="13">
        <v>138.570007</v>
      </c>
      <c r="E271" s="13">
        <v>136.509995</v>
      </c>
      <c r="F271" s="13">
        <v>136.85000600000001</v>
      </c>
      <c r="G271" s="13">
        <v>129.681274</v>
      </c>
      <c r="H271" s="13">
        <v>129.681274</v>
      </c>
      <c r="I271" s="14">
        <f t="shared" si="4"/>
        <v>-1.0555849278006568E-2</v>
      </c>
      <c r="J271" s="14">
        <f>IF(COUNT(B271)=0,"",B271-(INTERCEPT('3. Cleaned Data'!$B$4:$B$1041,'3. Cleaned Data'!$H$4:$H$1041)+SLOPE('3. Cleaned Data'!$B$4:$B$1041,'3. Cleaned Data'!$H$4:$H$1041)*H271))</f>
        <v>0.16095191576251011</v>
      </c>
    </row>
    <row r="272" spans="1:10" x14ac:dyDescent="0.2">
      <c r="A272" s="12">
        <v>42717</v>
      </c>
      <c r="B272" s="13">
        <v>14.682118367999999</v>
      </c>
      <c r="C272" s="13">
        <v>137.529999</v>
      </c>
      <c r="D272" s="13">
        <v>138.050003</v>
      </c>
      <c r="E272" s="13">
        <v>136.240005</v>
      </c>
      <c r="F272" s="13">
        <v>136.86000100000001</v>
      </c>
      <c r="G272" s="13">
        <v>129.69075000000001</v>
      </c>
      <c r="H272" s="13">
        <v>129.69075000000001</v>
      </c>
      <c r="I272" s="14">
        <f t="shared" si="4"/>
        <v>7.3071459800733152E-5</v>
      </c>
      <c r="J272" s="14">
        <f>IF(COUNT(B272)=0,"",B272-(INTERCEPT('3. Cleaned Data'!$B$4:$B$1041,'3. Cleaned Data'!$H$4:$H$1041)+SLOPE('3. Cleaned Data'!$B$4:$B$1041,'3. Cleaned Data'!$H$4:$H$1041)*H272))</f>
        <v>-1.2608442332826026</v>
      </c>
    </row>
    <row r="273" spans="1:10" x14ac:dyDescent="0.2">
      <c r="A273" s="12">
        <v>42718</v>
      </c>
      <c r="B273" s="13">
        <v>14.933821247999999</v>
      </c>
      <c r="C273" s="13">
        <v>136.41999799999999</v>
      </c>
      <c r="D273" s="13">
        <v>137.35000600000001</v>
      </c>
      <c r="E273" s="13">
        <v>134.80999800000001</v>
      </c>
      <c r="F273" s="13">
        <v>135.14999399999999</v>
      </c>
      <c r="G273" s="13">
        <v>128.07032799999999</v>
      </c>
      <c r="H273" s="13">
        <v>128.07032799999999</v>
      </c>
      <c r="I273" s="14">
        <f t="shared" si="4"/>
        <v>-1.2494507125604737E-2</v>
      </c>
      <c r="J273" s="14">
        <f>IF(COUNT(B273)=0,"",B273-(INTERCEPT('3. Cleaned Data'!$B$4:$B$1041,'3. Cleaned Data'!$H$4:$H$1041)+SLOPE('3. Cleaned Data'!$B$4:$B$1041,'3. Cleaned Data'!$H$4:$H$1041)*H273))</f>
        <v>-0.78747989396570084</v>
      </c>
    </row>
    <row r="274" spans="1:10" x14ac:dyDescent="0.2">
      <c r="A274" s="12">
        <v>42719</v>
      </c>
      <c r="B274" s="13">
        <v>14.903574426</v>
      </c>
      <c r="C274" s="13">
        <v>135.36999499999999</v>
      </c>
      <c r="D274" s="13">
        <v>137.13999899999999</v>
      </c>
      <c r="E274" s="13">
        <v>134.96000699999999</v>
      </c>
      <c r="F274" s="13">
        <v>136.16000399999999</v>
      </c>
      <c r="G274" s="13">
        <v>129.02739</v>
      </c>
      <c r="H274" s="13">
        <v>129.02739</v>
      </c>
      <c r="I274" s="14">
        <f t="shared" si="4"/>
        <v>7.4729409610008179E-3</v>
      </c>
      <c r="J274" s="14">
        <f>IF(COUNT(B274)=0,"",B274-(INTERCEPT('3. Cleaned Data'!$B$4:$B$1041,'3. Cleaned Data'!$H$4:$H$1041)+SLOPE('3. Cleaned Data'!$B$4:$B$1041,'3. Cleaned Data'!$H$4:$H$1041)*H274))</f>
        <v>-0.94864555042780374</v>
      </c>
    </row>
    <row r="275" spans="1:10" x14ac:dyDescent="0.2">
      <c r="A275" s="12">
        <v>42720</v>
      </c>
      <c r="B275" s="13">
        <v>15.7414879968</v>
      </c>
      <c r="C275" s="13">
        <v>136.35000600000001</v>
      </c>
      <c r="D275" s="13">
        <v>137.529999</v>
      </c>
      <c r="E275" s="13">
        <v>135.63000500000001</v>
      </c>
      <c r="F275" s="13">
        <v>135.91000399999999</v>
      </c>
      <c r="G275" s="13">
        <v>128.79051200000001</v>
      </c>
      <c r="H275" s="13">
        <v>128.79051200000001</v>
      </c>
      <c r="I275" s="14">
        <f t="shared" si="4"/>
        <v>-1.8358737629272648E-3</v>
      </c>
      <c r="J275" s="14">
        <f>IF(COUNT(B275)=0,"",B275-(INTERCEPT('3. Cleaned Data'!$B$4:$B$1041,'3. Cleaned Data'!$H$4:$H$1041)+SLOPE('3. Cleaned Data'!$B$4:$B$1041,'3. Cleaned Data'!$H$4:$H$1041)*H275))</f>
        <v>-7.8328862933471299E-2</v>
      </c>
    </row>
    <row r="276" spans="1:10" x14ac:dyDescent="0.2">
      <c r="A276" s="12">
        <v>42723</v>
      </c>
      <c r="B276" s="13">
        <v>15.1422184536</v>
      </c>
      <c r="C276" s="13">
        <v>136.03999300000001</v>
      </c>
      <c r="D276" s="13">
        <v>137.19000199999999</v>
      </c>
      <c r="E276" s="13">
        <v>135.91000399999999</v>
      </c>
      <c r="F276" s="13">
        <v>136.800003</v>
      </c>
      <c r="G276" s="13">
        <v>129.63386499999999</v>
      </c>
      <c r="H276" s="13">
        <v>129.63386499999999</v>
      </c>
      <c r="I276" s="14">
        <f t="shared" si="4"/>
        <v>6.5482541136259176E-3</v>
      </c>
      <c r="J276" s="14">
        <f>IF(COUNT(B276)=0,"",B276-(INTERCEPT('3. Cleaned Data'!$B$4:$B$1041,'3. Cleaned Data'!$H$4:$H$1041)+SLOPE('3. Cleaned Data'!$B$4:$B$1041,'3. Cleaned Data'!$H$4:$H$1041)*H276))</f>
        <v>-0.79296271043153332</v>
      </c>
    </row>
    <row r="277" spans="1:10" x14ac:dyDescent="0.2">
      <c r="A277" s="12">
        <v>42724</v>
      </c>
      <c r="B277" s="13">
        <v>15.844117449600001</v>
      </c>
      <c r="C277" s="13">
        <v>137.279999</v>
      </c>
      <c r="D277" s="13">
        <v>138.21000699999999</v>
      </c>
      <c r="E277" s="13">
        <v>136.990005</v>
      </c>
      <c r="F277" s="13">
        <v>137.96000699999999</v>
      </c>
      <c r="G277" s="13">
        <v>130.73310900000001</v>
      </c>
      <c r="H277" s="13">
        <v>130.73310900000001</v>
      </c>
      <c r="I277" s="14">
        <f t="shared" si="4"/>
        <v>8.4796052327840155E-3</v>
      </c>
      <c r="J277" s="14">
        <f>IF(COUNT(B277)=0,"",B277-(INTERCEPT('3. Cleaned Data'!$B$4:$B$1041,'3. Cleaned Data'!$H$4:$H$1041)+SLOPE('3. Cleaned Data'!$B$4:$B$1041,'3. Cleaned Data'!$H$4:$H$1041)*H277))</f>
        <v>-0.24143196985225224</v>
      </c>
    </row>
    <row r="278" spans="1:10" x14ac:dyDescent="0.2">
      <c r="A278" s="12">
        <v>42725</v>
      </c>
      <c r="B278" s="13">
        <v>15.915167589599999</v>
      </c>
      <c r="C278" s="13">
        <v>137.85000600000001</v>
      </c>
      <c r="D278" s="13">
        <v>138.14999399999999</v>
      </c>
      <c r="E278" s="13">
        <v>137.009995</v>
      </c>
      <c r="F278" s="13">
        <v>137.05999800000001</v>
      </c>
      <c r="G278" s="13">
        <v>129.88026400000001</v>
      </c>
      <c r="H278" s="13">
        <v>129.88026400000001</v>
      </c>
      <c r="I278" s="14">
        <f t="shared" si="4"/>
        <v>-6.5235578540399075E-3</v>
      </c>
      <c r="J278" s="14">
        <f>IF(COUNT(B278)=0,"",B278-(INTERCEPT('3. Cleaned Data'!$B$4:$B$1041,'3. Cleaned Data'!$H$4:$H$1041)+SLOPE('3. Cleaned Data'!$B$4:$B$1041,'3. Cleaned Data'!$H$4:$H$1041)*H278))</f>
        <v>-5.3719091830231491E-2</v>
      </c>
    </row>
    <row r="279" spans="1:10" x14ac:dyDescent="0.2">
      <c r="A279" s="12">
        <v>42726</v>
      </c>
      <c r="B279" s="13">
        <v>16.215407460000002</v>
      </c>
      <c r="C279" s="13">
        <v>136.55999800000001</v>
      </c>
      <c r="D279" s="13">
        <v>136.75</v>
      </c>
      <c r="E279" s="13">
        <v>134.80999800000001</v>
      </c>
      <c r="F279" s="13">
        <v>135.320007</v>
      </c>
      <c r="G279" s="13">
        <v>128.76036099999999</v>
      </c>
      <c r="H279" s="13">
        <v>128.76036099999999</v>
      </c>
      <c r="I279" s="14">
        <f t="shared" si="4"/>
        <v>-8.6225802559195541E-3</v>
      </c>
      <c r="J279" s="14">
        <f>IF(COUNT(B279)=0,"",B279-(INTERCEPT('3. Cleaned Data'!$B$4:$B$1041,'3. Cleaned Data'!$H$4:$H$1041)+SLOPE('3. Cleaned Data'!$B$4:$B$1041,'3. Cleaned Data'!$H$4:$H$1041)*H279))</f>
        <v>0.39971502875483012</v>
      </c>
    </row>
    <row r="280" spans="1:10" x14ac:dyDescent="0.2">
      <c r="A280" s="12">
        <v>42727</v>
      </c>
      <c r="B280" s="13">
        <v>14.684097978</v>
      </c>
      <c r="C280" s="13">
        <v>135.46000699999999</v>
      </c>
      <c r="D280" s="13">
        <v>136.11999499999999</v>
      </c>
      <c r="E280" s="13">
        <v>135.270004</v>
      </c>
      <c r="F280" s="13">
        <v>136.03999300000001</v>
      </c>
      <c r="G280" s="13">
        <v>129.445404</v>
      </c>
      <c r="H280" s="13">
        <v>129.445404</v>
      </c>
      <c r="I280" s="14">
        <f t="shared" si="4"/>
        <v>5.3202941858792041E-3</v>
      </c>
      <c r="J280" s="14">
        <f>IF(COUNT(B280)=0,"",B280-(INTERCEPT('3. Cleaned Data'!$B$4:$B$1041,'3. Cleaned Data'!$H$4:$H$1041)+SLOPE('3. Cleaned Data'!$B$4:$B$1041,'3. Cleaned Data'!$H$4:$H$1041)*H280))</f>
        <v>-1.2253031483102994</v>
      </c>
    </row>
    <row r="281" spans="1:10" x14ac:dyDescent="0.2">
      <c r="A281" s="12">
        <v>42731</v>
      </c>
      <c r="B281" s="13">
        <v>15.705524664</v>
      </c>
      <c r="C281" s="13">
        <v>136.229996</v>
      </c>
      <c r="D281" s="13">
        <v>137.300003</v>
      </c>
      <c r="E281" s="13">
        <v>136.21000699999999</v>
      </c>
      <c r="F281" s="13">
        <v>136.64999399999999</v>
      </c>
      <c r="G281" s="13">
        <v>130.025879</v>
      </c>
      <c r="H281" s="13">
        <v>130.025879</v>
      </c>
      <c r="I281" s="14">
        <f t="shared" si="4"/>
        <v>4.4843229814479635E-3</v>
      </c>
      <c r="J281" s="14">
        <f>IF(COUNT(B281)=0,"",B281-(INTERCEPT('3. Cleaned Data'!$B$4:$B$1041,'3. Cleaned Data'!$H$4:$H$1041)+SLOPE('3. Cleaned Data'!$B$4:$B$1041,'3. Cleaned Data'!$H$4:$H$1041)*H281))</f>
        <v>-0.2832810467932152</v>
      </c>
    </row>
    <row r="282" spans="1:10" x14ac:dyDescent="0.2">
      <c r="A282" s="12">
        <v>42732</v>
      </c>
      <c r="B282" s="13">
        <v>15.164591383199999</v>
      </c>
      <c r="C282" s="13">
        <v>136.88999899999999</v>
      </c>
      <c r="D282" s="13">
        <v>136.979996</v>
      </c>
      <c r="E282" s="13">
        <v>134.83000200000001</v>
      </c>
      <c r="F282" s="13">
        <v>135.25</v>
      </c>
      <c r="G282" s="13">
        <v>128.69371000000001</v>
      </c>
      <c r="H282" s="13">
        <v>128.69371000000001</v>
      </c>
      <c r="I282" s="14">
        <f t="shared" si="4"/>
        <v>-1.0245414299410283E-2</v>
      </c>
      <c r="J282" s="14">
        <f>IF(COUNT(B282)=0,"",B282-(INTERCEPT('3. Cleaned Data'!$B$4:$B$1041,'3. Cleaned Data'!$H$4:$H$1041)+SLOPE('3. Cleaned Data'!$B$4:$B$1041,'3. Cleaned Data'!$H$4:$H$1041)*H282))</f>
        <v>-0.64198369594496008</v>
      </c>
    </row>
    <row r="283" spans="1:10" x14ac:dyDescent="0.2">
      <c r="A283" s="12">
        <v>42733</v>
      </c>
      <c r="B283" s="13">
        <v>15.732130679999999</v>
      </c>
      <c r="C283" s="13">
        <v>135.28999300000001</v>
      </c>
      <c r="D283" s="13">
        <v>136.259995</v>
      </c>
      <c r="E283" s="13">
        <v>134.69000199999999</v>
      </c>
      <c r="F283" s="13">
        <v>135.36999499999999</v>
      </c>
      <c r="G283" s="13">
        <v>128.80787699999999</v>
      </c>
      <c r="H283" s="13">
        <v>128.80787699999999</v>
      </c>
      <c r="I283" s="14">
        <f t="shared" si="4"/>
        <v>8.8712183369321629E-4</v>
      </c>
      <c r="J283" s="14">
        <f>IF(COUNT(B283)=0,"",B283-(INTERCEPT('3. Cleaned Data'!$B$4:$B$1041,'3. Cleaned Data'!$H$4:$H$1041)+SLOPE('3. Cleaned Data'!$B$4:$B$1041,'3. Cleaned Data'!$H$4:$H$1041)*H283))</f>
        <v>-9.0061580240890393E-2</v>
      </c>
    </row>
    <row r="284" spans="1:10" x14ac:dyDescent="0.2">
      <c r="A284" s="12">
        <v>42734</v>
      </c>
      <c r="B284" s="13">
        <v>15.706080144</v>
      </c>
      <c r="C284" s="13">
        <v>135.60000600000001</v>
      </c>
      <c r="D284" s="13">
        <v>135.63000500000001</v>
      </c>
      <c r="E284" s="13">
        <v>134.39999399999999</v>
      </c>
      <c r="F284" s="13">
        <v>134.85000600000001</v>
      </c>
      <c r="G284" s="13">
        <v>128.31310999999999</v>
      </c>
      <c r="H284" s="13">
        <v>128.31310999999999</v>
      </c>
      <c r="I284" s="14">
        <f t="shared" si="4"/>
        <v>-3.8411237846890378E-3</v>
      </c>
      <c r="J284" s="14">
        <f>IF(COUNT(B284)=0,"",B284-(INTERCEPT('3. Cleaned Data'!$B$4:$B$1041,'3. Cleaned Data'!$H$4:$H$1041)+SLOPE('3. Cleaned Data'!$B$4:$B$1041,'3. Cleaned Data'!$H$4:$H$1041)*H284))</f>
        <v>-4.8431737153316945E-2</v>
      </c>
    </row>
    <row r="285" spans="1:10" x14ac:dyDescent="0.2">
      <c r="A285" s="12">
        <v>42738</v>
      </c>
      <c r="B285" s="13">
        <v>14.718811433999999</v>
      </c>
      <c r="C285" s="13">
        <v>136.490005</v>
      </c>
      <c r="D285" s="13">
        <v>136.83000200000001</v>
      </c>
      <c r="E285" s="13">
        <v>134.5</v>
      </c>
      <c r="F285" s="13">
        <v>135.520004</v>
      </c>
      <c r="G285" s="13">
        <v>128.95060699999999</v>
      </c>
      <c r="H285" s="13">
        <v>128.95060699999999</v>
      </c>
      <c r="I285" s="14">
        <f t="shared" si="4"/>
        <v>4.9682920163029998E-3</v>
      </c>
      <c r="J285" s="14">
        <f>IF(COUNT(B285)=0,"",B285-(INTERCEPT('3. Cleaned Data'!$B$4:$B$1041,'3. Cleaned Data'!$H$4:$H$1041)+SLOPE('3. Cleaned Data'!$B$4:$B$1041,'3. Cleaned Data'!$H$4:$H$1041)*H285))</f>
        <v>-1.1229052094498932</v>
      </c>
    </row>
    <row r="286" spans="1:10" x14ac:dyDescent="0.2">
      <c r="A286" s="12">
        <v>42739</v>
      </c>
      <c r="B286" s="13">
        <v>15.5457845388</v>
      </c>
      <c r="C286" s="13">
        <v>136.050003</v>
      </c>
      <c r="D286" s="13">
        <v>137.96000699999999</v>
      </c>
      <c r="E286" s="13">
        <v>136.009995</v>
      </c>
      <c r="F286" s="13">
        <v>137.779999</v>
      </c>
      <c r="G286" s="13">
        <v>131.101089</v>
      </c>
      <c r="H286" s="13">
        <v>131.101089</v>
      </c>
      <c r="I286" s="14">
        <f t="shared" si="4"/>
        <v>1.6676788500887163E-2</v>
      </c>
      <c r="J286" s="14">
        <f>IF(COUNT(B286)=0,"",B286-(INTERCEPT('3. Cleaned Data'!$B$4:$B$1041,'3. Cleaned Data'!$H$4:$H$1041)+SLOPE('3. Cleaned Data'!$B$4:$B$1041,'3. Cleaned Data'!$H$4:$H$1041)*H286))</f>
        <v>-0.59010175820602129</v>
      </c>
    </row>
    <row r="287" spans="1:10" x14ac:dyDescent="0.2">
      <c r="A287" s="12">
        <v>42740</v>
      </c>
      <c r="B287" s="13">
        <v>16.316117496</v>
      </c>
      <c r="C287" s="13">
        <v>137.490005</v>
      </c>
      <c r="D287" s="13">
        <v>137.759995</v>
      </c>
      <c r="E287" s="13">
        <v>135.509995</v>
      </c>
      <c r="F287" s="13">
        <v>136.19000199999999</v>
      </c>
      <c r="G287" s="13">
        <v>129.58812</v>
      </c>
      <c r="H287" s="13">
        <v>129.58812</v>
      </c>
      <c r="I287" s="14">
        <f t="shared" si="4"/>
        <v>-1.1540476219842777E-2</v>
      </c>
      <c r="J287" s="14">
        <f>IF(COUNT(B287)=0,"",B287-(INTERCEPT('3. Cleaned Data'!$B$4:$B$1041,'3. Cleaned Data'!$H$4:$H$1041)+SLOPE('3. Cleaned Data'!$B$4:$B$1041,'3. Cleaned Data'!$H$4:$H$1041)*H287))</f>
        <v>0.38719390157468325</v>
      </c>
    </row>
    <row r="288" spans="1:10" x14ac:dyDescent="0.2">
      <c r="A288" s="12">
        <v>42741</v>
      </c>
      <c r="B288" s="13">
        <v>15.8778963</v>
      </c>
      <c r="C288" s="13">
        <v>136.41000399999999</v>
      </c>
      <c r="D288" s="13">
        <v>136.71000699999999</v>
      </c>
      <c r="E288" s="13">
        <v>135.679993</v>
      </c>
      <c r="F288" s="13">
        <v>135.69000199999999</v>
      </c>
      <c r="G288" s="13">
        <v>129.112381</v>
      </c>
      <c r="H288" s="13">
        <v>129.112381</v>
      </c>
      <c r="I288" s="14">
        <f t="shared" si="4"/>
        <v>-3.6711621404802441E-3</v>
      </c>
      <c r="J288" s="14">
        <f>IF(COUNT(B288)=0,"",B288-(INTERCEPT('3. Cleaned Data'!$B$4:$B$1041,'3. Cleaned Data'!$H$4:$H$1041)+SLOPE('3. Cleaned Data'!$B$4:$B$1041,'3. Cleaned Data'!$H$4:$H$1041)*H288))</f>
        <v>1.405019834752963E-2</v>
      </c>
    </row>
    <row r="289" spans="1:10" x14ac:dyDescent="0.2">
      <c r="A289" s="12">
        <v>42744</v>
      </c>
      <c r="B289" s="13">
        <v>15.910069358399999</v>
      </c>
      <c r="C289" s="13">
        <v>135.53999300000001</v>
      </c>
      <c r="D289" s="13">
        <v>135.720001</v>
      </c>
      <c r="E289" s="13">
        <v>134.5</v>
      </c>
      <c r="F289" s="13">
        <v>134.800003</v>
      </c>
      <c r="G289" s="13">
        <v>128.26554899999999</v>
      </c>
      <c r="H289" s="13">
        <v>128.26554899999999</v>
      </c>
      <c r="I289" s="14">
        <f t="shared" si="4"/>
        <v>-6.5588752483776158E-3</v>
      </c>
      <c r="J289" s="14">
        <f>IF(COUNT(B289)=0,"",B289-(INTERCEPT('3. Cleaned Data'!$B$4:$B$1041,'3. Cleaned Data'!$H$4:$H$1041)+SLOPE('3. Cleaned Data'!$B$4:$B$1041,'3. Cleaned Data'!$H$4:$H$1041)*H289))</f>
        <v>0.162063461901651</v>
      </c>
    </row>
    <row r="290" spans="1:10" x14ac:dyDescent="0.2">
      <c r="A290" s="12">
        <v>42745</v>
      </c>
      <c r="B290" s="13">
        <v>15.402984893999999</v>
      </c>
      <c r="C290" s="13">
        <v>135</v>
      </c>
      <c r="D290" s="13">
        <v>136.38000500000001</v>
      </c>
      <c r="E290" s="13">
        <v>134.759995</v>
      </c>
      <c r="F290" s="13">
        <v>136.08999600000001</v>
      </c>
      <c r="G290" s="13">
        <v>129.49299600000001</v>
      </c>
      <c r="H290" s="13">
        <v>129.49299600000001</v>
      </c>
      <c r="I290" s="14">
        <f t="shared" si="4"/>
        <v>9.5695766288734774E-3</v>
      </c>
      <c r="J290" s="14">
        <f>IF(COUNT(B290)=0,"",B290-(INTERCEPT('3. Cleaned Data'!$B$4:$B$1041,'3. Cleaned Data'!$H$4:$H$1041)+SLOPE('3. Cleaned Data'!$B$4:$B$1041,'3. Cleaned Data'!$H$4:$H$1041)*H290))</f>
        <v>-0.51292645753052923</v>
      </c>
    </row>
    <row r="291" spans="1:10" x14ac:dyDescent="0.2">
      <c r="A291" s="12">
        <v>42746</v>
      </c>
      <c r="B291" s="13">
        <v>15.3473328</v>
      </c>
      <c r="C291" s="13">
        <v>136.229996</v>
      </c>
      <c r="D291" s="13">
        <v>136.78999300000001</v>
      </c>
      <c r="E291" s="13">
        <v>135.41999799999999</v>
      </c>
      <c r="F291" s="13">
        <v>136.33000200000001</v>
      </c>
      <c r="G291" s="13">
        <v>129.72137499999999</v>
      </c>
      <c r="H291" s="13">
        <v>129.72137499999999</v>
      </c>
      <c r="I291" s="14">
        <f t="shared" si="4"/>
        <v>1.7636397879001731E-3</v>
      </c>
      <c r="J291" s="14">
        <f>IF(COUNT(B291)=0,"",B291-(INTERCEPT('3. Cleaned Data'!$B$4:$B$1041,'3. Cleaned Data'!$H$4:$H$1041)+SLOPE('3. Cleaned Data'!$B$4:$B$1041,'3. Cleaned Data'!$H$4:$H$1041)*H291))</f>
        <v>-0.59981906938163831</v>
      </c>
    </row>
    <row r="292" spans="1:10" x14ac:dyDescent="0.2">
      <c r="A292" s="12">
        <v>42747</v>
      </c>
      <c r="B292" s="13">
        <v>15.705524664</v>
      </c>
      <c r="C292" s="13">
        <v>136.16000399999999</v>
      </c>
      <c r="D292" s="13">
        <v>136.220001</v>
      </c>
      <c r="E292" s="13">
        <v>133.58999600000001</v>
      </c>
      <c r="F292" s="13">
        <v>135.279999</v>
      </c>
      <c r="G292" s="13">
        <v>128.72224399999999</v>
      </c>
      <c r="H292" s="13">
        <v>128.72224399999999</v>
      </c>
      <c r="I292" s="14">
        <f t="shared" si="4"/>
        <v>-7.7021308169143987E-3</v>
      </c>
      <c r="J292" s="14">
        <f>IF(COUNT(B292)=0,"",B292-(INTERCEPT('3. Cleaned Data'!$B$4:$B$1041,'3. Cleaned Data'!$H$4:$H$1041)+SLOPE('3. Cleaned Data'!$B$4:$B$1041,'3. Cleaned Data'!$H$4:$H$1041)*H292))</f>
        <v>-0.10495365027762382</v>
      </c>
    </row>
    <row r="293" spans="1:10" x14ac:dyDescent="0.2">
      <c r="A293" s="12">
        <v>42748</v>
      </c>
      <c r="B293" s="13">
        <v>15.119255923200001</v>
      </c>
      <c r="C293" s="13">
        <v>135.64999399999999</v>
      </c>
      <c r="D293" s="13">
        <v>136.970001</v>
      </c>
      <c r="E293" s="13">
        <v>135.64999399999999</v>
      </c>
      <c r="F293" s="13">
        <v>136.259995</v>
      </c>
      <c r="G293" s="13">
        <v>129.65475499999999</v>
      </c>
      <c r="H293" s="13">
        <v>129.65475499999999</v>
      </c>
      <c r="I293" s="14">
        <f t="shared" si="4"/>
        <v>7.2443656280571922E-3</v>
      </c>
      <c r="J293" s="14">
        <f>IF(COUNT(B293)=0,"",B293-(INTERCEPT('3. Cleaned Data'!$B$4:$B$1041,'3. Cleaned Data'!$H$4:$H$1041)+SLOPE('3. Cleaned Data'!$B$4:$B$1041,'3. Cleaned Data'!$H$4:$H$1041)*H293))</f>
        <v>-0.818782834646683</v>
      </c>
    </row>
    <row r="294" spans="1:10" x14ac:dyDescent="0.2">
      <c r="A294" s="12">
        <v>42752</v>
      </c>
      <c r="B294" s="13">
        <v>14.7367283328</v>
      </c>
      <c r="C294" s="13">
        <v>135.60000600000001</v>
      </c>
      <c r="D294" s="13">
        <v>135.69000199999999</v>
      </c>
      <c r="E294" s="13">
        <v>134.13000500000001</v>
      </c>
      <c r="F294" s="13">
        <v>134.41000399999999</v>
      </c>
      <c r="G294" s="13">
        <v>127.89444</v>
      </c>
      <c r="H294" s="13">
        <v>127.89444</v>
      </c>
      <c r="I294" s="14">
        <f t="shared" si="4"/>
        <v>-1.3576941316190028E-2</v>
      </c>
      <c r="J294" s="14">
        <f>IF(COUNT(B294)=0,"",B294-(INTERCEPT('3. Cleaned Data'!$B$4:$B$1041,'3. Cleaned Data'!$H$4:$H$1041)+SLOPE('3. Cleaned Data'!$B$4:$B$1041,'3. Cleaned Data'!$H$4:$H$1041)*H294))</f>
        <v>-0.96051266263823543</v>
      </c>
    </row>
    <row r="295" spans="1:10" x14ac:dyDescent="0.2">
      <c r="A295" s="12">
        <v>42753</v>
      </c>
      <c r="B295" s="13">
        <v>14.675341939200001</v>
      </c>
      <c r="C295" s="13">
        <v>134.759995</v>
      </c>
      <c r="D295" s="13">
        <v>134.94000199999999</v>
      </c>
      <c r="E295" s="13">
        <v>133.949997</v>
      </c>
      <c r="F295" s="13">
        <v>134.85000600000001</v>
      </c>
      <c r="G295" s="13">
        <v>128.31310999999999</v>
      </c>
      <c r="H295" s="13">
        <v>128.31310999999999</v>
      </c>
      <c r="I295" s="14">
        <f t="shared" si="4"/>
        <v>3.2735590382193536E-3</v>
      </c>
      <c r="J295" s="14">
        <f>IF(COUNT(B295)=0,"",B295-(INTERCEPT('3. Cleaned Data'!$B$4:$B$1041,'3. Cleaned Data'!$H$4:$H$1041)+SLOPE('3. Cleaned Data'!$B$4:$B$1041,'3. Cleaned Data'!$H$4:$H$1041)*H295))</f>
        <v>-1.0791699419533156</v>
      </c>
    </row>
    <row r="296" spans="1:10" x14ac:dyDescent="0.2">
      <c r="A296" s="12">
        <v>42754</v>
      </c>
      <c r="B296" s="13">
        <v>15.986514104399999</v>
      </c>
      <c r="C296" s="13">
        <v>135.13999899999999</v>
      </c>
      <c r="D296" s="13">
        <v>135.44000199999999</v>
      </c>
      <c r="E296" s="13">
        <v>133.16999799999999</v>
      </c>
      <c r="F296" s="13">
        <v>133.75</v>
      </c>
      <c r="G296" s="13">
        <v>127.266464</v>
      </c>
      <c r="H296" s="13">
        <v>127.266464</v>
      </c>
      <c r="I296" s="14">
        <f t="shared" si="4"/>
        <v>-8.1569685280015181E-3</v>
      </c>
      <c r="J296" s="14">
        <f>IF(COUNT(B296)=0,"",B296-(INTERCEPT('3. Cleaned Data'!$B$4:$B$1041,'3. Cleaned Data'!$H$4:$H$1041)+SLOPE('3. Cleaned Data'!$B$4:$B$1041,'3. Cleaned Data'!$H$4:$H$1041)*H296))</f>
        <v>0.37517547055398559</v>
      </c>
    </row>
    <row r="297" spans="1:10" x14ac:dyDescent="0.2">
      <c r="A297" s="12">
        <v>42755</v>
      </c>
      <c r="B297" s="13">
        <v>16.450400106</v>
      </c>
      <c r="C297" s="13">
        <v>133.75</v>
      </c>
      <c r="D297" s="13">
        <v>134.88000500000001</v>
      </c>
      <c r="E297" s="13">
        <v>133.75</v>
      </c>
      <c r="F297" s="13">
        <v>134.44000199999999</v>
      </c>
      <c r="G297" s="13">
        <v>127.922989</v>
      </c>
      <c r="H297" s="13">
        <v>127.922989</v>
      </c>
      <c r="I297" s="14">
        <f t="shared" si="4"/>
        <v>5.1586645795391739E-3</v>
      </c>
      <c r="J297" s="14">
        <f>IF(COUNT(B297)=0,"",B297-(INTERCEPT('3. Cleaned Data'!$B$4:$B$1041,'3. Cleaned Data'!$H$4:$H$1041)+SLOPE('3. Cleaned Data'!$B$4:$B$1041,'3. Cleaned Data'!$H$4:$H$1041)*H297))</f>
        <v>0.74925382354268066</v>
      </c>
    </row>
    <row r="298" spans="1:10" x14ac:dyDescent="0.2">
      <c r="A298" s="12">
        <v>42758</v>
      </c>
      <c r="B298" s="13">
        <v>16.0723679004</v>
      </c>
      <c r="C298" s="13">
        <v>134.029999</v>
      </c>
      <c r="D298" s="13">
        <v>134.679993</v>
      </c>
      <c r="E298" s="13">
        <v>133.11999499999999</v>
      </c>
      <c r="F298" s="13">
        <v>133.88000500000001</v>
      </c>
      <c r="G298" s="13">
        <v>127.39012099999999</v>
      </c>
      <c r="H298" s="13">
        <v>127.39012099999999</v>
      </c>
      <c r="I298" s="14">
        <f t="shared" si="4"/>
        <v>-4.1655374390916489E-3</v>
      </c>
      <c r="J298" s="14">
        <f>IF(COUNT(B298)=0,"",B298-(INTERCEPT('3. Cleaned Data'!$B$4:$B$1041,'3. Cleaned Data'!$H$4:$H$1041)+SLOPE('3. Cleaned Data'!$B$4:$B$1041,'3. Cleaned Data'!$H$4:$H$1041)*H298))</f>
        <v>0.44411392531895544</v>
      </c>
    </row>
    <row r="299" spans="1:10" x14ac:dyDescent="0.2">
      <c r="A299" s="12">
        <v>42759</v>
      </c>
      <c r="B299" s="13">
        <v>14.773045679999999</v>
      </c>
      <c r="C299" s="13">
        <v>134.33999600000001</v>
      </c>
      <c r="D299" s="13">
        <v>136.279999</v>
      </c>
      <c r="E299" s="13">
        <v>134.220001</v>
      </c>
      <c r="F299" s="13">
        <v>135.929993</v>
      </c>
      <c r="G299" s="13">
        <v>129.34072900000001</v>
      </c>
      <c r="H299" s="13">
        <v>129.34072900000001</v>
      </c>
      <c r="I299" s="14">
        <f t="shared" si="4"/>
        <v>1.5312082166873964E-2</v>
      </c>
      <c r="J299" s="14">
        <f>IF(COUNT(B299)=0,"",B299-(INTERCEPT('3. Cleaned Data'!$B$4:$B$1041,'3. Cleaned Data'!$H$4:$H$1041)+SLOPE('3. Cleaned Data'!$B$4:$B$1041,'3. Cleaned Data'!$H$4:$H$1041)*H299))</f>
        <v>-1.1220366989383237</v>
      </c>
    </row>
    <row r="300" spans="1:10" x14ac:dyDescent="0.2">
      <c r="A300" s="12">
        <v>42760</v>
      </c>
      <c r="B300" s="13">
        <v>15.333629159999999</v>
      </c>
      <c r="C300" s="13">
        <v>137.05999800000001</v>
      </c>
      <c r="D300" s="13">
        <v>137.550003</v>
      </c>
      <c r="E300" s="13">
        <v>136.949997</v>
      </c>
      <c r="F300" s="13">
        <v>137.21000699999999</v>
      </c>
      <c r="G300" s="13">
        <v>130.55873099999999</v>
      </c>
      <c r="H300" s="13">
        <v>130.55873099999999</v>
      </c>
      <c r="I300" s="14">
        <f t="shared" si="4"/>
        <v>9.417002744742442E-3</v>
      </c>
      <c r="J300" s="14">
        <f>IF(COUNT(B300)=0,"",B300-(INTERCEPT('3. Cleaned Data'!$B$4:$B$1041,'3. Cleaned Data'!$H$4:$H$1041)+SLOPE('3. Cleaned Data'!$B$4:$B$1041,'3. Cleaned Data'!$H$4:$H$1041)*H300))</f>
        <v>-0.72806666949064613</v>
      </c>
    </row>
    <row r="301" spans="1:10" x14ac:dyDescent="0.2">
      <c r="A301" s="12">
        <v>42761</v>
      </c>
      <c r="B301" s="13">
        <v>16.0586041824</v>
      </c>
      <c r="C301" s="13">
        <v>137.33999600000001</v>
      </c>
      <c r="D301" s="13">
        <v>137.5</v>
      </c>
      <c r="E301" s="13">
        <v>136.41999799999999</v>
      </c>
      <c r="F301" s="13">
        <v>136.66000399999999</v>
      </c>
      <c r="G301" s="13">
        <v>130.03533899999999</v>
      </c>
      <c r="H301" s="13">
        <v>130.03533899999999</v>
      </c>
      <c r="I301" s="14">
        <f t="shared" si="4"/>
        <v>-4.0088624942287154E-3</v>
      </c>
      <c r="J301" s="14">
        <f>IF(COUNT(B301)=0,"",B301-(INTERCEPT('3. Cleaned Data'!$B$4:$B$1041,'3. Cleaned Data'!$H$4:$H$1041)+SLOPE('3. Cleaned Data'!$B$4:$B$1041,'3. Cleaned Data'!$H$4:$H$1041)*H301))</f>
        <v>6.8504415240518313E-2</v>
      </c>
    </row>
    <row r="302" spans="1:10" x14ac:dyDescent="0.2">
      <c r="A302" s="12">
        <v>42762</v>
      </c>
      <c r="B302" s="13">
        <v>14.8145537664</v>
      </c>
      <c r="C302" s="13">
        <v>136.770004</v>
      </c>
      <c r="D302" s="13">
        <v>137.03999300000001</v>
      </c>
      <c r="E302" s="13">
        <v>135.64999399999999</v>
      </c>
      <c r="F302" s="13">
        <v>136.19000199999999</v>
      </c>
      <c r="G302" s="13">
        <v>129.58812</v>
      </c>
      <c r="H302" s="13">
        <v>129.58812</v>
      </c>
      <c r="I302" s="14">
        <f t="shared" si="4"/>
        <v>-3.4392112439526334E-3</v>
      </c>
      <c r="J302" s="14">
        <f>IF(COUNT(B302)=0,"",B302-(INTERCEPT('3. Cleaned Data'!$B$4:$B$1041,'3. Cleaned Data'!$H$4:$H$1041)+SLOPE('3. Cleaned Data'!$B$4:$B$1041,'3. Cleaned Data'!$H$4:$H$1041)*H302))</f>
        <v>-1.1143698280253176</v>
      </c>
    </row>
    <row r="303" spans="1:10" x14ac:dyDescent="0.2">
      <c r="A303" s="12">
        <v>42765</v>
      </c>
      <c r="B303" s="13">
        <v>15.700864896000001</v>
      </c>
      <c r="C303" s="13">
        <v>135.229996</v>
      </c>
      <c r="D303" s="13">
        <v>135.240005</v>
      </c>
      <c r="E303" s="13">
        <v>133.240005</v>
      </c>
      <c r="F303" s="13">
        <v>134.28999300000001</v>
      </c>
      <c r="G303" s="13">
        <v>127.780243</v>
      </c>
      <c r="H303" s="13">
        <v>127.780243</v>
      </c>
      <c r="I303" s="14">
        <f t="shared" si="4"/>
        <v>-1.3950947046689199E-2</v>
      </c>
      <c r="J303" s="14">
        <f>IF(COUNT(B303)=0,"",B303-(INTERCEPT('3. Cleaned Data'!$B$4:$B$1041,'3. Cleaned Data'!$H$4:$H$1041)+SLOPE('3. Cleaned Data'!$B$4:$B$1041,'3. Cleaned Data'!$H$4:$H$1041)*H303))</f>
        <v>1.9245185430529332E-2</v>
      </c>
    </row>
    <row r="304" spans="1:10" x14ac:dyDescent="0.2">
      <c r="A304" s="12">
        <v>42766</v>
      </c>
      <c r="B304" s="13">
        <v>15.62822208</v>
      </c>
      <c r="C304" s="13">
        <v>133.86999499999999</v>
      </c>
      <c r="D304" s="13">
        <v>135.55999800000001</v>
      </c>
      <c r="E304" s="13">
        <v>133.479996</v>
      </c>
      <c r="F304" s="13">
        <v>135.229996</v>
      </c>
      <c r="G304" s="13">
        <v>128.674713</v>
      </c>
      <c r="H304" s="13">
        <v>128.674713</v>
      </c>
      <c r="I304" s="14">
        <f t="shared" si="4"/>
        <v>7.0000649474426524E-3</v>
      </c>
      <c r="J304" s="14">
        <f>IF(COUNT(B304)=0,"",B304-(INTERCEPT('3. Cleaned Data'!$B$4:$B$1041,'3. Cleaned Data'!$H$4:$H$1041)+SLOPE('3. Cleaned Data'!$B$4:$B$1041,'3. Cleaned Data'!$H$4:$H$1041)*H304))</f>
        <v>-0.17575435339549017</v>
      </c>
    </row>
    <row r="305" spans="1:10" x14ac:dyDescent="0.2">
      <c r="A305" s="12">
        <v>42767</v>
      </c>
      <c r="B305" s="13">
        <v>16.1310398496</v>
      </c>
      <c r="C305" s="13">
        <v>136.220001</v>
      </c>
      <c r="D305" s="13">
        <v>136.86999499999999</v>
      </c>
      <c r="E305" s="13">
        <v>134.699997</v>
      </c>
      <c r="F305" s="13">
        <v>135.14999399999999</v>
      </c>
      <c r="G305" s="13">
        <v>128.598557</v>
      </c>
      <c r="H305" s="13">
        <v>128.598557</v>
      </c>
      <c r="I305" s="14">
        <f t="shared" si="4"/>
        <v>-5.9184899833419902E-4</v>
      </c>
      <c r="J305" s="14">
        <f>IF(COUNT(B305)=0,"",B305-(INTERCEPT('3. Cleaned Data'!$B$4:$B$1041,'3. Cleaned Data'!$H$4:$H$1041)+SLOPE('3. Cleaned Data'!$B$4:$B$1041,'3. Cleaned Data'!$H$4:$H$1041)*H305))</f>
        <v>0.3374809803302341</v>
      </c>
    </row>
    <row r="306" spans="1:10" x14ac:dyDescent="0.2">
      <c r="A306" s="12">
        <v>42768</v>
      </c>
      <c r="B306" s="13">
        <v>14.9788378536</v>
      </c>
      <c r="C306" s="13">
        <v>135.300003</v>
      </c>
      <c r="D306" s="13">
        <v>135.66999799999999</v>
      </c>
      <c r="E306" s="13">
        <v>134.490005</v>
      </c>
      <c r="F306" s="13">
        <v>134.80999800000001</v>
      </c>
      <c r="G306" s="13">
        <v>128.27503999999999</v>
      </c>
      <c r="H306" s="13">
        <v>128.27503999999999</v>
      </c>
      <c r="I306" s="14">
        <f t="shared" si="4"/>
        <v>-2.5157125207867503E-3</v>
      </c>
      <c r="J306" s="14">
        <f>IF(COUNT(B306)=0,"",B306-(INTERCEPT('3. Cleaned Data'!$B$4:$B$1041,'3. Cleaned Data'!$H$4:$H$1041)+SLOPE('3. Cleaned Data'!$B$4:$B$1041,'3. Cleaned Data'!$H$4:$H$1041)*H306))</f>
        <v>-0.77046633982987522</v>
      </c>
    </row>
    <row r="307" spans="1:10" x14ac:dyDescent="0.2">
      <c r="A307" s="12">
        <v>42769</v>
      </c>
      <c r="B307" s="13">
        <v>14.643965873999999</v>
      </c>
      <c r="C307" s="13">
        <v>135.990005</v>
      </c>
      <c r="D307" s="13">
        <v>136.979996</v>
      </c>
      <c r="E307" s="13">
        <v>135.509995</v>
      </c>
      <c r="F307" s="13">
        <v>136.86999499999999</v>
      </c>
      <c r="G307" s="13">
        <v>130.235184</v>
      </c>
      <c r="H307" s="13">
        <v>130.235184</v>
      </c>
      <c r="I307" s="14">
        <f t="shared" si="4"/>
        <v>1.5280790401624555E-2</v>
      </c>
      <c r="J307" s="14">
        <f>IF(COUNT(B307)=0,"",B307-(INTERCEPT('3. Cleaned Data'!$B$4:$B$1041,'3. Cleaned Data'!$H$4:$H$1041)+SLOPE('3. Cleaned Data'!$B$4:$B$1041,'3. Cleaned Data'!$H$4:$H$1041)*H307))</f>
        <v>-1.3734711758779277</v>
      </c>
    </row>
    <row r="308" spans="1:10" x14ac:dyDescent="0.2">
      <c r="A308" s="12">
        <v>42772</v>
      </c>
      <c r="B308" s="13">
        <v>16.413228468</v>
      </c>
      <c r="C308" s="13">
        <v>136.39999399999999</v>
      </c>
      <c r="D308" s="13">
        <v>136.779999</v>
      </c>
      <c r="E308" s="13">
        <v>135.429993</v>
      </c>
      <c r="F308" s="13">
        <v>135.83999600000001</v>
      </c>
      <c r="G308" s="13">
        <v>129.25512699999999</v>
      </c>
      <c r="H308" s="13">
        <v>129.25512699999999</v>
      </c>
      <c r="I308" s="14">
        <f t="shared" si="4"/>
        <v>-7.5252859473060596E-3</v>
      </c>
      <c r="J308" s="14">
        <f>IF(COUNT(B308)=0,"",B308-(INTERCEPT('3. Cleaned Data'!$B$4:$B$1041,'3. Cleaned Data'!$H$4:$H$1041)+SLOPE('3. Cleaned Data'!$B$4:$B$1041,'3. Cleaned Data'!$H$4:$H$1041)*H308))</f>
        <v>0.52985579445968511</v>
      </c>
    </row>
    <row r="309" spans="1:10" x14ac:dyDescent="0.2">
      <c r="A309" s="12">
        <v>42773</v>
      </c>
      <c r="B309" s="13">
        <v>15.750399120000001</v>
      </c>
      <c r="C309" s="13">
        <v>135.820007</v>
      </c>
      <c r="D309" s="13">
        <v>136.470001</v>
      </c>
      <c r="E309" s="13">
        <v>134.770004</v>
      </c>
      <c r="F309" s="13">
        <v>135.240005</v>
      </c>
      <c r="G309" s="13">
        <v>128.68417400000001</v>
      </c>
      <c r="H309" s="13">
        <v>128.68417400000001</v>
      </c>
      <c r="I309" s="14">
        <f t="shared" si="4"/>
        <v>-4.4172561139487199E-3</v>
      </c>
      <c r="J309" s="14">
        <f>IF(COUNT(B309)=0,"",B309-(INTERCEPT('3. Cleaned Data'!$B$4:$B$1041,'3. Cleaned Data'!$H$4:$H$1041)+SLOPE('3. Cleaned Data'!$B$4:$B$1041,'3. Cleaned Data'!$H$4:$H$1041)*H309))</f>
        <v>-5.4871506554185601E-2</v>
      </c>
    </row>
    <row r="310" spans="1:10" x14ac:dyDescent="0.2">
      <c r="A310" s="12">
        <v>42774</v>
      </c>
      <c r="B310" s="13">
        <v>16.265247801600001</v>
      </c>
      <c r="C310" s="13">
        <v>135.240005</v>
      </c>
      <c r="D310" s="13">
        <v>135.240005</v>
      </c>
      <c r="E310" s="13">
        <v>133.88999899999999</v>
      </c>
      <c r="F310" s="13">
        <v>135</v>
      </c>
      <c r="G310" s="13">
        <v>128.45584099999999</v>
      </c>
      <c r="H310" s="13">
        <v>128.45584099999999</v>
      </c>
      <c r="I310" s="14">
        <f t="shared" si="4"/>
        <v>-1.7743673748104039E-3</v>
      </c>
      <c r="J310" s="14">
        <f>IF(COUNT(B310)=0,"",B310-(INTERCEPT('3. Cleaned Data'!$B$4:$B$1041,'3. Cleaned Data'!$H$4:$H$1041)+SLOPE('3. Cleaned Data'!$B$4:$B$1041,'3. Cleaned Data'!$H$4:$H$1041)*H310))</f>
        <v>0.49121140044525191</v>
      </c>
    </row>
    <row r="311" spans="1:10" x14ac:dyDescent="0.2">
      <c r="A311" s="12">
        <v>42775</v>
      </c>
      <c r="B311" s="13">
        <v>15.685586215200001</v>
      </c>
      <c r="C311" s="13">
        <v>135</v>
      </c>
      <c r="D311" s="13">
        <v>137.25</v>
      </c>
      <c r="E311" s="13">
        <v>135</v>
      </c>
      <c r="F311" s="13">
        <v>136.89999399999999</v>
      </c>
      <c r="G311" s="13">
        <v>130.26371800000001</v>
      </c>
      <c r="H311" s="13">
        <v>130.26371800000001</v>
      </c>
      <c r="I311" s="14">
        <f t="shared" si="4"/>
        <v>1.4073918211317649E-2</v>
      </c>
      <c r="J311" s="14">
        <f>IF(COUNT(B311)=0,"",B311-(INTERCEPT('3. Cleaned Data'!$B$4:$B$1041,'3. Cleaned Data'!$H$4:$H$1041)+SLOPE('3. Cleaned Data'!$B$4:$B$1041,'3. Cleaned Data'!$H$4:$H$1041)*H311))</f>
        <v>-0.3357540698105943</v>
      </c>
    </row>
    <row r="312" spans="1:10" x14ac:dyDescent="0.2">
      <c r="A312" s="12">
        <v>42776</v>
      </c>
      <c r="B312" s="13">
        <v>16.735740084</v>
      </c>
      <c r="C312" s="13">
        <v>137.78999300000001</v>
      </c>
      <c r="D312" s="13">
        <v>138.36999499999999</v>
      </c>
      <c r="E312" s="13">
        <v>137.199997</v>
      </c>
      <c r="F312" s="13">
        <v>137.94000199999999</v>
      </c>
      <c r="G312" s="13">
        <v>131.25332599999999</v>
      </c>
      <c r="H312" s="13">
        <v>131.25332599999999</v>
      </c>
      <c r="I312" s="14">
        <f t="shared" si="4"/>
        <v>7.5969580416856974E-3</v>
      </c>
      <c r="J312" s="14">
        <f>IF(COUNT(B312)=0,"",B312-(INTERCEPT('3. Cleaned Data'!$B$4:$B$1041,'3. Cleaned Data'!$H$4:$H$1041)+SLOPE('3. Cleaned Data'!$B$4:$B$1041,'3. Cleaned Data'!$H$4:$H$1041)*H312))</f>
        <v>0.57902891817460755</v>
      </c>
    </row>
    <row r="313" spans="1:10" x14ac:dyDescent="0.2">
      <c r="A313" s="12">
        <v>42779</v>
      </c>
      <c r="B313" s="13">
        <v>15.417438990000001</v>
      </c>
      <c r="C313" s="13">
        <v>138.770004</v>
      </c>
      <c r="D313" s="13">
        <v>139.21000699999999</v>
      </c>
      <c r="E313" s="13">
        <v>138.08999600000001</v>
      </c>
      <c r="F313" s="13">
        <v>138.300003</v>
      </c>
      <c r="G313" s="13">
        <v>131.595856</v>
      </c>
      <c r="H313" s="13">
        <v>131.595856</v>
      </c>
      <c r="I313" s="14">
        <f t="shared" si="4"/>
        <v>2.6096862490174733E-3</v>
      </c>
      <c r="J313" s="14">
        <f>IF(COUNT(B313)=0,"",B313-(INTERCEPT('3. Cleaned Data'!$B$4:$B$1041,'3. Cleaned Data'!$H$4:$H$1041)+SLOPE('3. Cleaned Data'!$B$4:$B$1041,'3. Cleaned Data'!$H$4:$H$1041)*H313))</f>
        <v>-0.78612768609359307</v>
      </c>
    </row>
    <row r="314" spans="1:10" x14ac:dyDescent="0.2">
      <c r="A314" s="12">
        <v>42780</v>
      </c>
      <c r="B314" s="13">
        <v>16.360510771200001</v>
      </c>
      <c r="C314" s="13">
        <v>137.94000199999999</v>
      </c>
      <c r="D314" s="13">
        <v>138.949997</v>
      </c>
      <c r="E314" s="13">
        <v>137.61000100000001</v>
      </c>
      <c r="F314" s="13">
        <v>138.759995</v>
      </c>
      <c r="G314" s="13">
        <v>132.03355400000001</v>
      </c>
      <c r="H314" s="13">
        <v>132.03355400000001</v>
      </c>
      <c r="I314" s="14">
        <f t="shared" si="4"/>
        <v>3.3260773804306698E-3</v>
      </c>
      <c r="J314" s="14">
        <f>IF(COUNT(B314)=0,"",B314-(INTERCEPT('3. Cleaned Data'!$B$4:$B$1041,'3. Cleaned Data'!$H$4:$H$1041)+SLOPE('3. Cleaned Data'!$B$4:$B$1041,'3. Cleaned Data'!$H$4:$H$1041)*H314))</f>
        <v>9.707032307659702E-2</v>
      </c>
    </row>
    <row r="315" spans="1:10" x14ac:dyDescent="0.2">
      <c r="A315" s="12">
        <v>42781</v>
      </c>
      <c r="B315" s="13">
        <v>15.8483670444</v>
      </c>
      <c r="C315" s="13">
        <v>138.19000199999999</v>
      </c>
      <c r="D315" s="13">
        <v>139.770004</v>
      </c>
      <c r="E315" s="13">
        <v>138.070007</v>
      </c>
      <c r="F315" s="13">
        <v>139.58999600000001</v>
      </c>
      <c r="G315" s="13">
        <v>132.82333399999999</v>
      </c>
      <c r="H315" s="13">
        <v>132.82333399999999</v>
      </c>
      <c r="I315" s="14">
        <f t="shared" si="4"/>
        <v>5.9816612980059247E-3</v>
      </c>
      <c r="J315" s="14">
        <f>IF(COUNT(B315)=0,"",B315-(INTERCEPT('3. Cleaned Data'!$B$4:$B$1041,'3. Cleaned Data'!$H$4:$H$1041)+SLOPE('3. Cleaned Data'!$B$4:$B$1041,'3. Cleaned Data'!$H$4:$H$1041)*H315))</f>
        <v>-0.52310932729102788</v>
      </c>
    </row>
    <row r="316" spans="1:10" x14ac:dyDescent="0.2">
      <c r="A316" s="12">
        <v>42782</v>
      </c>
      <c r="B316" s="13">
        <v>15.140778102000001</v>
      </c>
      <c r="C316" s="13">
        <v>139.46000699999999</v>
      </c>
      <c r="D316" s="13">
        <v>139.83999600000001</v>
      </c>
      <c r="E316" s="13">
        <v>138.21000699999999</v>
      </c>
      <c r="F316" s="13">
        <v>139.199997</v>
      </c>
      <c r="G316" s="13">
        <v>132.452225</v>
      </c>
      <c r="H316" s="13">
        <v>132.452225</v>
      </c>
      <c r="I316" s="14">
        <f t="shared" si="4"/>
        <v>-2.794004553446805E-3</v>
      </c>
      <c r="J316" s="14">
        <f>IF(COUNT(B316)=0,"",B316-(INTERCEPT('3. Cleaned Data'!$B$4:$B$1041,'3. Cleaned Data'!$H$4:$H$1041)+SLOPE('3. Cleaned Data'!$B$4:$B$1041,'3. Cleaned Data'!$H$4:$H$1041)*H316))</f>
        <v>-1.1799333686309108</v>
      </c>
    </row>
    <row r="317" spans="1:10" x14ac:dyDescent="0.2">
      <c r="A317" s="12">
        <v>42783</v>
      </c>
      <c r="B317" s="13">
        <v>16.635031938000001</v>
      </c>
      <c r="C317" s="13">
        <v>138.449997</v>
      </c>
      <c r="D317" s="13">
        <v>139.16000399999999</v>
      </c>
      <c r="E317" s="13">
        <v>138.25</v>
      </c>
      <c r="F317" s="13">
        <v>139.11000100000001</v>
      </c>
      <c r="G317" s="13">
        <v>132.366592</v>
      </c>
      <c r="H317" s="13">
        <v>132.366592</v>
      </c>
      <c r="I317" s="14">
        <f t="shared" si="4"/>
        <v>-6.4651990557351713E-4</v>
      </c>
      <c r="J317" s="14">
        <f>IF(COUNT(B317)=0,"",B317-(INTERCEPT('3. Cleaned Data'!$B$4:$B$1041,'3. Cleaned Data'!$H$4:$H$1041)+SLOPE('3. Cleaned Data'!$B$4:$B$1041,'3. Cleaned Data'!$H$4:$H$1041)*H317))</f>
        <v>0.32603441333235139</v>
      </c>
    </row>
    <row r="318" spans="1:10" x14ac:dyDescent="0.2">
      <c r="A318" s="12">
        <v>42787</v>
      </c>
      <c r="B318" s="13">
        <v>16.306415130000001</v>
      </c>
      <c r="C318" s="13">
        <v>139.38000500000001</v>
      </c>
      <c r="D318" s="13">
        <v>140.320007</v>
      </c>
      <c r="E318" s="13">
        <v>139.38000500000001</v>
      </c>
      <c r="F318" s="13">
        <v>140.199997</v>
      </c>
      <c r="G318" s="13">
        <v>133.403763</v>
      </c>
      <c r="H318" s="13">
        <v>133.403763</v>
      </c>
      <c r="I318" s="14">
        <f t="shared" si="4"/>
        <v>7.8355949513302381E-3</v>
      </c>
      <c r="J318" s="14">
        <f>IF(COUNT(B318)=0,"",B318-(INTERCEPT('3. Cleaned Data'!$B$4:$B$1041,'3. Cleaned Data'!$H$4:$H$1041)+SLOPE('3. Cleaned Data'!$B$4:$B$1041,'3. Cleaned Data'!$H$4:$H$1041)*H318))</f>
        <v>-0.14445953372226938</v>
      </c>
    </row>
    <row r="319" spans="1:10" x14ac:dyDescent="0.2">
      <c r="A319" s="12">
        <v>42788</v>
      </c>
      <c r="B319" s="13">
        <v>15.186328626</v>
      </c>
      <c r="C319" s="13">
        <v>140</v>
      </c>
      <c r="D319" s="13">
        <v>140.020004</v>
      </c>
      <c r="E319" s="13">
        <v>139.25</v>
      </c>
      <c r="F319" s="13">
        <v>139.58000200000001</v>
      </c>
      <c r="G319" s="13">
        <v>132.81384299999999</v>
      </c>
      <c r="H319" s="13">
        <v>132.81384299999999</v>
      </c>
      <c r="I319" s="14">
        <f t="shared" si="4"/>
        <v>-4.4220641662110483E-3</v>
      </c>
      <c r="J319" s="14">
        <f>IF(COUNT(B319)=0,"",B319-(INTERCEPT('3. Cleaned Data'!$B$4:$B$1041,'3. Cleaned Data'!$H$4:$H$1041)+SLOPE('3. Cleaned Data'!$B$4:$B$1041,'3. Cleaned Data'!$H$4:$H$1041)*H319))</f>
        <v>-1.183849448759501</v>
      </c>
    </row>
    <row r="320" spans="1:10" x14ac:dyDescent="0.2">
      <c r="A320" s="12">
        <v>42789</v>
      </c>
      <c r="B320" s="13">
        <v>15.896368628399999</v>
      </c>
      <c r="C320" s="13">
        <v>139.96000699999999</v>
      </c>
      <c r="D320" s="13">
        <v>140.009995</v>
      </c>
      <c r="E320" s="13">
        <v>137.69000199999999</v>
      </c>
      <c r="F320" s="13">
        <v>138.75</v>
      </c>
      <c r="G320" s="13">
        <v>132.02406300000001</v>
      </c>
      <c r="H320" s="13">
        <v>132.02406300000001</v>
      </c>
      <c r="I320" s="14">
        <f t="shared" si="4"/>
        <v>-5.9465186923322033E-3</v>
      </c>
      <c r="J320" s="14">
        <f>IF(COUNT(B320)=0,"",B320-(INTERCEPT('3. Cleaned Data'!$B$4:$B$1041,'3. Cleaned Data'!$H$4:$H$1041)+SLOPE('3. Cleaned Data'!$B$4:$B$1041,'3. Cleaned Data'!$H$4:$H$1041)*H320))</f>
        <v>-0.36577352279187814</v>
      </c>
    </row>
    <row r="321" spans="1:10" x14ac:dyDescent="0.2">
      <c r="A321" s="12">
        <v>42790</v>
      </c>
      <c r="B321" s="13">
        <v>16.026720000000001</v>
      </c>
      <c r="C321" s="13">
        <v>137.46000699999999</v>
      </c>
      <c r="D321" s="13">
        <v>138.64999399999999</v>
      </c>
      <c r="E321" s="13">
        <v>137.300003</v>
      </c>
      <c r="F321" s="13">
        <v>138.64999399999999</v>
      </c>
      <c r="G321" s="13">
        <v>131.92892499999999</v>
      </c>
      <c r="H321" s="13">
        <v>131.92892499999999</v>
      </c>
      <c r="I321" s="14">
        <f t="shared" si="4"/>
        <v>-7.2061106012177856E-4</v>
      </c>
      <c r="J321" s="14">
        <f>IF(COUNT(B321)=0,"",B321-(INTERCEPT('3. Cleaned Data'!$B$4:$B$1041,'3. Cleaned Data'!$H$4:$H$1041)+SLOPE('3. Cleaned Data'!$B$4:$B$1041,'3. Cleaned Data'!$H$4:$H$1041)*H321))</f>
        <v>-0.22240799320309534</v>
      </c>
    </row>
    <row r="322" spans="1:10" x14ac:dyDescent="0.2">
      <c r="A322" s="12">
        <v>42793</v>
      </c>
      <c r="B322" s="13">
        <v>15.050743182</v>
      </c>
      <c r="C322" s="13">
        <v>138.33999600000001</v>
      </c>
      <c r="D322" s="13">
        <v>140</v>
      </c>
      <c r="E322" s="13">
        <v>138.21000699999999</v>
      </c>
      <c r="F322" s="13">
        <v>140</v>
      </c>
      <c r="G322" s="13">
        <v>133.21340900000001</v>
      </c>
      <c r="H322" s="13">
        <v>133.21340900000001</v>
      </c>
      <c r="I322" s="14">
        <f t="shared" si="4"/>
        <v>9.7361818115324628E-3</v>
      </c>
      <c r="J322" s="14">
        <f>IF(COUNT(B322)=0,"",B322-(INTERCEPT('3. Cleaned Data'!$B$4:$B$1041,'3. Cleaned Data'!$H$4:$H$1041)+SLOPE('3. Cleaned Data'!$B$4:$B$1041,'3. Cleaned Data'!$H$4:$H$1041)*H322))</f>
        <v>-1.3740924959353524</v>
      </c>
    </row>
    <row r="323" spans="1:10" x14ac:dyDescent="0.2">
      <c r="A323" s="12">
        <v>42794</v>
      </c>
      <c r="B323" s="13">
        <v>15.67315629</v>
      </c>
      <c r="C323" s="13">
        <v>139.38000500000001</v>
      </c>
      <c r="D323" s="13">
        <v>139.479996</v>
      </c>
      <c r="E323" s="13">
        <v>137.759995</v>
      </c>
      <c r="F323" s="13">
        <v>137.83999600000001</v>
      </c>
      <c r="G323" s="13">
        <v>131.15815699999999</v>
      </c>
      <c r="H323" s="13">
        <v>131.15815699999999</v>
      </c>
      <c r="I323" s="14">
        <f t="shared" si="4"/>
        <v>-1.5428266684474834E-2</v>
      </c>
      <c r="J323" s="14">
        <f>IF(COUNT(B323)=0,"",B323-(INTERCEPT('3. Cleaned Data'!$B$4:$B$1041,'3. Cleaned Data'!$H$4:$H$1041)+SLOPE('3. Cleaned Data'!$B$4:$B$1041,'3. Cleaned Data'!$H$4:$H$1041)*H323))</f>
        <v>-0.47053647727135406</v>
      </c>
    </row>
    <row r="324" spans="1:10" x14ac:dyDescent="0.2">
      <c r="A324" s="12">
        <v>42795</v>
      </c>
      <c r="B324" s="13">
        <v>15.72299748</v>
      </c>
      <c r="C324" s="13">
        <v>139.64999399999999</v>
      </c>
      <c r="D324" s="13">
        <v>140.86000100000001</v>
      </c>
      <c r="E324" s="13">
        <v>139.520004</v>
      </c>
      <c r="F324" s="13">
        <v>140.36000100000001</v>
      </c>
      <c r="G324" s="13">
        <v>133.55600000000001</v>
      </c>
      <c r="H324" s="13">
        <v>133.55600000000001</v>
      </c>
      <c r="I324" s="14">
        <f t="shared" si="4"/>
        <v>1.8282072993752285E-2</v>
      </c>
      <c r="J324" s="14">
        <f>IF(COUNT(B324)=0,"",B324-(INTERCEPT('3. Cleaned Data'!$B$4:$B$1041,'3. Cleaned Data'!$H$4:$H$1041)+SLOPE('3. Cleaned Data'!$B$4:$B$1041,'3. Cleaned Data'!$H$4:$H$1041)*H324))</f>
        <v>-0.74870205254164546</v>
      </c>
    </row>
    <row r="325" spans="1:10" x14ac:dyDescent="0.2">
      <c r="A325" s="12">
        <v>42796</v>
      </c>
      <c r="B325" s="13">
        <v>15.464028967200001</v>
      </c>
      <c r="C325" s="13">
        <v>140.33000200000001</v>
      </c>
      <c r="D325" s="13">
        <v>140.36000100000001</v>
      </c>
      <c r="E325" s="13">
        <v>138.63999899999999</v>
      </c>
      <c r="F325" s="13">
        <v>138.75</v>
      </c>
      <c r="G325" s="13">
        <v>132.02406300000001</v>
      </c>
      <c r="H325" s="13">
        <v>132.02406300000001</v>
      </c>
      <c r="I325" s="14">
        <f t="shared" ref="I325:I388" si="5">H325/H324-1</f>
        <v>-1.1470371978795413E-2</v>
      </c>
      <c r="J325" s="14">
        <f>IF(COUNT(B325)=0,"",B325-(INTERCEPT('3. Cleaned Data'!$B$4:$B$1041,'3. Cleaned Data'!$H$4:$H$1041)+SLOPE('3. Cleaned Data'!$B$4:$B$1041,'3. Cleaned Data'!$H$4:$H$1041)*H325))</f>
        <v>-0.7981131839918767</v>
      </c>
    </row>
    <row r="326" spans="1:10" x14ac:dyDescent="0.2">
      <c r="A326" s="12">
        <v>42797</v>
      </c>
      <c r="B326" s="13">
        <v>16.138161935999999</v>
      </c>
      <c r="C326" s="13">
        <v>138.800003</v>
      </c>
      <c r="D326" s="13">
        <v>139.41999799999999</v>
      </c>
      <c r="E326" s="13">
        <v>137.88000500000001</v>
      </c>
      <c r="F326" s="13">
        <v>138.64999399999999</v>
      </c>
      <c r="G326" s="13">
        <v>131.92892499999999</v>
      </c>
      <c r="H326" s="13">
        <v>131.92892499999999</v>
      </c>
      <c r="I326" s="14">
        <f t="shared" si="5"/>
        <v>-7.2061106012177856E-4</v>
      </c>
      <c r="J326" s="14">
        <f>IF(COUNT(B326)=0,"",B326-(INTERCEPT('3. Cleaned Data'!$B$4:$B$1041,'3. Cleaned Data'!$H$4:$H$1041)+SLOPE('3. Cleaned Data'!$B$4:$B$1041,'3. Cleaned Data'!$H$4:$H$1041)*H326))</f>
        <v>-0.11096605720309682</v>
      </c>
    </row>
    <row r="327" spans="1:10" x14ac:dyDescent="0.2">
      <c r="A327" s="12">
        <v>42800</v>
      </c>
      <c r="B327" s="13">
        <v>15.455806320000001</v>
      </c>
      <c r="C327" s="13">
        <v>137.779999</v>
      </c>
      <c r="D327" s="13">
        <v>137.970001</v>
      </c>
      <c r="E327" s="13">
        <v>136.990005</v>
      </c>
      <c r="F327" s="13">
        <v>137.699997</v>
      </c>
      <c r="G327" s="13">
        <v>131.024979</v>
      </c>
      <c r="H327" s="13">
        <v>131.024979</v>
      </c>
      <c r="I327" s="14">
        <f t="shared" si="5"/>
        <v>-6.8517650697145216E-3</v>
      </c>
      <c r="J327" s="14">
        <f>IF(COUNT(B327)=0,"",B327-(INTERCEPT('3. Cleaned Data'!$B$4:$B$1041,'3. Cleaned Data'!$H$4:$H$1041)+SLOPE('3. Cleaned Data'!$B$4:$B$1041,'3. Cleaned Data'!$H$4:$H$1041)*H327))</f>
        <v>-0.66966870533196854</v>
      </c>
    </row>
    <row r="328" spans="1:10" x14ac:dyDescent="0.2">
      <c r="A328" s="12">
        <v>42801</v>
      </c>
      <c r="B328" s="13">
        <v>15.213832502400001</v>
      </c>
      <c r="C328" s="13">
        <v>137.39999399999999</v>
      </c>
      <c r="D328" s="13">
        <v>137.740005</v>
      </c>
      <c r="E328" s="13">
        <v>136.61000100000001</v>
      </c>
      <c r="F328" s="13">
        <v>136.800003</v>
      </c>
      <c r="G328" s="13">
        <v>130.16859400000001</v>
      </c>
      <c r="H328" s="13">
        <v>130.16859400000001</v>
      </c>
      <c r="I328" s="14">
        <f t="shared" si="5"/>
        <v>-6.5360437874978361E-3</v>
      </c>
      <c r="J328" s="14">
        <f>IF(COUNT(B328)=0,"",B328-(INTERCEPT('3. Cleaned Data'!$B$4:$B$1041,'3. Cleaned Data'!$H$4:$H$1041)+SLOPE('3. Cleaned Data'!$B$4:$B$1041,'3. Cleaned Data'!$H$4:$H$1041)*H328))</f>
        <v>-0.79449553971580578</v>
      </c>
    </row>
    <row r="329" spans="1:10" x14ac:dyDescent="0.2">
      <c r="A329" s="12">
        <v>42802</v>
      </c>
      <c r="B329" s="13">
        <v>15.560850240000001</v>
      </c>
      <c r="C329" s="13">
        <v>137.279999</v>
      </c>
      <c r="D329" s="13">
        <v>137.61999499999999</v>
      </c>
      <c r="E329" s="13">
        <v>135.779999</v>
      </c>
      <c r="F329" s="13">
        <v>135.89999399999999</v>
      </c>
      <c r="G329" s="13">
        <v>129.312195</v>
      </c>
      <c r="H329" s="13">
        <v>129.312195</v>
      </c>
      <c r="I329" s="14">
        <f t="shared" si="5"/>
        <v>-6.579152264639232E-3</v>
      </c>
      <c r="J329" s="14">
        <f>IF(COUNT(B329)=0,"",B329-(INTERCEPT('3. Cleaned Data'!$B$4:$B$1041,'3. Cleaned Data'!$H$4:$H$1041)+SLOPE('3. Cleaned Data'!$B$4:$B$1041,'3. Cleaned Data'!$H$4:$H$1041)*H329))</f>
        <v>-0.33032890380565405</v>
      </c>
    </row>
    <row r="330" spans="1:10" x14ac:dyDescent="0.2">
      <c r="A330" s="12">
        <v>42803</v>
      </c>
      <c r="B330" s="13">
        <v>14.712305682</v>
      </c>
      <c r="C330" s="13">
        <v>135.83000200000001</v>
      </c>
      <c r="D330" s="13">
        <v>136.490005</v>
      </c>
      <c r="E330" s="13">
        <v>134.88999899999999</v>
      </c>
      <c r="F330" s="13">
        <v>135.36000100000001</v>
      </c>
      <c r="G330" s="13">
        <v>128.79838599999999</v>
      </c>
      <c r="H330" s="13">
        <v>128.79838599999999</v>
      </c>
      <c r="I330" s="14">
        <f t="shared" si="5"/>
        <v>-3.9733994152678642E-3</v>
      </c>
      <c r="J330" s="14">
        <f>IF(COUNT(B330)=0,"",B330-(INTERCEPT('3. Cleaned Data'!$B$4:$B$1041,'3. Cleaned Data'!$H$4:$H$1041)+SLOPE('3. Cleaned Data'!$B$4:$B$1041,'3. Cleaned Data'!$H$4:$H$1041)*H330))</f>
        <v>-1.1085882813093626</v>
      </c>
    </row>
    <row r="331" spans="1:10" x14ac:dyDescent="0.2">
      <c r="A331" s="12">
        <v>42804</v>
      </c>
      <c r="B331" s="13">
        <v>15.254628913199999</v>
      </c>
      <c r="C331" s="13">
        <v>136.28999300000001</v>
      </c>
      <c r="D331" s="13">
        <v>136.30999800000001</v>
      </c>
      <c r="E331" s="13">
        <v>134.83999600000001</v>
      </c>
      <c r="F331" s="13">
        <v>135.96000699999999</v>
      </c>
      <c r="G331" s="13">
        <v>129.36932400000001</v>
      </c>
      <c r="H331" s="13">
        <v>129.36932400000001</v>
      </c>
      <c r="I331" s="14">
        <f t="shared" si="5"/>
        <v>4.4328039949197429E-3</v>
      </c>
      <c r="J331" s="14">
        <f>IF(COUNT(B331)=0,"",B331-(INTERCEPT('3. Cleaned Data'!$B$4:$B$1041,'3. Cleaned Data'!$H$4:$H$1041)+SLOPE('3. Cleaned Data'!$B$4:$B$1041,'3. Cleaned Data'!$H$4:$H$1041)*H331))</f>
        <v>-0.64436504520908322</v>
      </c>
    </row>
    <row r="332" spans="1:10" x14ac:dyDescent="0.2">
      <c r="A332" s="12">
        <v>42807</v>
      </c>
      <c r="B332" s="13">
        <v>14.959622868</v>
      </c>
      <c r="C332" s="13">
        <v>135.64999399999999</v>
      </c>
      <c r="D332" s="13">
        <v>136.78999300000001</v>
      </c>
      <c r="E332" s="13">
        <v>135.64999399999999</v>
      </c>
      <c r="F332" s="13">
        <v>136.279999</v>
      </c>
      <c r="G332" s="13">
        <v>129.67375200000001</v>
      </c>
      <c r="H332" s="13">
        <v>129.67375200000001</v>
      </c>
      <c r="I332" s="14">
        <f t="shared" si="5"/>
        <v>2.3531699060281852E-3</v>
      </c>
      <c r="J332" s="14">
        <f>IF(COUNT(B332)=0,"",B332-(INTERCEPT('3. Cleaned Data'!$B$4:$B$1041,'3. Cleaned Data'!$H$4:$H$1041)+SLOPE('3. Cleaned Data'!$B$4:$B$1041,'3. Cleaned Data'!$H$4:$H$1041)*H332))</f>
        <v>-0.98101453559615237</v>
      </c>
    </row>
    <row r="333" spans="1:10" x14ac:dyDescent="0.2">
      <c r="A333" s="12">
        <v>42808</v>
      </c>
      <c r="B333" s="13">
        <v>16.442169619200001</v>
      </c>
      <c r="C333" s="13">
        <v>135.75</v>
      </c>
      <c r="D333" s="13">
        <v>135.83000200000001</v>
      </c>
      <c r="E333" s="13">
        <v>134.55999800000001</v>
      </c>
      <c r="F333" s="13">
        <v>135.63000500000001</v>
      </c>
      <c r="G333" s="13">
        <v>129.05531300000001</v>
      </c>
      <c r="H333" s="13">
        <v>129.05531300000001</v>
      </c>
      <c r="I333" s="14">
        <f t="shared" si="5"/>
        <v>-4.7691918407666289E-3</v>
      </c>
      <c r="J333" s="14">
        <f>IF(COUNT(B333)=0,"",B333-(INTERCEPT('3. Cleaned Data'!$B$4:$B$1041,'3. Cleaned Data'!$H$4:$H$1041)+SLOPE('3. Cleaned Data'!$B$4:$B$1041,'3. Cleaned Data'!$H$4:$H$1041)*H333))</f>
        <v>0.58612998781286763</v>
      </c>
    </row>
    <row r="334" spans="1:10" x14ac:dyDescent="0.2">
      <c r="A334" s="12">
        <v>42809</v>
      </c>
      <c r="B334" s="13">
        <v>15.111611712</v>
      </c>
      <c r="C334" s="13">
        <v>136.28999300000001</v>
      </c>
      <c r="D334" s="13">
        <v>138.020004</v>
      </c>
      <c r="E334" s="13">
        <v>135.970001</v>
      </c>
      <c r="F334" s="13">
        <v>137.729996</v>
      </c>
      <c r="G334" s="13">
        <v>131.05351300000001</v>
      </c>
      <c r="H334" s="13">
        <v>131.05351300000001</v>
      </c>
      <c r="I334" s="14">
        <f t="shared" si="5"/>
        <v>1.5483283512705892E-2</v>
      </c>
      <c r="J334" s="14">
        <f>IF(COUNT(B334)=0,"",B334-(INTERCEPT('3. Cleaned Data'!$B$4:$B$1041,'3. Cleaned Data'!$H$4:$H$1041)+SLOPE('3. Cleaned Data'!$B$4:$B$1041,'3. Cleaned Data'!$H$4:$H$1041)*H334))</f>
        <v>-1.0177665484646372</v>
      </c>
    </row>
    <row r="335" spans="1:10" x14ac:dyDescent="0.2">
      <c r="A335" s="12">
        <v>42810</v>
      </c>
      <c r="B335" s="13">
        <v>15.9089740992</v>
      </c>
      <c r="C335" s="13">
        <v>138.220001</v>
      </c>
      <c r="D335" s="13">
        <v>138.509995</v>
      </c>
      <c r="E335" s="13">
        <v>137.55999800000001</v>
      </c>
      <c r="F335" s="13">
        <v>137.91000399999999</v>
      </c>
      <c r="G335" s="13">
        <v>131.224762</v>
      </c>
      <c r="H335" s="13">
        <v>131.224762</v>
      </c>
      <c r="I335" s="14">
        <f t="shared" si="5"/>
        <v>1.3067104885620129E-3</v>
      </c>
      <c r="J335" s="14">
        <f>IF(COUNT(B335)=0,"",B335-(INTERCEPT('3. Cleaned Data'!$B$4:$B$1041,'3. Cleaned Data'!$H$4:$H$1041)+SLOPE('3. Cleaned Data'!$B$4:$B$1041,'3. Cleaned Data'!$H$4:$H$1041)*H335))</f>
        <v>-0.24382972771989309</v>
      </c>
    </row>
    <row r="336" spans="1:10" x14ac:dyDescent="0.2">
      <c r="A336" s="12">
        <v>42811</v>
      </c>
      <c r="B336" s="13">
        <v>14.841499938</v>
      </c>
      <c r="C336" s="13">
        <v>138.13999899999999</v>
      </c>
      <c r="D336" s="13">
        <v>138.729996</v>
      </c>
      <c r="E336" s="13">
        <v>137.30999800000001</v>
      </c>
      <c r="F336" s="13">
        <v>138.46000699999999</v>
      </c>
      <c r="G336" s="13">
        <v>131.748154</v>
      </c>
      <c r="H336" s="13">
        <v>131.748154</v>
      </c>
      <c r="I336" s="14">
        <f t="shared" si="5"/>
        <v>3.9885155211789591E-3</v>
      </c>
      <c r="J336" s="14">
        <f>IF(COUNT(B336)=0,"",B336-(INTERCEPT('3. Cleaned Data'!$B$4:$B$1041,'3. Cleaned Data'!$H$4:$H$1041)+SLOPE('3. Cleaned Data'!$B$4:$B$1041,'3. Cleaned Data'!$H$4:$H$1041)*H336))</f>
        <v>-1.3828999512510567</v>
      </c>
    </row>
    <row r="337" spans="1:10" x14ac:dyDescent="0.2">
      <c r="A337" s="12">
        <v>42814</v>
      </c>
      <c r="B337" s="13">
        <v>15.697370376</v>
      </c>
      <c r="C337" s="13">
        <v>138.279999</v>
      </c>
      <c r="D337" s="13">
        <v>138.520004</v>
      </c>
      <c r="E337" s="13">
        <v>137.36999499999999</v>
      </c>
      <c r="F337" s="13">
        <v>137.86000100000001</v>
      </c>
      <c r="G337" s="13">
        <v>131.17718500000001</v>
      </c>
      <c r="H337" s="13">
        <v>131.17718500000001</v>
      </c>
      <c r="I337" s="14">
        <f t="shared" si="5"/>
        <v>-4.3337912727035022E-3</v>
      </c>
      <c r="J337" s="14">
        <f>IF(COUNT(B337)=0,"",B337-(INTERCEPT('3. Cleaned Data'!$B$4:$B$1041,'3. Cleaned Data'!$H$4:$H$1041)+SLOPE('3. Cleaned Data'!$B$4:$B$1041,'3. Cleaned Data'!$H$4:$H$1041)*H337))</f>
        <v>-0.44892527758608303</v>
      </c>
    </row>
    <row r="338" spans="1:10" x14ac:dyDescent="0.2">
      <c r="A338" s="12">
        <v>42815</v>
      </c>
      <c r="B338" s="13">
        <v>14.6306517</v>
      </c>
      <c r="C338" s="13">
        <v>138.509995</v>
      </c>
      <c r="D338" s="13">
        <v>138.60000600000001</v>
      </c>
      <c r="E338" s="13">
        <v>133.91999799999999</v>
      </c>
      <c r="F338" s="13">
        <v>133.970001</v>
      </c>
      <c r="G338" s="13">
        <v>127.47575399999999</v>
      </c>
      <c r="H338" s="13">
        <v>127.47575399999999</v>
      </c>
      <c r="I338" s="14">
        <f t="shared" si="5"/>
        <v>-2.821703332023795E-2</v>
      </c>
      <c r="J338" s="14">
        <f>IF(COUNT(B338)=0,"",B338-(INTERCEPT('3. Cleaned Data'!$B$4:$B$1041,'3. Cleaned Data'!$H$4:$H$1041)+SLOPE('3. Cleaned Data'!$B$4:$B$1041,'3. Cleaned Data'!$H$4:$H$1041)*H338))</f>
        <v>-1.0093162210443065</v>
      </c>
    </row>
    <row r="339" spans="1:10" x14ac:dyDescent="0.2">
      <c r="A339" s="12">
        <v>42816</v>
      </c>
      <c r="B339" s="13">
        <v>19.029316439999999</v>
      </c>
      <c r="C339" s="13">
        <v>133.71000699999999</v>
      </c>
      <c r="D339" s="13">
        <v>134.30999800000001</v>
      </c>
      <c r="E339" s="13">
        <v>132.779999</v>
      </c>
      <c r="F339" s="13">
        <v>134</v>
      </c>
      <c r="G339" s="13">
        <v>127.504295</v>
      </c>
      <c r="H339" s="13">
        <v>127.504295</v>
      </c>
      <c r="I339" s="14">
        <f t="shared" si="5"/>
        <v>2.2389355704466318E-4</v>
      </c>
      <c r="J339" s="14">
        <f>IF(COUNT(B339)=0,"",B339-(INTERCEPT('3. Cleaned Data'!$B$4:$B$1041,'3. Cleaned Data'!$H$4:$H$1041)+SLOPE('3. Cleaned Data'!$B$4:$B$1041,'3. Cleaned Data'!$H$4:$H$1041)*H339))</f>
        <v>3.3854443262760299</v>
      </c>
    </row>
    <row r="340" spans="1:10" x14ac:dyDescent="0.2">
      <c r="A340" s="12">
        <v>42817</v>
      </c>
      <c r="B340" s="13">
        <v>15.705048125999999</v>
      </c>
      <c r="C340" s="13">
        <v>134</v>
      </c>
      <c r="D340" s="13">
        <v>135.699997</v>
      </c>
      <c r="E340" s="13">
        <v>133.63999899999999</v>
      </c>
      <c r="F340" s="13">
        <v>134.779999</v>
      </c>
      <c r="G340" s="13">
        <v>128.24648999999999</v>
      </c>
      <c r="H340" s="13">
        <v>128.24648999999999</v>
      </c>
      <c r="I340" s="14">
        <f t="shared" si="5"/>
        <v>5.8209411690797186E-3</v>
      </c>
      <c r="J340" s="14">
        <f>IF(COUNT(B340)=0,"",B340-(INTERCEPT('3. Cleaned Data'!$B$4:$B$1041,'3. Cleaned Data'!$H$4:$H$1041)+SLOPE('3. Cleaned Data'!$B$4:$B$1041,'3. Cleaned Data'!$H$4:$H$1041)*H340))</f>
        <v>-4.0350643618365822E-2</v>
      </c>
    </row>
    <row r="341" spans="1:10" x14ac:dyDescent="0.2">
      <c r="A341" s="12">
        <v>42818</v>
      </c>
      <c r="B341" s="13">
        <v>15.1319395884</v>
      </c>
      <c r="C341" s="13">
        <v>134.949997</v>
      </c>
      <c r="D341" s="13">
        <v>135.470001</v>
      </c>
      <c r="E341" s="13">
        <v>133.86000100000001</v>
      </c>
      <c r="F341" s="13">
        <v>134.490005</v>
      </c>
      <c r="G341" s="13">
        <v>128.33904999999999</v>
      </c>
      <c r="H341" s="13">
        <v>128.33904999999999</v>
      </c>
      <c r="I341" s="14">
        <f t="shared" si="5"/>
        <v>7.2173515236162444E-4</v>
      </c>
      <c r="J341" s="14">
        <f>IF(COUNT(B341)=0,"",B341-(INTERCEPT('3. Cleaned Data'!$B$4:$B$1041,'3. Cleaned Data'!$H$4:$H$1041)+SLOPE('3. Cleaned Data'!$B$4:$B$1041,'3. Cleaned Data'!$H$4:$H$1041)*H341))</f>
        <v>-0.62612068832846823</v>
      </c>
    </row>
    <row r="342" spans="1:10" x14ac:dyDescent="0.2">
      <c r="A342" s="12">
        <v>42821</v>
      </c>
      <c r="B342" s="13">
        <v>16.032240986400002</v>
      </c>
      <c r="C342" s="13">
        <v>132.759995</v>
      </c>
      <c r="D342" s="13">
        <v>135.070007</v>
      </c>
      <c r="E342" s="13">
        <v>132.39999399999999</v>
      </c>
      <c r="F342" s="13">
        <v>134.740005</v>
      </c>
      <c r="G342" s="15">
        <v>128.57763800000001</v>
      </c>
      <c r="H342" s="13">
        <v>128.57763800000001</v>
      </c>
      <c r="I342" s="14">
        <f t="shared" si="5"/>
        <v>1.859044460746917E-3</v>
      </c>
      <c r="J342" s="14">
        <f>IF(COUNT(B342)=0,"",B342-(INTERCEPT('3. Cleaned Data'!$B$4:$B$1041,'3. Cleaned Data'!$H$4:$H$1041)+SLOPE('3. Cleaned Data'!$B$4:$B$1041,'3. Cleaned Data'!$H$4:$H$1041)*H342))</f>
        <v>0.24154367792578668</v>
      </c>
    </row>
    <row r="343" spans="1:10" x14ac:dyDescent="0.2">
      <c r="A343" s="12">
        <v>42822</v>
      </c>
      <c r="B343" s="13">
        <v>16.2153691452</v>
      </c>
      <c r="C343" s="13">
        <v>134.279999</v>
      </c>
      <c r="D343" s="13">
        <v>135.89999399999999</v>
      </c>
      <c r="E343" s="13">
        <v>134.13999899999999</v>
      </c>
      <c r="F343" s="13">
        <v>135.78999300000001</v>
      </c>
      <c r="G343" s="13">
        <v>129.57960499999999</v>
      </c>
      <c r="H343" s="13">
        <v>129.57960499999999</v>
      </c>
      <c r="I343" s="14">
        <f t="shared" si="5"/>
        <v>7.7927003138755779E-3</v>
      </c>
      <c r="J343" s="14">
        <f>IF(COUNT(B343)=0,"",B343-(INTERCEPT('3. Cleaned Data'!$B$4:$B$1041,'3. Cleaned Data'!$H$4:$H$1041)+SLOPE('3. Cleaned Data'!$B$4:$B$1041,'3. Cleaned Data'!$H$4:$H$1041)*H343))</f>
        <v>0.28761033829675497</v>
      </c>
    </row>
    <row r="344" spans="1:10" x14ac:dyDescent="0.2">
      <c r="A344" s="12">
        <v>42823</v>
      </c>
      <c r="B344" s="13">
        <v>15.265496064000001</v>
      </c>
      <c r="C344" s="13">
        <v>135.699997</v>
      </c>
      <c r="D344" s="13">
        <v>136.490005</v>
      </c>
      <c r="E344" s="13">
        <v>135.300003</v>
      </c>
      <c r="F344" s="13">
        <v>136.229996</v>
      </c>
      <c r="G344" s="13">
        <v>129.999481</v>
      </c>
      <c r="H344" s="13">
        <v>129.999481</v>
      </c>
      <c r="I344" s="14">
        <f t="shared" si="5"/>
        <v>3.240293871863642E-3</v>
      </c>
      <c r="J344" s="14">
        <f>IF(COUNT(B344)=0,"",B344-(INTERCEPT('3. Cleaned Data'!$B$4:$B$1041,'3. Cleaned Data'!$H$4:$H$1041)+SLOPE('3. Cleaned Data'!$B$4:$B$1041,'3. Cleaned Data'!$H$4:$H$1041)*H344))</f>
        <v>-0.71969860028616495</v>
      </c>
    </row>
    <row r="345" spans="1:10" x14ac:dyDescent="0.2">
      <c r="A345" s="12">
        <v>42824</v>
      </c>
      <c r="B345" s="13">
        <v>16.025476655999999</v>
      </c>
      <c r="C345" s="13">
        <v>136.320007</v>
      </c>
      <c r="D345" s="13">
        <v>137.38000500000001</v>
      </c>
      <c r="E345" s="13">
        <v>136.259995</v>
      </c>
      <c r="F345" s="13">
        <v>137.259995</v>
      </c>
      <c r="G345" s="13">
        <v>130.982361</v>
      </c>
      <c r="H345" s="13">
        <v>130.982361</v>
      </c>
      <c r="I345" s="14">
        <f t="shared" si="5"/>
        <v>7.5606455690389041E-3</v>
      </c>
      <c r="J345" s="14">
        <f>IF(COUNT(B345)=0,"",B345-(INTERCEPT('3. Cleaned Data'!$B$4:$B$1041,'3. Cleaned Data'!$H$4:$H$1041)+SLOPE('3. Cleaned Data'!$B$4:$B$1041,'3. Cleaned Data'!$H$4:$H$1041)*H345))</f>
        <v>-9.416854964723953E-2</v>
      </c>
    </row>
    <row r="346" spans="1:10" x14ac:dyDescent="0.2">
      <c r="A346" s="12">
        <v>42825</v>
      </c>
      <c r="B346" s="13">
        <v>15.690013646400001</v>
      </c>
      <c r="C346" s="13">
        <v>137.41999799999999</v>
      </c>
      <c r="D346" s="13">
        <v>138.16999799999999</v>
      </c>
      <c r="E346" s="13">
        <v>136.94000199999999</v>
      </c>
      <c r="F346" s="13">
        <v>137.479996</v>
      </c>
      <c r="G346" s="13">
        <v>131.192307</v>
      </c>
      <c r="H346" s="13">
        <v>131.192307</v>
      </c>
      <c r="I346" s="14">
        <f t="shared" si="5"/>
        <v>1.6028570442396806E-3</v>
      </c>
      <c r="J346" s="14">
        <f>IF(COUNT(B346)=0,"",B346-(INTERCEPT('3. Cleaned Data'!$B$4:$B$1041,'3. Cleaned Data'!$H$4:$H$1041)+SLOPE('3. Cleaned Data'!$B$4:$B$1041,'3. Cleaned Data'!$H$4:$H$1041)*H346))</f>
        <v>-0.45835058227811842</v>
      </c>
    </row>
    <row r="347" spans="1:10" x14ac:dyDescent="0.2">
      <c r="A347" s="12">
        <v>42828</v>
      </c>
      <c r="B347" s="13">
        <v>15.059743768800001</v>
      </c>
      <c r="C347" s="13">
        <v>137.970001</v>
      </c>
      <c r="D347" s="13">
        <v>138.10000600000001</v>
      </c>
      <c r="E347" s="13">
        <v>135.60000600000001</v>
      </c>
      <c r="F347" s="13">
        <v>136.029999</v>
      </c>
      <c r="G347" s="13">
        <v>129.80864</v>
      </c>
      <c r="H347" s="13">
        <v>129.80864</v>
      </c>
      <c r="I347" s="14">
        <f t="shared" si="5"/>
        <v>-1.0546860800305979E-2</v>
      </c>
      <c r="J347" s="14">
        <f>IF(COUNT(B347)=0,"",B347-(INTERCEPT('3. Cleaned Data'!$B$4:$B$1041,'3. Cleaned Data'!$H$4:$H$1041)+SLOPE('3. Cleaned Data'!$B$4:$B$1041,'3. Cleaned Data'!$H$4:$H$1041)*H347))</f>
        <v>-0.89934529178694689</v>
      </c>
    </row>
    <row r="348" spans="1:10" x14ac:dyDescent="0.2">
      <c r="A348" s="12">
        <v>42829</v>
      </c>
      <c r="B348" s="13">
        <v>15.673821552</v>
      </c>
      <c r="C348" s="13">
        <v>135.929993</v>
      </c>
      <c r="D348" s="13">
        <v>136.550003</v>
      </c>
      <c r="E348" s="13">
        <v>135.35000600000001</v>
      </c>
      <c r="F348" s="13">
        <v>135.86999499999999</v>
      </c>
      <c r="G348" s="13">
        <v>129.65595999999999</v>
      </c>
      <c r="H348" s="13">
        <v>129.65595999999999</v>
      </c>
      <c r="I348" s="14">
        <f t="shared" si="5"/>
        <v>-1.1761928944020728E-3</v>
      </c>
      <c r="J348" s="14">
        <f>IF(COUNT(B348)=0,"",B348-(INTERCEPT('3. Cleaned Data'!$B$4:$B$1041,'3. Cleaned Data'!$H$4:$H$1041)+SLOPE('3. Cleaned Data'!$B$4:$B$1041,'3. Cleaned Data'!$H$4:$H$1041)*H348))</f>
        <v>-0.26438204072209004</v>
      </c>
    </row>
    <row r="349" spans="1:10" x14ac:dyDescent="0.2">
      <c r="A349" s="12">
        <v>42830</v>
      </c>
      <c r="B349" s="13">
        <v>15.241929729600001</v>
      </c>
      <c r="C349" s="13">
        <v>136.83000200000001</v>
      </c>
      <c r="D349" s="13">
        <v>137.429993</v>
      </c>
      <c r="E349" s="13">
        <v>134.08000200000001</v>
      </c>
      <c r="F349" s="13">
        <v>134.33000200000001</v>
      </c>
      <c r="G349" s="13">
        <v>128.186386</v>
      </c>
      <c r="H349" s="13">
        <v>128.186386</v>
      </c>
      <c r="I349" s="14">
        <f t="shared" si="5"/>
        <v>-1.1334411468628125E-2</v>
      </c>
      <c r="J349" s="14">
        <f>IF(COUNT(B349)=0,"",B349-(INTERCEPT('3. Cleaned Data'!$B$4:$B$1041,'3. Cleaned Data'!$H$4:$H$1041)+SLOPE('3. Cleaned Data'!$B$4:$B$1041,'3. Cleaned Data'!$H$4:$H$1041)*H349))</f>
        <v>-0.49524726794245844</v>
      </c>
    </row>
    <row r="350" spans="1:10" x14ac:dyDescent="0.2">
      <c r="A350" s="12">
        <v>42831</v>
      </c>
      <c r="B350" s="13">
        <v>15.990194016</v>
      </c>
      <c r="C350" s="13">
        <v>134.53999300000001</v>
      </c>
      <c r="D350" s="13">
        <v>135.63000500000001</v>
      </c>
      <c r="E350" s="13">
        <v>133.83000200000001</v>
      </c>
      <c r="F350" s="13">
        <v>135.58000200000001</v>
      </c>
      <c r="G350" s="13">
        <v>129.379242</v>
      </c>
      <c r="H350" s="13">
        <v>129.379242</v>
      </c>
      <c r="I350" s="14">
        <f t="shared" si="5"/>
        <v>9.305637183655513E-3</v>
      </c>
      <c r="J350" s="14">
        <f>IF(COUNT(B350)=0,"",B350-(INTERCEPT('3. Cleaned Data'!$B$4:$B$1041,'3. Cleaned Data'!$H$4:$H$1041)+SLOPE('3. Cleaned Data'!$B$4:$B$1041,'3. Cleaned Data'!$H$4:$H$1041)*H350))</f>
        <v>8.9843350292756696E-2</v>
      </c>
    </row>
    <row r="351" spans="1:10" x14ac:dyDescent="0.2">
      <c r="A351" s="12">
        <v>42832</v>
      </c>
      <c r="B351" s="13">
        <v>14.845123814400001</v>
      </c>
      <c r="C351" s="13">
        <v>135.21000699999999</v>
      </c>
      <c r="D351" s="13">
        <v>136.029999</v>
      </c>
      <c r="E351" s="13">
        <v>134.75</v>
      </c>
      <c r="F351" s="13">
        <v>135.520004</v>
      </c>
      <c r="G351" s="13">
        <v>129.32195999999999</v>
      </c>
      <c r="H351" s="13">
        <v>129.32195999999999</v>
      </c>
      <c r="I351" s="14">
        <f t="shared" si="5"/>
        <v>-4.4274490339046846E-4</v>
      </c>
      <c r="J351" s="14">
        <f>IF(COUNT(B351)=0,"",B351-(INTERCEPT('3. Cleaned Data'!$B$4:$B$1041,'3. Cleaned Data'!$H$4:$H$1041)+SLOPE('3. Cleaned Data'!$B$4:$B$1041,'3. Cleaned Data'!$H$4:$H$1041)*H351))</f>
        <v>-1.0473911074623743</v>
      </c>
    </row>
    <row r="352" spans="1:10" x14ac:dyDescent="0.2">
      <c r="A352" s="12">
        <v>42835</v>
      </c>
      <c r="B352" s="13">
        <v>15.6187655856</v>
      </c>
      <c r="C352" s="13">
        <v>135.470001</v>
      </c>
      <c r="D352" s="13">
        <v>136.85000600000001</v>
      </c>
      <c r="E352" s="13">
        <v>135.16000399999999</v>
      </c>
      <c r="F352" s="13">
        <v>135.820007</v>
      </c>
      <c r="G352" s="13">
        <v>129.60824600000001</v>
      </c>
      <c r="H352" s="13">
        <v>129.60824600000001</v>
      </c>
      <c r="I352" s="14">
        <f t="shared" si="5"/>
        <v>2.2137462191265111E-3</v>
      </c>
      <c r="J352" s="14">
        <f>IF(COUNT(B352)=0,"",B352-(INTERCEPT('3. Cleaned Data'!$B$4:$B$1041,'3. Cleaned Data'!$H$4:$H$1041)+SLOPE('3. Cleaned Data'!$B$4:$B$1041,'3. Cleaned Data'!$H$4:$H$1041)*H352))</f>
        <v>-0.31291109322568467</v>
      </c>
    </row>
    <row r="353" spans="1:10" x14ac:dyDescent="0.2">
      <c r="A353" s="12">
        <v>42836</v>
      </c>
      <c r="B353" s="13">
        <v>16.266908447999999</v>
      </c>
      <c r="C353" s="13">
        <v>135.270004</v>
      </c>
      <c r="D353" s="13">
        <v>136.91999799999999</v>
      </c>
      <c r="E353" s="13">
        <v>135.08000200000001</v>
      </c>
      <c r="F353" s="13">
        <v>136.89999399999999</v>
      </c>
      <c r="G353" s="13">
        <v>130.63883999999999</v>
      </c>
      <c r="H353" s="13">
        <v>130.63883999999999</v>
      </c>
      <c r="I353" s="14">
        <f t="shared" si="5"/>
        <v>7.9516082641839514E-3</v>
      </c>
      <c r="J353" s="14">
        <f>IF(COUNT(B353)=0,"",B353-(INTERCEPT('3. Cleaned Data'!$B$4:$B$1041,'3. Cleaned Data'!$H$4:$H$1041)+SLOPE('3. Cleaned Data'!$B$4:$B$1041,'3. Cleaned Data'!$H$4:$H$1041)*H353))</f>
        <v>0.19425431391683645</v>
      </c>
    </row>
    <row r="354" spans="1:10" x14ac:dyDescent="0.2">
      <c r="A354" s="12">
        <v>42837</v>
      </c>
      <c r="B354" s="13">
        <v>15.0308605056</v>
      </c>
      <c r="C354" s="13">
        <v>136.63999899999999</v>
      </c>
      <c r="D354" s="13">
        <v>136.699997</v>
      </c>
      <c r="E354" s="13">
        <v>134.91999799999999</v>
      </c>
      <c r="F354" s="13">
        <v>135.03999300000001</v>
      </c>
      <c r="G354" s="13">
        <v>128.863922</v>
      </c>
      <c r="H354" s="13">
        <v>128.863922</v>
      </c>
      <c r="I354" s="14">
        <f t="shared" si="5"/>
        <v>-1.3586449481639451E-2</v>
      </c>
      <c r="J354" s="14">
        <f>IF(COUNT(B354)=0,"",B354-(INTERCEPT('3. Cleaned Data'!$B$4:$B$1041,'3. Cleaned Data'!$H$4:$H$1041)+SLOPE('3. Cleaned Data'!$B$4:$B$1041,'3. Cleaned Data'!$H$4:$H$1041)*H354))</f>
        <v>-0.79899828625266522</v>
      </c>
    </row>
    <row r="355" spans="1:10" x14ac:dyDescent="0.2">
      <c r="A355" s="12">
        <v>42838</v>
      </c>
      <c r="B355" s="13">
        <v>16.171534703999999</v>
      </c>
      <c r="C355" s="13">
        <v>134.88000500000001</v>
      </c>
      <c r="D355" s="13">
        <v>135.36999499999999</v>
      </c>
      <c r="E355" s="13">
        <v>133.66000399999999</v>
      </c>
      <c r="F355" s="13">
        <v>133.720001</v>
      </c>
      <c r="G355" s="13">
        <v>127.604294</v>
      </c>
      <c r="H355" s="13">
        <v>127.604294</v>
      </c>
      <c r="I355" s="14">
        <f t="shared" si="5"/>
        <v>-9.7748693385260044E-3</v>
      </c>
      <c r="J355" s="14">
        <f>IF(COUNT(B355)=0,"",B355-(INTERCEPT('3. Cleaned Data'!$B$4:$B$1041,'3. Cleaned Data'!$H$4:$H$1041)+SLOPE('3. Cleaned Data'!$B$4:$B$1041,'3. Cleaned Data'!$H$4:$H$1041)*H355))</f>
        <v>0.51398348429608731</v>
      </c>
    </row>
    <row r="356" spans="1:10" x14ac:dyDescent="0.2">
      <c r="A356" s="12">
        <v>42842</v>
      </c>
      <c r="B356" s="13">
        <v>14.960275176</v>
      </c>
      <c r="C356" s="13">
        <v>134.070007</v>
      </c>
      <c r="D356" s="13">
        <v>135.320007</v>
      </c>
      <c r="E356" s="13">
        <v>133.679993</v>
      </c>
      <c r="F356" s="13">
        <v>135.28999300000001</v>
      </c>
      <c r="G356" s="13">
        <v>129.10244800000001</v>
      </c>
      <c r="H356" s="13">
        <v>129.10244800000001</v>
      </c>
      <c r="I356" s="14">
        <f t="shared" si="5"/>
        <v>1.1740623712866771E-2</v>
      </c>
      <c r="J356" s="14">
        <f>IF(COUNT(B356)=0,"",B356-(INTERCEPT('3. Cleaned Data'!$B$4:$B$1041,'3. Cleaned Data'!$H$4:$H$1041)+SLOPE('3. Cleaned Data'!$B$4:$B$1041,'3. Cleaned Data'!$H$4:$H$1041)*H356))</f>
        <v>-0.9022121664678906</v>
      </c>
    </row>
    <row r="357" spans="1:10" x14ac:dyDescent="0.2">
      <c r="A357" s="12">
        <v>42843</v>
      </c>
      <c r="B357" s="13">
        <v>16.497771191999998</v>
      </c>
      <c r="C357" s="13">
        <v>134.720001</v>
      </c>
      <c r="D357" s="13">
        <v>135.46000699999999</v>
      </c>
      <c r="E357" s="13">
        <v>134.16000399999999</v>
      </c>
      <c r="F357" s="13">
        <v>135.320007</v>
      </c>
      <c r="G357" s="13">
        <v>129.13110399999999</v>
      </c>
      <c r="H357" s="13">
        <v>129.13110399999999</v>
      </c>
      <c r="I357" s="14">
        <f t="shared" si="5"/>
        <v>2.2196325820234009E-4</v>
      </c>
      <c r="J357" s="14">
        <f>IF(COUNT(B357)=0,"",B357-(INTERCEPT('3. Cleaned Data'!$B$4:$B$1041,'3. Cleaned Data'!$H$4:$H$1041)+SLOPE('3. Cleaned Data'!$B$4:$B$1041,'3. Cleaned Data'!$H$4:$H$1041)*H357))</f>
        <v>0.63136392572326017</v>
      </c>
    </row>
    <row r="358" spans="1:10" x14ac:dyDescent="0.2">
      <c r="A358" s="12">
        <v>42844</v>
      </c>
      <c r="B358" s="13">
        <v>16.703371061999999</v>
      </c>
      <c r="C358" s="13">
        <v>135.69000199999999</v>
      </c>
      <c r="D358" s="13">
        <v>136.96000699999999</v>
      </c>
      <c r="E358" s="13">
        <v>135.53999300000001</v>
      </c>
      <c r="F358" s="13">
        <v>135.78999300000001</v>
      </c>
      <c r="G358" s="13">
        <v>129.57960499999999</v>
      </c>
      <c r="H358" s="13">
        <v>129.57960499999999</v>
      </c>
      <c r="I358" s="14">
        <f t="shared" si="5"/>
        <v>3.4732220673958647E-3</v>
      </c>
      <c r="J358" s="14">
        <f>IF(COUNT(B358)=0,"",B358-(INTERCEPT('3. Cleaned Data'!$B$4:$B$1041,'3. Cleaned Data'!$H$4:$H$1041)+SLOPE('3. Cleaned Data'!$B$4:$B$1041,'3. Cleaned Data'!$H$4:$H$1041)*H358))</f>
        <v>0.77561225509675324</v>
      </c>
    </row>
    <row r="359" spans="1:10" x14ac:dyDescent="0.2">
      <c r="A359" s="12">
        <v>42845</v>
      </c>
      <c r="B359" s="13">
        <v>16.062566520000001</v>
      </c>
      <c r="C359" s="13">
        <v>136.33999600000001</v>
      </c>
      <c r="D359" s="13">
        <v>137.66999799999999</v>
      </c>
      <c r="E359" s="13">
        <v>136.14999399999999</v>
      </c>
      <c r="F359" s="13">
        <v>137.520004</v>
      </c>
      <c r="G359" s="13">
        <v>131.23048399999999</v>
      </c>
      <c r="H359" s="13">
        <v>131.23048399999999</v>
      </c>
      <c r="I359" s="14">
        <f t="shared" si="5"/>
        <v>1.2740268810049304E-2</v>
      </c>
      <c r="J359" s="14">
        <f>IF(COUNT(B359)=0,"",B359-(INTERCEPT('3. Cleaned Data'!$B$4:$B$1041,'3. Cleaned Data'!$H$4:$H$1041)+SLOPE('3. Cleaned Data'!$B$4:$B$1041,'3. Cleaned Data'!$H$4:$H$1041)*H359))</f>
        <v>-9.1020033191327343E-2</v>
      </c>
    </row>
    <row r="360" spans="1:10" x14ac:dyDescent="0.2">
      <c r="A360" s="12">
        <v>42846</v>
      </c>
      <c r="B360" s="13">
        <v>16.467919257599998</v>
      </c>
      <c r="C360" s="13">
        <v>137.240005</v>
      </c>
      <c r="D360" s="13">
        <v>137.550003</v>
      </c>
      <c r="E360" s="13">
        <v>136.71000699999999</v>
      </c>
      <c r="F360" s="13">
        <v>137.21000699999999</v>
      </c>
      <c r="G360" s="13">
        <v>130.93469200000001</v>
      </c>
      <c r="H360" s="13">
        <v>130.93469200000001</v>
      </c>
      <c r="I360" s="14">
        <f t="shared" si="5"/>
        <v>-2.2539884863944648E-3</v>
      </c>
      <c r="J360" s="14">
        <f>IF(COUNT(B360)=0,"",B360-(INTERCEPT('3. Cleaned Data'!$B$4:$B$1041,'3. Cleaned Data'!$H$4:$H$1041)+SLOPE('3. Cleaned Data'!$B$4:$B$1041,'3. Cleaned Data'!$H$4:$H$1041)*H360))</f>
        <v>0.35479481018991876</v>
      </c>
    </row>
    <row r="361" spans="1:10" x14ac:dyDescent="0.2">
      <c r="A361" s="12">
        <v>42849</v>
      </c>
      <c r="B361" s="13">
        <v>16.463242598400001</v>
      </c>
      <c r="C361" s="13">
        <v>139.08000200000001</v>
      </c>
      <c r="D361" s="13">
        <v>139.33999600000001</v>
      </c>
      <c r="E361" s="13">
        <v>138.490005</v>
      </c>
      <c r="F361" s="13">
        <v>138.91999799999999</v>
      </c>
      <c r="G361" s="13">
        <v>132.56643700000001</v>
      </c>
      <c r="H361" s="13">
        <v>132.56643700000001</v>
      </c>
      <c r="I361" s="14">
        <f t="shared" si="5"/>
        <v>1.2462281577750201E-2</v>
      </c>
      <c r="J361" s="14">
        <f>IF(COUNT(B361)=0,"",B361-(INTERCEPT('3. Cleaned Data'!$B$4:$B$1041,'3. Cleaned Data'!$H$4:$H$1041)+SLOPE('3. Cleaned Data'!$B$4:$B$1041,'3. Cleaned Data'!$H$4:$H$1041)*H361))</f>
        <v>0.12690779101390604</v>
      </c>
    </row>
    <row r="362" spans="1:10" x14ac:dyDescent="0.2">
      <c r="A362" s="12">
        <v>42850</v>
      </c>
      <c r="B362" s="13">
        <v>16.720203401999999</v>
      </c>
      <c r="C362" s="13">
        <v>140.240005</v>
      </c>
      <c r="D362" s="13">
        <v>140.88000500000001</v>
      </c>
      <c r="E362" s="13">
        <v>140.08999600000001</v>
      </c>
      <c r="F362" s="13">
        <v>140.270004</v>
      </c>
      <c r="G362" s="13">
        <v>133.85472100000001</v>
      </c>
      <c r="H362" s="13">
        <v>133.85472100000001</v>
      </c>
      <c r="I362" s="14">
        <f t="shared" si="5"/>
        <v>9.7180253852640064E-3</v>
      </c>
      <c r="J362" s="14">
        <f>IF(COUNT(B362)=0,"",B362-(INTERCEPT('3. Cleaned Data'!$B$4:$B$1041,'3. Cleaned Data'!$H$4:$H$1041)+SLOPE('3. Cleaned Data'!$B$4:$B$1041,'3. Cleaned Data'!$H$4:$H$1041)*H362))</f>
        <v>0.20764109865630331</v>
      </c>
    </row>
    <row r="363" spans="1:10" x14ac:dyDescent="0.2">
      <c r="A363" s="12">
        <v>42851</v>
      </c>
      <c r="B363" s="13">
        <v>16.175768928</v>
      </c>
      <c r="C363" s="13">
        <v>140.16999799999999</v>
      </c>
      <c r="D363" s="13">
        <v>141.820007</v>
      </c>
      <c r="E363" s="13">
        <v>140.13000500000001</v>
      </c>
      <c r="F363" s="13">
        <v>140.990005</v>
      </c>
      <c r="G363" s="13">
        <v>134.54182399999999</v>
      </c>
      <c r="H363" s="13">
        <v>134.54182399999999</v>
      </c>
      <c r="I363" s="14">
        <f t="shared" si="5"/>
        <v>5.1331995977936806E-3</v>
      </c>
      <c r="J363" s="14">
        <f>IF(COUNT(B363)=0,"",B363-(INTERCEPT('3. Cleaned Data'!$B$4:$B$1041,'3. Cleaned Data'!$H$4:$H$1041)+SLOPE('3. Cleaned Data'!$B$4:$B$1041,'3. Cleaned Data'!$H$4:$H$1041)*H363))</f>
        <v>-0.43078386280993186</v>
      </c>
    </row>
    <row r="364" spans="1:10" x14ac:dyDescent="0.2">
      <c r="A364" s="12">
        <v>42852</v>
      </c>
      <c r="B364" s="13">
        <v>16.2529983216</v>
      </c>
      <c r="C364" s="13">
        <v>141.33999600000001</v>
      </c>
      <c r="D364" s="13">
        <v>141.800003</v>
      </c>
      <c r="E364" s="13">
        <v>140.479996</v>
      </c>
      <c r="F364" s="13">
        <v>140.949997</v>
      </c>
      <c r="G364" s="13">
        <v>134.50361599999999</v>
      </c>
      <c r="H364" s="13">
        <v>134.50361599999999</v>
      </c>
      <c r="I364" s="14">
        <f t="shared" si="5"/>
        <v>-2.8398604139634465E-4</v>
      </c>
      <c r="J364" s="14">
        <f>IF(COUNT(B364)=0,"",B364-(INTERCEPT('3. Cleaned Data'!$B$4:$B$1041,'3. Cleaned Data'!$H$4:$H$1041)+SLOPE('3. Cleaned Data'!$B$4:$B$1041,'3. Cleaned Data'!$H$4:$H$1041)*H364))</f>
        <v>-0.34832790413146597</v>
      </c>
    </row>
    <row r="365" spans="1:10" x14ac:dyDescent="0.2">
      <c r="A365" s="12">
        <v>42853</v>
      </c>
      <c r="B365" s="13">
        <v>15.9941946024</v>
      </c>
      <c r="C365" s="13">
        <v>141.029999</v>
      </c>
      <c r="D365" s="13">
        <v>141.16999799999999</v>
      </c>
      <c r="E365" s="13">
        <v>139.03999300000001</v>
      </c>
      <c r="F365" s="13">
        <v>139.05999800000001</v>
      </c>
      <c r="G365" s="13">
        <v>132.70002700000001</v>
      </c>
      <c r="H365" s="13">
        <v>132.70002700000001</v>
      </c>
      <c r="I365" s="14">
        <f t="shared" si="5"/>
        <v>-1.3409223139398629E-2</v>
      </c>
      <c r="J365" s="14">
        <f>IF(COUNT(B365)=0,"",B365-(INTERCEPT('3. Cleaned Data'!$B$4:$B$1041,'3. Cleaned Data'!$H$4:$H$1041)+SLOPE('3. Cleaned Data'!$B$4:$B$1041,'3. Cleaned Data'!$H$4:$H$1041)*H365))</f>
        <v>-0.36041430540570119</v>
      </c>
    </row>
    <row r="366" spans="1:10" x14ac:dyDescent="0.2">
      <c r="A366" s="12">
        <v>42856</v>
      </c>
      <c r="B366" s="13">
        <v>15.814072319999999</v>
      </c>
      <c r="C366" s="13">
        <v>139.63999899999999</v>
      </c>
      <c r="D366" s="13">
        <v>140.28999300000001</v>
      </c>
      <c r="E366" s="13">
        <v>138.779999</v>
      </c>
      <c r="F366" s="13">
        <v>139.86000100000001</v>
      </c>
      <c r="G366" s="13">
        <v>133.46343999999999</v>
      </c>
      <c r="H366" s="13">
        <v>133.46343999999999</v>
      </c>
      <c r="I366" s="14">
        <f t="shared" si="5"/>
        <v>5.7529227179433651E-3</v>
      </c>
      <c r="J366" s="14">
        <f>IF(COUNT(B366)=0,"",B366-(INTERCEPT('3. Cleaned Data'!$B$4:$B$1041,'3. Cleaned Data'!$H$4:$H$1041)+SLOPE('3. Cleaned Data'!$B$4:$B$1041,'3. Cleaned Data'!$H$4:$H$1041)*H366))</f>
        <v>-0.64496570543153631</v>
      </c>
    </row>
    <row r="367" spans="1:10" x14ac:dyDescent="0.2">
      <c r="A367" s="12">
        <v>42857</v>
      </c>
      <c r="B367" s="13">
        <v>15.438509136</v>
      </c>
      <c r="C367" s="13">
        <v>139.979996</v>
      </c>
      <c r="D367" s="13">
        <v>140.33999600000001</v>
      </c>
      <c r="E367" s="13">
        <v>138.69000199999999</v>
      </c>
      <c r="F367" s="13">
        <v>139.14999399999999</v>
      </c>
      <c r="G367" s="13">
        <v>132.785934</v>
      </c>
      <c r="H367" s="13">
        <v>132.785934</v>
      </c>
      <c r="I367" s="14">
        <f t="shared" si="5"/>
        <v>-5.0763415059584815E-3</v>
      </c>
      <c r="J367" s="14">
        <f>IF(COUNT(B367)=0,"",B367-(INTERCEPT('3. Cleaned Data'!$B$4:$B$1041,'3. Cleaned Data'!$H$4:$H$1041)+SLOPE('3. Cleaned Data'!$B$4:$B$1041,'3. Cleaned Data'!$H$4:$H$1041)*H367))</f>
        <v>-0.92785119889416023</v>
      </c>
    </row>
    <row r="368" spans="1:10" x14ac:dyDescent="0.2">
      <c r="A368" s="12">
        <v>42858</v>
      </c>
      <c r="B368" s="13">
        <v>15.057095832</v>
      </c>
      <c r="C368" s="13">
        <v>138.490005</v>
      </c>
      <c r="D368" s="13">
        <v>138.759995</v>
      </c>
      <c r="E368" s="13">
        <v>137.69000199999999</v>
      </c>
      <c r="F368" s="13">
        <v>138.28999300000001</v>
      </c>
      <c r="G368" s="13">
        <v>131.96530200000001</v>
      </c>
      <c r="H368" s="13">
        <v>131.96530200000001</v>
      </c>
      <c r="I368" s="14">
        <f t="shared" si="5"/>
        <v>-6.1801124206423141E-3</v>
      </c>
      <c r="J368" s="14">
        <f>IF(COUNT(B368)=0,"",B368-(INTERCEPT('3. Cleaned Data'!$B$4:$B$1041,'3. Cleaned Data'!$H$4:$H$1041)+SLOPE('3. Cleaned Data'!$B$4:$B$1041,'3. Cleaned Data'!$H$4:$H$1041)*H368))</f>
        <v>-1.197008259346406</v>
      </c>
    </row>
    <row r="369" spans="1:10" x14ac:dyDescent="0.2">
      <c r="A369" s="12">
        <v>42859</v>
      </c>
      <c r="B369" s="13">
        <v>16.0011333024</v>
      </c>
      <c r="C369" s="13">
        <v>138.529999</v>
      </c>
      <c r="D369" s="13">
        <v>138.729996</v>
      </c>
      <c r="E369" s="13">
        <v>137.11000100000001</v>
      </c>
      <c r="F369" s="13">
        <v>138.10000600000001</v>
      </c>
      <c r="G369" s="13">
        <v>131.78393600000001</v>
      </c>
      <c r="H369" s="13">
        <v>131.78393600000001</v>
      </c>
      <c r="I369" s="14">
        <f t="shared" si="5"/>
        <v>-1.3743461141020319E-3</v>
      </c>
      <c r="J369" s="14">
        <f>IF(COUNT(B369)=0,"",B369-(INTERCEPT('3. Cleaned Data'!$B$4:$B$1041,'3. Cleaned Data'!$H$4:$H$1041)+SLOPE('3. Cleaned Data'!$B$4:$B$1041,'3. Cleaned Data'!$H$4:$H$1041)*H369))</f>
        <v>-0.2281612934998698</v>
      </c>
    </row>
    <row r="370" spans="1:10" x14ac:dyDescent="0.2">
      <c r="A370" s="12">
        <v>42860</v>
      </c>
      <c r="B370" s="13">
        <v>15.781768595999999</v>
      </c>
      <c r="C370" s="13">
        <v>138.69000199999999</v>
      </c>
      <c r="D370" s="13">
        <v>138.990005</v>
      </c>
      <c r="E370" s="13">
        <v>137.529999</v>
      </c>
      <c r="F370" s="13">
        <v>138.990005</v>
      </c>
      <c r="G370" s="13">
        <v>132.63324</v>
      </c>
      <c r="H370" s="13">
        <v>132.63324</v>
      </c>
      <c r="I370" s="14">
        <f t="shared" si="5"/>
        <v>6.4446701607090429E-3</v>
      </c>
      <c r="J370" s="14">
        <f>IF(COUNT(B370)=0,"",B370-(INTERCEPT('3. Cleaned Data'!$B$4:$B$1041,'3. Cleaned Data'!$H$4:$H$1041)+SLOPE('3. Cleaned Data'!$B$4:$B$1041,'3. Cleaned Data'!$H$4:$H$1041)*H370))</f>
        <v>-0.56370435593531809</v>
      </c>
    </row>
    <row r="371" spans="1:10" x14ac:dyDescent="0.2">
      <c r="A371" s="12">
        <v>42863</v>
      </c>
      <c r="B371" s="13">
        <v>15.355203634800001</v>
      </c>
      <c r="C371" s="13">
        <v>138.66000399999999</v>
      </c>
      <c r="D371" s="13">
        <v>138.979996</v>
      </c>
      <c r="E371" s="13">
        <v>137.759995</v>
      </c>
      <c r="F371" s="13">
        <v>138.41000399999999</v>
      </c>
      <c r="G371" s="13">
        <v>132.07978800000001</v>
      </c>
      <c r="H371" s="13">
        <v>132.07978800000001</v>
      </c>
      <c r="I371" s="14">
        <f t="shared" si="5"/>
        <v>-4.1728001215983745E-3</v>
      </c>
      <c r="J371" s="14">
        <f>IF(COUNT(B371)=0,"",B371-(INTERCEPT('3. Cleaned Data'!$B$4:$B$1041,'3. Cleaned Data'!$H$4:$H$1041)+SLOPE('3. Cleaned Data'!$B$4:$B$1041,'3. Cleaned Data'!$H$4:$H$1041)*H371))</f>
        <v>-0.91456127442677904</v>
      </c>
    </row>
    <row r="372" spans="1:10" x14ac:dyDescent="0.2">
      <c r="A372" s="12">
        <v>42864</v>
      </c>
      <c r="B372" s="13">
        <v>16.3763741856</v>
      </c>
      <c r="C372" s="13">
        <v>138.58999600000001</v>
      </c>
      <c r="D372" s="13">
        <v>138.83000200000001</v>
      </c>
      <c r="E372" s="13">
        <v>137.779999</v>
      </c>
      <c r="F372" s="13">
        <v>138.35000600000001</v>
      </c>
      <c r="G372" s="13">
        <v>132.02255199999999</v>
      </c>
      <c r="H372" s="13">
        <v>132.02255199999999</v>
      </c>
      <c r="I372" s="14">
        <f t="shared" si="5"/>
        <v>-4.333441237808211E-4</v>
      </c>
      <c r="J372" s="14">
        <f>IF(COUNT(B372)=0,"",B372-(INTERCEPT('3. Cleaned Data'!$B$4:$B$1041,'3. Cleaned Data'!$H$4:$H$1041)+SLOPE('3. Cleaned Data'!$B$4:$B$1041,'3. Cleaned Data'!$H$4:$H$1041)*H372))</f>
        <v>0.11443872776641584</v>
      </c>
    </row>
    <row r="373" spans="1:10" x14ac:dyDescent="0.2">
      <c r="A373" s="12">
        <v>42865</v>
      </c>
      <c r="B373" s="13">
        <v>15.075591989999999</v>
      </c>
      <c r="C373" s="13">
        <v>138.03999300000001</v>
      </c>
      <c r="D373" s="13">
        <v>139.479996</v>
      </c>
      <c r="E373" s="13">
        <v>137.86000100000001</v>
      </c>
      <c r="F373" s="13">
        <v>139.21000699999999</v>
      </c>
      <c r="G373" s="13">
        <v>132.84316999999999</v>
      </c>
      <c r="H373" s="13">
        <v>132.84316999999999</v>
      </c>
      <c r="I373" s="14">
        <f t="shared" si="5"/>
        <v>6.2157410803571622E-3</v>
      </c>
      <c r="J373" s="14">
        <f>IF(COUNT(B373)=0,"",B373-(INTERCEPT('3. Cleaned Data'!$B$4:$B$1041,'3. Cleaned Data'!$H$4:$H$1041)+SLOPE('3. Cleaned Data'!$B$4:$B$1041,'3. Cleaned Data'!$H$4:$H$1041)*H373))</f>
        <v>-1.2985977962873534</v>
      </c>
    </row>
    <row r="374" spans="1:10" x14ac:dyDescent="0.2">
      <c r="A374" s="12">
        <v>42866</v>
      </c>
      <c r="B374" s="13">
        <v>16.192261605599999</v>
      </c>
      <c r="C374" s="13">
        <v>138.66999799999999</v>
      </c>
      <c r="D374" s="13">
        <v>138.83000200000001</v>
      </c>
      <c r="E374" s="13">
        <v>136.979996</v>
      </c>
      <c r="F374" s="13">
        <v>138.240005</v>
      </c>
      <c r="G374" s="13">
        <v>131.91755699999999</v>
      </c>
      <c r="H374" s="13">
        <v>131.91755699999999</v>
      </c>
      <c r="I374" s="14">
        <f t="shared" si="5"/>
        <v>-6.9677123784384065E-3</v>
      </c>
      <c r="J374" s="14">
        <f>IF(COUNT(B374)=0,"",B374-(INTERCEPT('3. Cleaned Data'!$B$4:$B$1041,'3. Cleaned Data'!$H$4:$H$1041)+SLOPE('3. Cleaned Data'!$B$4:$B$1041,'3. Cleaned Data'!$H$4:$H$1041)*H374))</f>
        <v>-5.5311331284734422E-2</v>
      </c>
    </row>
    <row r="375" spans="1:10" x14ac:dyDescent="0.2">
      <c r="A375" s="12">
        <v>42867</v>
      </c>
      <c r="B375" s="13">
        <v>16.064355215999999</v>
      </c>
      <c r="C375" s="13">
        <v>137.71000699999999</v>
      </c>
      <c r="D375" s="13">
        <v>137.88999899999999</v>
      </c>
      <c r="E375" s="13">
        <v>137.16000399999999</v>
      </c>
      <c r="F375" s="13">
        <v>137.509995</v>
      </c>
      <c r="G375" s="13">
        <v>131.220947</v>
      </c>
      <c r="H375" s="13">
        <v>131.220947</v>
      </c>
      <c r="I375" s="14">
        <f t="shared" si="5"/>
        <v>-5.2806466086996462E-3</v>
      </c>
      <c r="J375" s="14">
        <f>IF(COUNT(B375)=0,"",B375-(INTERCEPT('3. Cleaned Data'!$B$4:$B$1041,'3. Cleaned Data'!$H$4:$H$1041)+SLOPE('3. Cleaned Data'!$B$4:$B$1041,'3. Cleaned Data'!$H$4:$H$1041)*H375))</f>
        <v>-8.7926747808126038E-2</v>
      </c>
    </row>
    <row r="376" spans="1:10" x14ac:dyDescent="0.2">
      <c r="A376" s="12">
        <v>42870</v>
      </c>
      <c r="B376" s="13">
        <v>15.8126545296</v>
      </c>
      <c r="C376" s="13">
        <v>137.979996</v>
      </c>
      <c r="D376" s="13">
        <v>139.25</v>
      </c>
      <c r="E376" s="13">
        <v>137.979996</v>
      </c>
      <c r="F376" s="13">
        <v>138.58000200000001</v>
      </c>
      <c r="G376" s="13">
        <v>132.24203499999999</v>
      </c>
      <c r="H376" s="13">
        <v>132.24203499999999</v>
      </c>
      <c r="I376" s="14">
        <f t="shared" si="5"/>
        <v>7.7814405652780749E-3</v>
      </c>
      <c r="J376" s="14">
        <f>IF(COUNT(B376)=0,"",B376-(INTERCEPT('3. Cleaned Data'!$B$4:$B$1041,'3. Cleaned Data'!$H$4:$H$1041)+SLOPE('3. Cleaned Data'!$B$4:$B$1041,'3. Cleaned Data'!$H$4:$H$1041)*H376))</f>
        <v>-0.47930454064766437</v>
      </c>
    </row>
    <row r="377" spans="1:10" x14ac:dyDescent="0.2">
      <c r="A377" s="12">
        <v>42871</v>
      </c>
      <c r="B377" s="13">
        <v>16.35588864</v>
      </c>
      <c r="C377" s="13">
        <v>138.970001</v>
      </c>
      <c r="D377" s="13">
        <v>139.03999300000001</v>
      </c>
      <c r="E377" s="13">
        <v>137.61999499999999</v>
      </c>
      <c r="F377" s="13">
        <v>138.63000500000001</v>
      </c>
      <c r="G377" s="13">
        <v>132.28971899999999</v>
      </c>
      <c r="H377" s="13">
        <v>132.28971899999999</v>
      </c>
      <c r="I377" s="14">
        <f t="shared" si="5"/>
        <v>3.605812629849936E-4</v>
      </c>
      <c r="J377" s="14">
        <f>IF(COUNT(B377)=0,"",B377-(INTERCEPT('3. Cleaned Data'!$B$4:$B$1041,'3. Cleaned Data'!$H$4:$H$1041)+SLOPE('3. Cleaned Data'!$B$4:$B$1041,'3. Cleaned Data'!$H$4:$H$1041)*H377))</f>
        <v>5.7406759628754855E-2</v>
      </c>
    </row>
    <row r="378" spans="1:10" x14ac:dyDescent="0.2">
      <c r="A378" s="12">
        <v>42872</v>
      </c>
      <c r="B378" s="13">
        <v>15.68238648</v>
      </c>
      <c r="C378" s="13">
        <v>136.33000200000001</v>
      </c>
      <c r="D378" s="13">
        <v>137.03999300000001</v>
      </c>
      <c r="E378" s="13">
        <v>134.75</v>
      </c>
      <c r="F378" s="13">
        <v>134.88999899999999</v>
      </c>
      <c r="G378" s="13">
        <v>128.72079500000001</v>
      </c>
      <c r="H378" s="13">
        <v>128.72079500000001</v>
      </c>
      <c r="I378" s="14">
        <f t="shared" si="5"/>
        <v>-2.6978090413813494E-2</v>
      </c>
      <c r="J378" s="14">
        <f>IF(COUNT(B378)=0,"",B378-(INTERCEPT('3. Cleaned Data'!$B$4:$B$1041,'3. Cleaned Data'!$H$4:$H$1041)+SLOPE('3. Cleaned Data'!$B$4:$B$1041,'3. Cleaned Data'!$H$4:$H$1041)*H378))</f>
        <v>-0.12789362204985544</v>
      </c>
    </row>
    <row r="379" spans="1:10" x14ac:dyDescent="0.2">
      <c r="A379" s="12">
        <v>42873</v>
      </c>
      <c r="B379" s="13">
        <v>15.8912552004</v>
      </c>
      <c r="C379" s="13">
        <v>134.570007</v>
      </c>
      <c r="D379" s="13">
        <v>135.89999399999999</v>
      </c>
      <c r="E379" s="13">
        <v>134.229996</v>
      </c>
      <c r="F379" s="13">
        <v>135.38000500000001</v>
      </c>
      <c r="G379" s="13">
        <v>129.188354</v>
      </c>
      <c r="H379" s="13">
        <v>129.188354</v>
      </c>
      <c r="I379" s="14">
        <f t="shared" si="5"/>
        <v>3.6323501575639128E-3</v>
      </c>
      <c r="J379" s="14">
        <f>IF(COUNT(B379)=0,"",B379-(INTERCEPT('3. Cleaned Data'!$B$4:$B$1041,'3. Cleaned Data'!$H$4:$H$1041)+SLOPE('3. Cleaned Data'!$B$4:$B$1041,'3. Cleaned Data'!$H$4:$H$1041)*H379))</f>
        <v>1.7016567636076729E-2</v>
      </c>
    </row>
    <row r="380" spans="1:10" x14ac:dyDescent="0.2">
      <c r="A380" s="12">
        <v>42874</v>
      </c>
      <c r="B380" s="13">
        <v>16.373992003200001</v>
      </c>
      <c r="C380" s="13">
        <v>135.63999899999999</v>
      </c>
      <c r="D380" s="13">
        <v>136.759995</v>
      </c>
      <c r="E380" s="13">
        <v>135.41999799999999</v>
      </c>
      <c r="F380" s="13">
        <v>136.029999</v>
      </c>
      <c r="G380" s="13">
        <v>129.80864</v>
      </c>
      <c r="H380" s="13">
        <v>129.80864</v>
      </c>
      <c r="I380" s="14">
        <f t="shared" si="5"/>
        <v>4.8014080278473426E-3</v>
      </c>
      <c r="J380" s="14">
        <f>IF(COUNT(B380)=0,"",B380-(INTERCEPT('3. Cleaned Data'!$B$4:$B$1041,'3. Cleaned Data'!$H$4:$H$1041)+SLOPE('3. Cleaned Data'!$B$4:$B$1041,'3. Cleaned Data'!$H$4:$H$1041)*H380))</f>
        <v>0.41490294261305394</v>
      </c>
    </row>
    <row r="381" spans="1:10" x14ac:dyDescent="0.2">
      <c r="A381" s="12">
        <v>42877</v>
      </c>
      <c r="B381" s="13">
        <v>15.281894100000001</v>
      </c>
      <c r="C381" s="13">
        <v>136.259995</v>
      </c>
      <c r="D381" s="13">
        <v>137.199997</v>
      </c>
      <c r="E381" s="13">
        <v>136.16000399999999</v>
      </c>
      <c r="F381" s="13">
        <v>136.949997</v>
      </c>
      <c r="G381" s="13">
        <v>130.686554</v>
      </c>
      <c r="H381" s="13">
        <v>130.686554</v>
      </c>
      <c r="I381" s="14">
        <f t="shared" si="5"/>
        <v>6.7631399574019646E-3</v>
      </c>
      <c r="J381" s="14">
        <f>IF(COUNT(B381)=0,"",B381-(INTERCEPT('3. Cleaned Data'!$B$4:$B$1041,'3. Cleaned Data'!$H$4:$H$1041)+SLOPE('3. Cleaned Data'!$B$4:$B$1041,'3. Cleaned Data'!$H$4:$H$1041)*H381))</f>
        <v>-0.79728694797957367</v>
      </c>
    </row>
    <row r="382" spans="1:10" x14ac:dyDescent="0.2">
      <c r="A382" s="12">
        <v>42878</v>
      </c>
      <c r="B382" s="13">
        <v>16.064943940799999</v>
      </c>
      <c r="C382" s="13">
        <v>137.28999300000001</v>
      </c>
      <c r="D382" s="13">
        <v>137.69000199999999</v>
      </c>
      <c r="E382" s="13">
        <v>136.35000600000001</v>
      </c>
      <c r="F382" s="13">
        <v>137.39999399999999</v>
      </c>
      <c r="G382" s="13">
        <v>131.11596700000001</v>
      </c>
      <c r="H382" s="13">
        <v>131.11596700000001</v>
      </c>
      <c r="I382" s="14">
        <f t="shared" si="5"/>
        <v>3.2858238805502094E-3</v>
      </c>
      <c r="J382" s="14">
        <f>IF(COUNT(B382)=0,"",B382-(INTERCEPT('3. Cleaned Data'!$B$4:$B$1041,'3. Cleaned Data'!$H$4:$H$1041)+SLOPE('3. Cleaned Data'!$B$4:$B$1041,'3. Cleaned Data'!$H$4:$H$1041)*H382))</f>
        <v>-7.2977553945694495E-2</v>
      </c>
    </row>
    <row r="383" spans="1:10" x14ac:dyDescent="0.2">
      <c r="A383" s="12">
        <v>42879</v>
      </c>
      <c r="B383" s="13">
        <v>15.157490901599999</v>
      </c>
      <c r="C383" s="13">
        <v>137.509995</v>
      </c>
      <c r="D383" s="13">
        <v>138.029999</v>
      </c>
      <c r="E383" s="13">
        <v>136.83000200000001</v>
      </c>
      <c r="F383" s="13">
        <v>137.490005</v>
      </c>
      <c r="G383" s="13">
        <v>131.20185900000001</v>
      </c>
      <c r="H383" s="13">
        <v>131.20185900000001</v>
      </c>
      <c r="I383" s="14">
        <f t="shared" si="5"/>
        <v>6.5508421258875238E-4</v>
      </c>
      <c r="J383" s="14">
        <f>IF(COUNT(B383)=0,"",B383-(INTERCEPT('3. Cleaned Data'!$B$4:$B$1041,'3. Cleaned Data'!$H$4:$H$1041)+SLOPE('3. Cleaned Data'!$B$4:$B$1041,'3. Cleaned Data'!$H$4:$H$1041)*H383))</f>
        <v>-0.99217996834773814</v>
      </c>
    </row>
    <row r="384" spans="1:10" x14ac:dyDescent="0.2">
      <c r="A384" s="12">
        <v>42880</v>
      </c>
      <c r="B384" s="13">
        <v>15.141937417199999</v>
      </c>
      <c r="C384" s="13">
        <v>138.13999899999999</v>
      </c>
      <c r="D384" s="13">
        <v>138.61000100000001</v>
      </c>
      <c r="E384" s="13">
        <v>137.199997</v>
      </c>
      <c r="F384" s="13">
        <v>137.58000200000001</v>
      </c>
      <c r="G384" s="13">
        <v>131.28774999999999</v>
      </c>
      <c r="H384" s="13">
        <v>131.28774999999999</v>
      </c>
      <c r="I384" s="14">
        <f t="shared" si="5"/>
        <v>6.5464773635537377E-4</v>
      </c>
      <c r="J384" s="14">
        <f>IF(COUNT(B384)=0,"",B384-(INTERCEPT('3. Cleaned Data'!$B$4:$B$1041,'3. Cleaned Data'!$H$4:$H$1041)+SLOPE('3. Cleaned Data'!$B$4:$B$1041,'3. Cleaned Data'!$H$4:$H$1041)*H384))</f>
        <v>-1.0194826911573518</v>
      </c>
    </row>
    <row r="385" spans="1:10" x14ac:dyDescent="0.2">
      <c r="A385" s="12">
        <v>42881</v>
      </c>
      <c r="B385" s="13">
        <v>15.752297048399999</v>
      </c>
      <c r="C385" s="13">
        <v>137.38000500000001</v>
      </c>
      <c r="D385" s="13">
        <v>137.78999300000001</v>
      </c>
      <c r="E385" s="13">
        <v>136.779999</v>
      </c>
      <c r="F385" s="13">
        <v>137.53999300000001</v>
      </c>
      <c r="G385" s="13">
        <v>131.24954199999999</v>
      </c>
      <c r="H385" s="13">
        <v>131.24954199999999</v>
      </c>
      <c r="I385" s="14">
        <f t="shared" si="5"/>
        <v>-2.9102486713339371E-4</v>
      </c>
      <c r="J385" s="14">
        <f>IF(COUNT(B385)=0,"",B385-(INTERCEPT('3. Cleaned Data'!$B$4:$B$1041,'3. Cleaned Data'!$H$4:$H$1041)+SLOPE('3. Cleaned Data'!$B$4:$B$1041,'3. Cleaned Data'!$H$4:$H$1041)*H385))</f>
        <v>-0.4038964948788859</v>
      </c>
    </row>
    <row r="386" spans="1:10" x14ac:dyDescent="0.2">
      <c r="A386" s="12">
        <v>42885</v>
      </c>
      <c r="B386" s="13">
        <v>15.8543254584</v>
      </c>
      <c r="C386" s="13">
        <v>137.11999499999999</v>
      </c>
      <c r="D386" s="13">
        <v>137.44000199999999</v>
      </c>
      <c r="E386" s="13">
        <v>136.220001</v>
      </c>
      <c r="F386" s="13">
        <v>136.46000699999999</v>
      </c>
      <c r="G386" s="13">
        <v>130.21899400000001</v>
      </c>
      <c r="H386" s="13">
        <v>130.21899400000001</v>
      </c>
      <c r="I386" s="14">
        <f t="shared" si="5"/>
        <v>-7.8518216848328937E-3</v>
      </c>
      <c r="J386" s="14">
        <f>IF(COUNT(B386)=0,"",B386-(INTERCEPT('3. Cleaned Data'!$B$4:$B$1041,'3. Cleaned Data'!$H$4:$H$1041)+SLOPE('3. Cleaned Data'!$B$4:$B$1041,'3. Cleaned Data'!$H$4:$H$1041)*H386))</f>
        <v>-0.16089692207308026</v>
      </c>
    </row>
    <row r="387" spans="1:10" x14ac:dyDescent="0.2">
      <c r="A387" s="12">
        <v>42886</v>
      </c>
      <c r="B387" s="13">
        <v>16.392291544799999</v>
      </c>
      <c r="C387" s="13">
        <v>136.83999600000001</v>
      </c>
      <c r="D387" s="13">
        <v>136.91999799999999</v>
      </c>
      <c r="E387" s="13">
        <v>134.63999899999999</v>
      </c>
      <c r="F387" s="13">
        <v>136.320007</v>
      </c>
      <c r="G387" s="13">
        <v>130.085373</v>
      </c>
      <c r="H387" s="13">
        <v>130.085373</v>
      </c>
      <c r="I387" s="14">
        <f t="shared" si="5"/>
        <v>-1.026125267101996E-3</v>
      </c>
      <c r="J387" s="14">
        <f>IF(COUNT(B387)=0,"",B387-(INTERCEPT('3. Cleaned Data'!$B$4:$B$1041,'3. Cleaned Data'!$H$4:$H$1041)+SLOPE('3. Cleaned Data'!$B$4:$B$1041,'3. Cleaned Data'!$H$4:$H$1041)*H387))</f>
        <v>0.39534750531178631</v>
      </c>
    </row>
    <row r="388" spans="1:10" x14ac:dyDescent="0.2">
      <c r="A388" s="12">
        <v>42887</v>
      </c>
      <c r="B388" s="13">
        <v>16.217958873600001</v>
      </c>
      <c r="C388" s="13">
        <v>136.720001</v>
      </c>
      <c r="D388" s="13">
        <v>139</v>
      </c>
      <c r="E388" s="13">
        <v>136.270004</v>
      </c>
      <c r="F388" s="13">
        <v>138.949997</v>
      </c>
      <c r="G388" s="13">
        <v>132.59509299999999</v>
      </c>
      <c r="H388" s="13">
        <v>132.59509299999999</v>
      </c>
      <c r="I388" s="14">
        <f t="shared" si="5"/>
        <v>1.9292868537956087E-2</v>
      </c>
      <c r="J388" s="14">
        <f>IF(COUNT(B388)=0,"",B388-(INTERCEPT('3. Cleaned Data'!$B$4:$B$1041,'3. Cleaned Data'!$H$4:$H$1041)+SLOPE('3. Cleaned Data'!$B$4:$B$1041,'3. Cleaned Data'!$H$4:$H$1041)*H388))</f>
        <v>-0.12229585759494199</v>
      </c>
    </row>
    <row r="389" spans="1:10" x14ac:dyDescent="0.2">
      <c r="A389" s="12">
        <v>42888</v>
      </c>
      <c r="B389" s="13">
        <v>16.073994621600001</v>
      </c>
      <c r="C389" s="13">
        <v>139.449997</v>
      </c>
      <c r="D389" s="13">
        <v>141.020004</v>
      </c>
      <c r="E389" s="13">
        <v>139.050003</v>
      </c>
      <c r="F389" s="13">
        <v>139.85000600000001</v>
      </c>
      <c r="G389" s="13">
        <v>133.45391799999999</v>
      </c>
      <c r="H389" s="13">
        <v>133.45391799999999</v>
      </c>
      <c r="I389" s="14">
        <f t="shared" ref="I389:I452" si="6">H389/H388-1</f>
        <v>6.4770496446651116E-3</v>
      </c>
      <c r="J389" s="14">
        <f>IF(COUNT(B389)=0,"",B389-(INTERCEPT('3. Cleaned Data'!$B$4:$B$1041,'3. Cleaned Data'!$H$4:$H$1041)+SLOPE('3. Cleaned Data'!$B$4:$B$1041,'3. Cleaned Data'!$H$4:$H$1041)*H389))</f>
        <v>-0.38374086633475102</v>
      </c>
    </row>
    <row r="390" spans="1:10" x14ac:dyDescent="0.2">
      <c r="A390" s="12">
        <v>42891</v>
      </c>
      <c r="B390" s="13">
        <v>15.325798506</v>
      </c>
      <c r="C390" s="13">
        <v>139.96000699999999</v>
      </c>
      <c r="D390" s="13">
        <v>140.11000100000001</v>
      </c>
      <c r="E390" s="13">
        <v>138.949997</v>
      </c>
      <c r="F390" s="13">
        <v>138.979996</v>
      </c>
      <c r="G390" s="13">
        <v>132.623718</v>
      </c>
      <c r="H390" s="13">
        <v>132.623718</v>
      </c>
      <c r="I390" s="14">
        <f t="shared" si="6"/>
        <v>-6.2208739349263187E-3</v>
      </c>
      <c r="J390" s="14">
        <f>IF(COUNT(B390)=0,"",B390-(INTERCEPT('3. Cleaned Data'!$B$4:$B$1041,'3. Cleaned Data'!$H$4:$H$1041)+SLOPE('3. Cleaned Data'!$B$4:$B$1041,'3. Cleaned Data'!$H$4:$H$1041)*H390))</f>
        <v>-1.0183719084385334</v>
      </c>
    </row>
    <row r="391" spans="1:10" x14ac:dyDescent="0.2">
      <c r="A391" s="12">
        <v>42892</v>
      </c>
      <c r="B391" s="13">
        <v>16.702489228800001</v>
      </c>
      <c r="C391" s="13">
        <v>138.11000100000001</v>
      </c>
      <c r="D391" s="13">
        <v>139.66000399999999</v>
      </c>
      <c r="E391" s="13">
        <v>137.80999800000001</v>
      </c>
      <c r="F391" s="13">
        <v>138.85000600000001</v>
      </c>
      <c r="G391" s="13">
        <v>132.499664</v>
      </c>
      <c r="H391" s="13">
        <v>132.499664</v>
      </c>
      <c r="I391" s="14">
        <f t="shared" si="6"/>
        <v>-9.3538321705022298E-4</v>
      </c>
      <c r="J391" s="14">
        <f>IF(COUNT(B391)=0,"",B391-(INTERCEPT('3. Cleaned Data'!$B$4:$B$1041,'3. Cleaned Data'!$H$4:$H$1041)+SLOPE('3. Cleaned Data'!$B$4:$B$1041,'3. Cleaned Data'!$H$4:$H$1041)*H391))</f>
        <v>0.37528846219030498</v>
      </c>
    </row>
    <row r="392" spans="1:10" x14ac:dyDescent="0.2">
      <c r="A392" s="12">
        <v>42893</v>
      </c>
      <c r="B392" s="13">
        <v>16.351573285200001</v>
      </c>
      <c r="C392" s="13">
        <v>138.86000100000001</v>
      </c>
      <c r="D392" s="13">
        <v>139.529999</v>
      </c>
      <c r="E392" s="13">
        <v>138.490005</v>
      </c>
      <c r="F392" s="13">
        <v>138.979996</v>
      </c>
      <c r="G392" s="13">
        <v>132.623718</v>
      </c>
      <c r="H392" s="13">
        <v>132.623718</v>
      </c>
      <c r="I392" s="14">
        <f t="shared" si="6"/>
        <v>9.3625897798510493E-4</v>
      </c>
      <c r="J392" s="14">
        <f>IF(COUNT(B392)=0,"",B392-(INTERCEPT('3. Cleaned Data'!$B$4:$B$1041,'3. Cleaned Data'!$H$4:$H$1041)+SLOPE('3. Cleaned Data'!$B$4:$B$1041,'3. Cleaned Data'!$H$4:$H$1041)*H392))</f>
        <v>7.402870761467284E-3</v>
      </c>
    </row>
    <row r="393" spans="1:10" x14ac:dyDescent="0.2">
      <c r="A393" s="12">
        <v>42894</v>
      </c>
      <c r="B393" s="13">
        <v>16.109398562399999</v>
      </c>
      <c r="C393" s="13">
        <v>138.979996</v>
      </c>
      <c r="D393" s="13">
        <v>141.46000699999999</v>
      </c>
      <c r="E393" s="13">
        <v>138.740005</v>
      </c>
      <c r="F393" s="13">
        <v>140.88000500000001</v>
      </c>
      <c r="G393" s="13">
        <v>134.43682899999999</v>
      </c>
      <c r="H393" s="13">
        <v>134.43682899999999</v>
      </c>
      <c r="I393" s="14">
        <f t="shared" si="6"/>
        <v>1.3671091621786591E-2</v>
      </c>
      <c r="J393" s="14">
        <f>IF(COUNT(B393)=0,"",B393-(INTERCEPT('3. Cleaned Data'!$B$4:$B$1041,'3. Cleaned Data'!$H$4:$H$1041)+SLOPE('3. Cleaned Data'!$B$4:$B$1041,'3. Cleaned Data'!$H$4:$H$1041)*H393))</f>
        <v>-0.48279170746108235</v>
      </c>
    </row>
    <row r="394" spans="1:10" x14ac:dyDescent="0.2">
      <c r="A394" s="12">
        <v>42895</v>
      </c>
      <c r="B394" s="13">
        <v>16.014175135199999</v>
      </c>
      <c r="C394" s="13">
        <v>141.46000699999999</v>
      </c>
      <c r="D394" s="13">
        <v>142.89999399999999</v>
      </c>
      <c r="E394" s="13">
        <v>140.699997</v>
      </c>
      <c r="F394" s="13">
        <v>141.61000100000001</v>
      </c>
      <c r="G394" s="13">
        <v>135.133408</v>
      </c>
      <c r="H394" s="13">
        <v>135.133408</v>
      </c>
      <c r="I394" s="14">
        <f t="shared" si="6"/>
        <v>5.1814596132730983E-3</v>
      </c>
      <c r="J394" s="14">
        <f>IF(COUNT(B394)=0,"",B394-(INTERCEPT('3. Cleaned Data'!$B$4:$B$1041,'3. Cleaned Data'!$H$4:$H$1041)+SLOPE('3. Cleaned Data'!$B$4:$B$1041,'3. Cleaned Data'!$H$4:$H$1041)*H394))</f>
        <v>-0.67330186717243734</v>
      </c>
    </row>
    <row r="395" spans="1:10" x14ac:dyDescent="0.2">
      <c r="A395" s="12">
        <v>42898</v>
      </c>
      <c r="B395" s="13">
        <v>16.576286459999999</v>
      </c>
      <c r="C395" s="13">
        <v>141.66000399999999</v>
      </c>
      <c r="D395" s="13">
        <v>141.990005</v>
      </c>
      <c r="E395" s="13">
        <v>140.88999899999999</v>
      </c>
      <c r="F395" s="13">
        <v>141.38000500000001</v>
      </c>
      <c r="G395" s="13">
        <v>134.913971</v>
      </c>
      <c r="H395" s="13">
        <v>134.913971</v>
      </c>
      <c r="I395" s="14">
        <f t="shared" si="6"/>
        <v>-1.6238545541602534E-3</v>
      </c>
      <c r="J395" s="14">
        <f>IF(COUNT(B395)=0,"",B395-(INTERCEPT('3. Cleaned Data'!$B$4:$B$1041,'3. Cleaned Data'!$H$4:$H$1041)+SLOPE('3. Cleaned Data'!$B$4:$B$1041,'3. Cleaned Data'!$H$4:$H$1041)*H395))</f>
        <v>-8.1173222410029666E-2</v>
      </c>
    </row>
    <row r="396" spans="1:10" x14ac:dyDescent="0.2">
      <c r="A396" s="12">
        <v>42899</v>
      </c>
      <c r="B396" s="13">
        <v>15.250735433999999</v>
      </c>
      <c r="C396" s="13">
        <v>141.800003</v>
      </c>
      <c r="D396" s="13">
        <v>142.30999800000001</v>
      </c>
      <c r="E396" s="13">
        <v>141.470001</v>
      </c>
      <c r="F396" s="13">
        <v>142.10000600000001</v>
      </c>
      <c r="G396" s="13">
        <v>135.600998</v>
      </c>
      <c r="H396" s="13">
        <v>135.600998</v>
      </c>
      <c r="I396" s="14">
        <f t="shared" si="6"/>
        <v>5.0923339881530083E-3</v>
      </c>
      <c r="J396" s="14">
        <f>IF(COUNT(B396)=0,"",B396-(INTERCEPT('3. Cleaned Data'!$B$4:$B$1041,'3. Cleaned Data'!$H$4:$H$1041)+SLOPE('3. Cleaned Data'!$B$4:$B$1041,'3. Cleaned Data'!$H$4:$H$1041)*H396))</f>
        <v>-1.5007043396517616</v>
      </c>
    </row>
    <row r="397" spans="1:10" x14ac:dyDescent="0.2">
      <c r="A397" s="12">
        <v>42900</v>
      </c>
      <c r="B397" s="13">
        <v>16.657672486799999</v>
      </c>
      <c r="C397" s="13">
        <v>142.029999</v>
      </c>
      <c r="D397" s="13">
        <v>142.03999300000001</v>
      </c>
      <c r="E397" s="13">
        <v>140.449997</v>
      </c>
      <c r="F397" s="13">
        <v>141.259995</v>
      </c>
      <c r="G397" s="13">
        <v>134.799454</v>
      </c>
      <c r="H397" s="13">
        <v>134.799454</v>
      </c>
      <c r="I397" s="14">
        <f t="shared" si="6"/>
        <v>-5.9110479408124306E-3</v>
      </c>
      <c r="J397" s="14">
        <f>IF(COUNT(B397)=0,"",B397-(INTERCEPT('3. Cleaned Data'!$B$4:$B$1041,'3. Cleaned Data'!$H$4:$H$1041)+SLOPE('3. Cleaned Data'!$B$4:$B$1041,'3. Cleaned Data'!$H$4:$H$1041)*H397))</f>
        <v>1.587786283560888E-2</v>
      </c>
    </row>
    <row r="398" spans="1:10" x14ac:dyDescent="0.2">
      <c r="A398" s="12">
        <v>42901</v>
      </c>
      <c r="B398" s="13">
        <v>16.6490923872</v>
      </c>
      <c r="C398" s="13">
        <v>139.69000199999999</v>
      </c>
      <c r="D398" s="13">
        <v>140.979996</v>
      </c>
      <c r="E398" s="13">
        <v>139.69000199999999</v>
      </c>
      <c r="F398" s="13">
        <v>140.53999300000001</v>
      </c>
      <c r="G398" s="13">
        <v>134.11234999999999</v>
      </c>
      <c r="H398" s="13">
        <v>134.11234999999999</v>
      </c>
      <c r="I398" s="14">
        <f t="shared" si="6"/>
        <v>-5.097231328548335E-3</v>
      </c>
      <c r="J398" s="14">
        <f>IF(COUNT(B398)=0,"",B398-(INTERCEPT('3. Cleaned Data'!$B$4:$B$1041,'3. Cleaned Data'!$H$4:$H$1041)+SLOPE('3. Cleaned Data'!$B$4:$B$1041,'3. Cleaned Data'!$H$4:$H$1041)*H398))</f>
        <v>0.10128838749427516</v>
      </c>
    </row>
    <row r="399" spans="1:10" x14ac:dyDescent="0.2">
      <c r="A399" s="12">
        <v>42902</v>
      </c>
      <c r="B399" s="13">
        <v>16.447728246</v>
      </c>
      <c r="C399" s="13">
        <v>140.029999</v>
      </c>
      <c r="D399" s="13">
        <v>140.220001</v>
      </c>
      <c r="E399" s="13">
        <v>139.279999</v>
      </c>
      <c r="F399" s="13">
        <v>140.19000199999999</v>
      </c>
      <c r="G399" s="13">
        <v>133.778381</v>
      </c>
      <c r="H399" s="13">
        <v>133.778381</v>
      </c>
      <c r="I399" s="14">
        <f t="shared" si="6"/>
        <v>-2.490218089534646E-3</v>
      </c>
      <c r="J399" s="14">
        <f>IF(COUNT(B399)=0,"",B399-(INTERCEPT('3. Cleaned Data'!$B$4:$B$1041,'3. Cleaned Data'!$H$4:$H$1041)+SLOPE('3. Cleaned Data'!$B$4:$B$1041,'3. Cleaned Data'!$H$4:$H$1041)*H399))</f>
        <v>-5.4391323411266512E-2</v>
      </c>
    </row>
    <row r="400" spans="1:10" x14ac:dyDescent="0.2">
      <c r="A400" s="12">
        <v>42905</v>
      </c>
      <c r="B400" s="13">
        <v>15.388184217599999</v>
      </c>
      <c r="C400" s="13">
        <v>140.55999800000001</v>
      </c>
      <c r="D400" s="13">
        <v>141.58000200000001</v>
      </c>
      <c r="E400" s="13">
        <v>140.509995</v>
      </c>
      <c r="F400" s="13">
        <v>141.229996</v>
      </c>
      <c r="G400" s="13">
        <v>134.770813</v>
      </c>
      <c r="H400" s="13">
        <v>134.770813</v>
      </c>
      <c r="I400" s="14">
        <f t="shared" si="6"/>
        <v>7.4184781769783825E-3</v>
      </c>
      <c r="J400" s="14">
        <f>IF(COUNT(B400)=0,"",B400-(INTERCEPT('3. Cleaned Data'!$B$4:$B$1041,'3. Cleaned Data'!$H$4:$H$1041)+SLOPE('3. Cleaned Data'!$B$4:$B$1041,'3. Cleaned Data'!$H$4:$H$1041)*H400))</f>
        <v>-1.2496925344419587</v>
      </c>
    </row>
    <row r="401" spans="1:10" x14ac:dyDescent="0.2">
      <c r="A401" s="12">
        <v>42906</v>
      </c>
      <c r="B401" s="13">
        <v>16.2972112068</v>
      </c>
      <c r="C401" s="13">
        <v>140.88000500000001</v>
      </c>
      <c r="D401" s="13">
        <v>140.970001</v>
      </c>
      <c r="E401" s="13">
        <v>139.699997</v>
      </c>
      <c r="F401" s="13">
        <v>139.800003</v>
      </c>
      <c r="G401" s="13">
        <v>133.40618900000001</v>
      </c>
      <c r="H401" s="13">
        <v>133.40618900000001</v>
      </c>
      <c r="I401" s="14">
        <f t="shared" si="6"/>
        <v>-1.0125515826635234E-2</v>
      </c>
      <c r="J401" s="14">
        <f>IF(COUNT(B401)=0,"",B401-(INTERCEPT('3. Cleaned Data'!$B$4:$B$1041,'3. Cleaned Data'!$H$4:$H$1041)+SLOPE('3. Cleaned Data'!$B$4:$B$1041,'3. Cleaned Data'!$H$4:$H$1041)*H401))</f>
        <v>-0.15399531535192779</v>
      </c>
    </row>
    <row r="402" spans="1:10" x14ac:dyDescent="0.2">
      <c r="A402" s="12">
        <v>42907</v>
      </c>
      <c r="B402" s="13">
        <v>15.347556204</v>
      </c>
      <c r="C402" s="13">
        <v>140.050003</v>
      </c>
      <c r="D402" s="13">
        <v>140.800003</v>
      </c>
      <c r="E402" s="13">
        <v>139.220001</v>
      </c>
      <c r="F402" s="13">
        <v>139.449997</v>
      </c>
      <c r="G402" s="13">
        <v>133.07223500000001</v>
      </c>
      <c r="H402" s="13">
        <v>133.07223500000001</v>
      </c>
      <c r="I402" s="14">
        <f t="shared" si="6"/>
        <v>-2.5032871600882967E-3</v>
      </c>
      <c r="J402" s="14">
        <f>IF(COUNT(B402)=0,"",B402-(INTERCEPT('3. Cleaned Data'!$B$4:$B$1041,'3. Cleaned Data'!$H$4:$H$1041)+SLOPE('3. Cleaned Data'!$B$4:$B$1041,'3. Cleaned Data'!$H$4:$H$1041)*H402))</f>
        <v>-1.0579679397438859</v>
      </c>
    </row>
    <row r="403" spans="1:10" x14ac:dyDescent="0.2">
      <c r="A403" s="12">
        <v>42908</v>
      </c>
      <c r="B403" s="13">
        <v>16.333592356800001</v>
      </c>
      <c r="C403" s="13">
        <v>139.36999499999999</v>
      </c>
      <c r="D403" s="13">
        <v>140.38999899999999</v>
      </c>
      <c r="E403" s="13">
        <v>139.009995</v>
      </c>
      <c r="F403" s="13">
        <v>139.979996</v>
      </c>
      <c r="G403" s="13">
        <v>133.577988</v>
      </c>
      <c r="H403" s="13">
        <v>133.577988</v>
      </c>
      <c r="I403" s="14">
        <f t="shared" si="6"/>
        <v>3.8005899577773228E-3</v>
      </c>
      <c r="J403" s="14">
        <f>IF(COUNT(B403)=0,"",B403-(INTERCEPT('3. Cleaned Data'!$B$4:$B$1041,'3. Cleaned Data'!$H$4:$H$1041)+SLOPE('3. Cleaned Data'!$B$4:$B$1041,'3. Cleaned Data'!$H$4:$H$1041)*H403))</f>
        <v>-0.14111496764243014</v>
      </c>
    </row>
    <row r="404" spans="1:10" x14ac:dyDescent="0.2">
      <c r="A404" s="12">
        <v>42909</v>
      </c>
      <c r="B404" s="13">
        <v>16.583547110400001</v>
      </c>
      <c r="C404" s="13">
        <v>140.13999899999999</v>
      </c>
      <c r="D404" s="13">
        <v>141.08000200000001</v>
      </c>
      <c r="E404" s="13">
        <v>139.550003</v>
      </c>
      <c r="F404" s="13">
        <v>140.91000399999999</v>
      </c>
      <c r="G404" s="13">
        <v>134.465439</v>
      </c>
      <c r="H404" s="13">
        <v>134.465439</v>
      </c>
      <c r="I404" s="14">
        <f t="shared" si="6"/>
        <v>6.6436919232530922E-3</v>
      </c>
      <c r="J404" s="14">
        <f>IF(COUNT(B404)=0,"",B404-(INTERCEPT('3. Cleaned Data'!$B$4:$B$1041,'3. Cleaned Data'!$H$4:$H$1041)+SLOPE('3. Cleaned Data'!$B$4:$B$1041,'3. Cleaned Data'!$H$4:$H$1041)*H404))</f>
        <v>-1.2556790818258889E-2</v>
      </c>
    </row>
    <row r="405" spans="1:10" x14ac:dyDescent="0.2">
      <c r="A405" s="12">
        <v>42912</v>
      </c>
      <c r="B405" s="13">
        <v>16.000568614799999</v>
      </c>
      <c r="C405" s="13">
        <v>141.08999600000001</v>
      </c>
      <c r="D405" s="13">
        <v>141.529999</v>
      </c>
      <c r="E405" s="13">
        <v>140.199997</v>
      </c>
      <c r="F405" s="13">
        <v>141.08000200000001</v>
      </c>
      <c r="G405" s="13">
        <v>134.62768600000001</v>
      </c>
      <c r="H405" s="13">
        <v>134.62768600000001</v>
      </c>
      <c r="I405" s="14">
        <f t="shared" si="6"/>
        <v>1.2066074465424403E-3</v>
      </c>
      <c r="J405" s="14">
        <f>IF(COUNT(B405)=0,"",B405-(INTERCEPT('3. Cleaned Data'!$B$4:$B$1041,'3. Cleaned Data'!$H$4:$H$1041)+SLOPE('3. Cleaned Data'!$B$4:$B$1041,'3. Cleaned Data'!$H$4:$H$1041)*H405))</f>
        <v>-0.61772944743914948</v>
      </c>
    </row>
    <row r="406" spans="1:10" x14ac:dyDescent="0.2">
      <c r="A406" s="12">
        <v>42913</v>
      </c>
      <c r="B406" s="13">
        <v>15.33014373</v>
      </c>
      <c r="C406" s="13">
        <v>141.10000600000001</v>
      </c>
      <c r="D406" s="13">
        <v>141.61999499999999</v>
      </c>
      <c r="E406" s="13">
        <v>139.75</v>
      </c>
      <c r="F406" s="13">
        <v>139.83999600000001</v>
      </c>
      <c r="G406" s="13">
        <v>133.44438199999999</v>
      </c>
      <c r="H406" s="13">
        <v>133.44438199999999</v>
      </c>
      <c r="I406" s="14">
        <f t="shared" si="6"/>
        <v>-8.7894550902406499E-3</v>
      </c>
      <c r="J406" s="14">
        <f>IF(COUNT(B406)=0,"",B406-(INTERCEPT('3. Cleaned Data'!$B$4:$B$1041,'3. Cleaned Data'!$H$4:$H$1041)+SLOPE('3. Cleaned Data'!$B$4:$B$1041,'3. Cleaned Data'!$H$4:$H$1041)*H406))</f>
        <v>-1.126287305343979</v>
      </c>
    </row>
    <row r="407" spans="1:10" x14ac:dyDescent="0.2">
      <c r="A407" s="12">
        <v>42914</v>
      </c>
      <c r="B407" s="13">
        <v>16.434840957599999</v>
      </c>
      <c r="C407" s="13">
        <v>140.66999799999999</v>
      </c>
      <c r="D407" s="13">
        <v>142.259995</v>
      </c>
      <c r="E407" s="13">
        <v>140.39999399999999</v>
      </c>
      <c r="F407" s="13">
        <v>141.979996</v>
      </c>
      <c r="G407" s="13">
        <v>135.48649599999999</v>
      </c>
      <c r="H407" s="13">
        <v>135.48649599999999</v>
      </c>
      <c r="I407" s="14">
        <f t="shared" si="6"/>
        <v>1.5303109575643292E-2</v>
      </c>
      <c r="J407" s="14">
        <f>IF(COUNT(B407)=0,"",B407-(INTERCEPT('3. Cleaned Data'!$B$4:$B$1041,'3. Cleaned Data'!$H$4:$H$1041)+SLOPE('3. Cleaned Data'!$B$4:$B$1041,'3. Cleaned Data'!$H$4:$H$1041)*H407))</f>
        <v>-0.30093580949253962</v>
      </c>
    </row>
    <row r="408" spans="1:10" x14ac:dyDescent="0.2">
      <c r="A408" s="12">
        <v>42915</v>
      </c>
      <c r="B408" s="13">
        <v>16.538000111999999</v>
      </c>
      <c r="C408" s="13">
        <v>142.240005</v>
      </c>
      <c r="D408" s="13">
        <v>142.35000600000001</v>
      </c>
      <c r="E408" s="13">
        <v>139.64999399999999</v>
      </c>
      <c r="F408" s="13">
        <v>141.13999899999999</v>
      </c>
      <c r="G408" s="13">
        <v>134.684921</v>
      </c>
      <c r="H408" s="13">
        <v>134.684921</v>
      </c>
      <c r="I408" s="14">
        <f t="shared" si="6"/>
        <v>-5.916272275577783E-3</v>
      </c>
      <c r="J408" s="14">
        <f>IF(COUNT(B408)=0,"",B408-(INTERCEPT('3. Cleaned Data'!$B$4:$B$1041,'3. Cleaned Data'!$H$4:$H$1041)+SLOPE('3. Cleaned Data'!$B$4:$B$1041,'3. Cleaned Data'!$H$4:$H$1041)*H408))</f>
        <v>-8.8127264839915398E-2</v>
      </c>
    </row>
    <row r="409" spans="1:10" x14ac:dyDescent="0.2">
      <c r="A409" s="12">
        <v>42916</v>
      </c>
      <c r="B409" s="13">
        <v>16.482053201999999</v>
      </c>
      <c r="C409" s="13">
        <v>141.25</v>
      </c>
      <c r="D409" s="13">
        <v>141.66999799999999</v>
      </c>
      <c r="E409" s="13">
        <v>140.770004</v>
      </c>
      <c r="F409" s="13">
        <v>140.91999799999999</v>
      </c>
      <c r="G409" s="13">
        <v>134.47494499999999</v>
      </c>
      <c r="H409" s="13">
        <v>134.47494499999999</v>
      </c>
      <c r="I409" s="14">
        <f t="shared" si="6"/>
        <v>-1.5590163950128799E-3</v>
      </c>
      <c r="J409" s="14">
        <f>IF(COUNT(B409)=0,"",B409-(INTERCEPT('3. Cleaned Data'!$B$4:$B$1041,'3. Cleaned Data'!$H$4:$H$1041)+SLOPE('3. Cleaned Data'!$B$4:$B$1041,'3. Cleaned Data'!$H$4:$H$1041)*H409))</f>
        <v>-0.11535104803619944</v>
      </c>
    </row>
    <row r="410" spans="1:10" x14ac:dyDescent="0.2">
      <c r="A410" s="12">
        <v>42919</v>
      </c>
      <c r="B410" s="13">
        <v>16.803540374400001</v>
      </c>
      <c r="C410" s="13">
        <v>141.33999600000001</v>
      </c>
      <c r="D410" s="13">
        <v>142.5</v>
      </c>
      <c r="E410" s="13">
        <v>141.300003</v>
      </c>
      <c r="F410" s="13">
        <v>142.10000600000001</v>
      </c>
      <c r="G410" s="13">
        <v>135.600998</v>
      </c>
      <c r="H410" s="13">
        <v>135.600998</v>
      </c>
      <c r="I410" s="14">
        <f t="shared" si="6"/>
        <v>8.3737011381563864E-3</v>
      </c>
      <c r="J410" s="14">
        <f>IF(COUNT(B410)=0,"",B410-(INTERCEPT('3. Cleaned Data'!$B$4:$B$1041,'3. Cleaned Data'!$H$4:$H$1041)+SLOPE('3. Cleaned Data'!$B$4:$B$1041,'3. Cleaned Data'!$H$4:$H$1041)*H410))</f>
        <v>5.2100600748239856E-2</v>
      </c>
    </row>
    <row r="411" spans="1:10" x14ac:dyDescent="0.2">
      <c r="A411" s="12">
        <v>42921</v>
      </c>
      <c r="B411" s="13">
        <v>15.282747546</v>
      </c>
      <c r="C411" s="13">
        <v>141.699997</v>
      </c>
      <c r="D411" s="13">
        <v>141.85000600000001</v>
      </c>
      <c r="E411" s="13">
        <v>140.699997</v>
      </c>
      <c r="F411" s="13">
        <v>141.58999600000001</v>
      </c>
      <c r="G411" s="13">
        <v>135.11438000000001</v>
      </c>
      <c r="H411" s="13">
        <v>135.11438000000001</v>
      </c>
      <c r="I411" s="14">
        <f t="shared" si="6"/>
        <v>-3.5886019068974706E-3</v>
      </c>
      <c r="J411" s="14">
        <f>IF(COUNT(B411)=0,"",B411-(INTERCEPT('3. Cleaned Data'!$B$4:$B$1041,'3. Cleaned Data'!$H$4:$H$1041)+SLOPE('3. Cleaned Data'!$B$4:$B$1041,'3. Cleaned Data'!$H$4:$H$1041)*H411))</f>
        <v>-1.4021265700577104</v>
      </c>
    </row>
    <row r="412" spans="1:10" x14ac:dyDescent="0.2">
      <c r="A412" s="12">
        <v>42922</v>
      </c>
      <c r="B412" s="13">
        <v>15.811561903199999</v>
      </c>
      <c r="C412" s="13">
        <v>139.929993</v>
      </c>
      <c r="D412" s="13">
        <v>140.470001</v>
      </c>
      <c r="E412" s="13">
        <v>138.83000200000001</v>
      </c>
      <c r="F412" s="13">
        <v>139.13999899999999</v>
      </c>
      <c r="G412" s="13">
        <v>133.34994499999999</v>
      </c>
      <c r="H412" s="13">
        <v>133.34994499999999</v>
      </c>
      <c r="I412" s="14">
        <f t="shared" si="6"/>
        <v>-1.3058824678764958E-2</v>
      </c>
      <c r="J412" s="14">
        <f>IF(COUNT(B412)=0,"",B412-(INTERCEPT('3. Cleaned Data'!$B$4:$B$1041,'3. Cleaned Data'!$H$4:$H$1041)+SLOPE('3. Cleaned Data'!$B$4:$B$1041,'3. Cleaned Data'!$H$4:$H$1041)*H412))</f>
        <v>-0.63195086564703296</v>
      </c>
    </row>
    <row r="413" spans="1:10" x14ac:dyDescent="0.2">
      <c r="A413" s="12">
        <v>42923</v>
      </c>
      <c r="B413" s="13">
        <v>15.770701000800001</v>
      </c>
      <c r="C413" s="13">
        <v>139.429993</v>
      </c>
      <c r="D413" s="13">
        <v>140.679993</v>
      </c>
      <c r="E413" s="13">
        <v>139.179993</v>
      </c>
      <c r="F413" s="13">
        <v>140.490005</v>
      </c>
      <c r="G413" s="13">
        <v>134.643753</v>
      </c>
      <c r="H413" s="13">
        <v>134.643753</v>
      </c>
      <c r="I413" s="14">
        <f t="shared" si="6"/>
        <v>9.7023512083189711E-3</v>
      </c>
      <c r="J413" s="14">
        <f>IF(COUNT(B413)=0,"",B413-(INTERCEPT('3. Cleaned Data'!$B$4:$B$1041,'3. Cleaned Data'!$H$4:$H$1041)+SLOPE('3. Cleaned Data'!$B$4:$B$1041,'3. Cleaned Data'!$H$4:$H$1041)*H413))</f>
        <v>-0.8497949053753846</v>
      </c>
    </row>
    <row r="414" spans="1:10" x14ac:dyDescent="0.2">
      <c r="A414" s="12">
        <v>42926</v>
      </c>
      <c r="B414" s="13">
        <v>15.458647722</v>
      </c>
      <c r="C414" s="13">
        <v>139.91999799999999</v>
      </c>
      <c r="D414" s="13">
        <v>140.88999899999999</v>
      </c>
      <c r="E414" s="13">
        <v>139.36999499999999</v>
      </c>
      <c r="F414" s="13">
        <v>139.88000500000001</v>
      </c>
      <c r="G414" s="13">
        <v>134.059189</v>
      </c>
      <c r="H414" s="13">
        <v>134.059189</v>
      </c>
      <c r="I414" s="14">
        <f t="shared" si="6"/>
        <v>-4.3415605029963888E-3</v>
      </c>
      <c r="J414" s="14">
        <f>IF(COUNT(B414)=0,"",B414-(INTERCEPT('3. Cleaned Data'!$B$4:$B$1041,'3. Cleaned Data'!$H$4:$H$1041)+SLOPE('3. Cleaned Data'!$B$4:$B$1041,'3. Cleaned Data'!$H$4:$H$1041)*H414))</f>
        <v>-1.0818842554555044</v>
      </c>
    </row>
    <row r="415" spans="1:10" x14ac:dyDescent="0.2">
      <c r="A415" s="12">
        <v>42927</v>
      </c>
      <c r="B415" s="13">
        <v>16.951854691200001</v>
      </c>
      <c r="C415" s="13">
        <v>139.779999</v>
      </c>
      <c r="D415" s="13">
        <v>140.38000500000001</v>
      </c>
      <c r="E415" s="13">
        <v>138.979996</v>
      </c>
      <c r="F415" s="13">
        <v>140.28999300000001</v>
      </c>
      <c r="G415" s="13">
        <v>134.452057</v>
      </c>
      <c r="H415" s="13">
        <v>134.452057</v>
      </c>
      <c r="I415" s="14">
        <f t="shared" si="6"/>
        <v>2.9305562933099605E-3</v>
      </c>
      <c r="J415" s="14">
        <f>IF(COUNT(B415)=0,"",B415-(INTERCEPT('3. Cleaned Data'!$B$4:$B$1041,'3. Cleaned Data'!$H$4:$H$1041)+SLOPE('3. Cleaned Data'!$B$4:$B$1041,'3. Cleaned Data'!$H$4:$H$1041)*H415))</f>
        <v>0.35758134624953897</v>
      </c>
    </row>
    <row r="416" spans="1:10" x14ac:dyDescent="0.2">
      <c r="A416" s="12">
        <v>42928</v>
      </c>
      <c r="B416" s="13">
        <v>16.011054427200001</v>
      </c>
      <c r="C416" s="13">
        <v>141.050003</v>
      </c>
      <c r="D416" s="13">
        <v>142.220001</v>
      </c>
      <c r="E416" s="13">
        <v>141.009995</v>
      </c>
      <c r="F416" s="13">
        <v>141.36999499999999</v>
      </c>
      <c r="G416" s="13">
        <v>135.487122</v>
      </c>
      <c r="H416" s="13">
        <v>135.487122</v>
      </c>
      <c r="I416" s="14">
        <f t="shared" si="6"/>
        <v>7.6983946775912582E-3</v>
      </c>
      <c r="J416" s="14">
        <f>IF(COUNT(B416)=0,"",B416-(INTERCEPT('3. Cleaned Data'!$B$4:$B$1041,'3. Cleaned Data'!$H$4:$H$1041)+SLOPE('3. Cleaned Data'!$B$4:$B$1041,'3. Cleaned Data'!$H$4:$H$1041)*H416))</f>
        <v>-0.72480797195229485</v>
      </c>
    </row>
    <row r="417" spans="1:10" x14ac:dyDescent="0.2">
      <c r="A417" s="12">
        <v>42929</v>
      </c>
      <c r="B417" s="13">
        <v>16.784122208399999</v>
      </c>
      <c r="C417" s="13">
        <v>141.199997</v>
      </c>
      <c r="D417" s="13">
        <v>141.55999800000001</v>
      </c>
      <c r="E417" s="13">
        <v>140.38000500000001</v>
      </c>
      <c r="F417" s="13">
        <v>141.490005</v>
      </c>
      <c r="G417" s="13">
        <v>135.60217299999999</v>
      </c>
      <c r="H417" s="13">
        <v>135.60217299999999</v>
      </c>
      <c r="I417" s="14">
        <f t="shared" si="6"/>
        <v>8.4916557604630682E-4</v>
      </c>
      <c r="J417" s="14">
        <f>IF(COUNT(B417)=0,"",B417-(INTERCEPT('3. Cleaned Data'!$B$4:$B$1041,'3. Cleaned Data'!$H$4:$H$1041)+SLOPE('3. Cleaned Data'!$B$4:$B$1041,'3. Cleaned Data'!$H$4:$H$1041)*H417))</f>
        <v>3.2521703645663536E-2</v>
      </c>
    </row>
    <row r="418" spans="1:10" x14ac:dyDescent="0.2">
      <c r="A418" s="12">
        <v>42930</v>
      </c>
      <c r="B418" s="13">
        <v>15.634553142</v>
      </c>
      <c r="C418" s="13">
        <v>141.10000600000001</v>
      </c>
      <c r="D418" s="13">
        <v>142.300003</v>
      </c>
      <c r="E418" s="13">
        <v>141.10000600000001</v>
      </c>
      <c r="F418" s="13">
        <v>141.729996</v>
      </c>
      <c r="G418" s="13">
        <v>135.83216899999999</v>
      </c>
      <c r="H418" s="13">
        <v>135.83216899999999</v>
      </c>
      <c r="I418" s="14">
        <f t="shared" si="6"/>
        <v>1.6961085129514331E-3</v>
      </c>
      <c r="J418" s="14">
        <f>IF(COUNT(B418)=0,"",B418-(INTERCEPT('3. Cleaned Data'!$B$4:$B$1041,'3. Cleaned Data'!$H$4:$H$1041)+SLOPE('3. Cleaned Data'!$B$4:$B$1041,'3. Cleaned Data'!$H$4:$H$1041)*H418))</f>
        <v>-1.1485090739610744</v>
      </c>
    </row>
    <row r="419" spans="1:10" x14ac:dyDescent="0.2">
      <c r="A419" s="12">
        <v>42933</v>
      </c>
      <c r="B419" s="13">
        <v>16.46891784</v>
      </c>
      <c r="C419" s="13">
        <v>141.60000600000001</v>
      </c>
      <c r="D419" s="13">
        <v>142.46000699999999</v>
      </c>
      <c r="E419" s="13">
        <v>141.259995</v>
      </c>
      <c r="F419" s="13">
        <v>142.05999800000001</v>
      </c>
      <c r="G419" s="13">
        <v>136.14842200000001</v>
      </c>
      <c r="H419" s="13">
        <v>136.14842200000001</v>
      </c>
      <c r="I419" s="14">
        <f t="shared" si="6"/>
        <v>2.3282629021408319E-3</v>
      </c>
      <c r="J419" s="14">
        <f>IF(COUNT(B419)=0,"",B419-(INTERCEPT('3. Cleaned Data'!$B$4:$B$1041,'3. Cleaned Data'!$H$4:$H$1041)+SLOPE('3. Cleaned Data'!$B$4:$B$1041,'3. Cleaned Data'!$H$4:$H$1041)*H419))</f>
        <v>-0.35740539160598317</v>
      </c>
    </row>
    <row r="420" spans="1:10" x14ac:dyDescent="0.2">
      <c r="A420" s="12">
        <v>42934</v>
      </c>
      <c r="B420" s="13">
        <v>16.7220501768</v>
      </c>
      <c r="C420" s="13">
        <v>141.53999300000001</v>
      </c>
      <c r="D420" s="13">
        <v>141.86999499999999</v>
      </c>
      <c r="E420" s="13">
        <v>141.03999300000001</v>
      </c>
      <c r="F420" s="13">
        <v>141.69000199999999</v>
      </c>
      <c r="G420" s="13">
        <v>135.793869</v>
      </c>
      <c r="H420" s="13">
        <v>135.793869</v>
      </c>
      <c r="I420" s="14">
        <f t="shared" si="6"/>
        <v>-2.6041653277480981E-3</v>
      </c>
      <c r="J420" s="14">
        <f>IF(COUNT(B420)=0,"",B420-(INTERCEPT('3. Cleaned Data'!$B$4:$B$1041,'3. Cleaned Data'!$H$4:$H$1041)+SLOPE('3. Cleaned Data'!$B$4:$B$1041,'3. Cleaned Data'!$H$4:$H$1041)*H420))</f>
        <v>-5.5772889179259266E-2</v>
      </c>
    </row>
    <row r="421" spans="1:10" x14ac:dyDescent="0.2">
      <c r="A421" s="12">
        <v>42935</v>
      </c>
      <c r="B421" s="13">
        <v>16.252993310400001</v>
      </c>
      <c r="C421" s="13">
        <v>141.88000500000001</v>
      </c>
      <c r="D421" s="13">
        <v>143.13999899999999</v>
      </c>
      <c r="E421" s="13">
        <v>141.88000500000001</v>
      </c>
      <c r="F421" s="13">
        <v>143.10000600000001</v>
      </c>
      <c r="G421" s="13">
        <v>137.14520300000001</v>
      </c>
      <c r="H421" s="13">
        <v>137.14520300000001</v>
      </c>
      <c r="I421" s="14">
        <f t="shared" si="6"/>
        <v>9.9513623844094123E-3</v>
      </c>
      <c r="J421" s="14">
        <f>IF(COUNT(B421)=0,"",B421-(INTERCEPT('3. Cleaned Data'!$B$4:$B$1041,'3. Cleaned Data'!$H$4:$H$1041)+SLOPE('3. Cleaned Data'!$B$4:$B$1041,'3. Cleaned Data'!$H$4:$H$1041)*H421))</f>
        <v>-0.70968201410484255</v>
      </c>
    </row>
    <row r="422" spans="1:10" x14ac:dyDescent="0.2">
      <c r="A422" s="12">
        <v>42936</v>
      </c>
      <c r="B422" s="13">
        <v>16.2353389128</v>
      </c>
      <c r="C422" s="13">
        <v>143.11999499999999</v>
      </c>
      <c r="D422" s="13">
        <v>143.520004</v>
      </c>
      <c r="E422" s="13">
        <v>142.800003</v>
      </c>
      <c r="F422" s="13">
        <v>143.199997</v>
      </c>
      <c r="G422" s="13">
        <v>137.240982</v>
      </c>
      <c r="H422" s="13">
        <v>137.240982</v>
      </c>
      <c r="I422" s="14">
        <f t="shared" si="6"/>
        <v>6.9837659578952938E-4</v>
      </c>
      <c r="J422" s="14">
        <f>IF(COUNT(B422)=0,"",B422-(INTERCEPT('3. Cleaned Data'!$B$4:$B$1041,'3. Cleaned Data'!$H$4:$H$1041)+SLOPE('3. Cleaned Data'!$B$4:$B$1041,'3. Cleaned Data'!$H$4:$H$1041)*H422))</f>
        <v>-0.7404382536397911</v>
      </c>
    </row>
    <row r="423" spans="1:10" x14ac:dyDescent="0.2">
      <c r="A423" s="12">
        <v>42937</v>
      </c>
      <c r="B423" s="13">
        <v>15.980432616</v>
      </c>
      <c r="C423" s="13">
        <v>143.009995</v>
      </c>
      <c r="D423" s="13">
        <v>143.33000200000001</v>
      </c>
      <c r="E423" s="13">
        <v>142.25</v>
      </c>
      <c r="F423" s="13">
        <v>142.550003</v>
      </c>
      <c r="G423" s="13">
        <v>136.61805699999999</v>
      </c>
      <c r="H423" s="13">
        <v>136.61805699999999</v>
      </c>
      <c r="I423" s="14">
        <f t="shared" si="6"/>
        <v>-4.5389138938105589E-3</v>
      </c>
      <c r="J423" s="14">
        <f>IF(COUNT(B423)=0,"",B423-(INTERCEPT('3. Cleaned Data'!$B$4:$B$1041,'3. Cleaned Data'!$H$4:$H$1041)+SLOPE('3. Cleaned Data'!$B$4:$B$1041,'3. Cleaned Data'!$H$4:$H$1041)*H423))</f>
        <v>-0.91013312739999996</v>
      </c>
    </row>
    <row r="424" spans="1:10" x14ac:dyDescent="0.2">
      <c r="A424" s="12">
        <v>42940</v>
      </c>
      <c r="B424" s="13">
        <v>16.861113884400002</v>
      </c>
      <c r="C424" s="13">
        <v>142.30999800000001</v>
      </c>
      <c r="D424" s="13">
        <v>142.820007</v>
      </c>
      <c r="E424" s="13">
        <v>141.970001</v>
      </c>
      <c r="F424" s="13">
        <v>142.75</v>
      </c>
      <c r="G424" s="13">
        <v>136.809708</v>
      </c>
      <c r="H424" s="13">
        <v>136.809708</v>
      </c>
      <c r="I424" s="14">
        <f t="shared" si="6"/>
        <v>1.4028233471363727E-3</v>
      </c>
      <c r="J424" s="14">
        <f>IF(COUNT(B424)=0,"",B424-(INTERCEPT('3. Cleaned Data'!$B$4:$B$1041,'3. Cleaned Data'!$H$4:$H$1041)+SLOPE('3. Cleaned Data'!$B$4:$B$1041,'3. Cleaned Data'!$H$4:$H$1041)*H424))</f>
        <v>-5.5668264565674974E-2</v>
      </c>
    </row>
    <row r="425" spans="1:10" x14ac:dyDescent="0.2">
      <c r="A425" s="12">
        <v>42941</v>
      </c>
      <c r="B425" s="13">
        <v>15.510001301999999</v>
      </c>
      <c r="C425" s="13">
        <v>143.61999499999999</v>
      </c>
      <c r="D425" s="13">
        <v>144.25</v>
      </c>
      <c r="E425" s="13">
        <v>143.21000699999999</v>
      </c>
      <c r="F425" s="13">
        <v>144.050003</v>
      </c>
      <c r="G425" s="13">
        <v>138.05560299999999</v>
      </c>
      <c r="H425" s="13">
        <v>138.05560299999999</v>
      </c>
      <c r="I425" s="14">
        <f t="shared" si="6"/>
        <v>9.1067733292726771E-3</v>
      </c>
      <c r="J425" s="14">
        <f>IF(COUNT(B425)=0,"",B425-(INTERCEPT('3. Cleaned Data'!$B$4:$B$1041,'3. Cleaned Data'!$H$4:$H$1041)+SLOPE('3. Cleaned Data'!$B$4:$B$1041,'3. Cleaned Data'!$H$4:$H$1041)*H425))</f>
        <v>-1.5772098487044985</v>
      </c>
    </row>
    <row r="426" spans="1:10" x14ac:dyDescent="0.2">
      <c r="A426" s="12">
        <v>42942</v>
      </c>
      <c r="B426" s="13">
        <v>16.437306165599999</v>
      </c>
      <c r="C426" s="13">
        <v>144.14999399999999</v>
      </c>
      <c r="D426" s="13">
        <v>144.14999399999999</v>
      </c>
      <c r="E426" s="13">
        <v>143.050003</v>
      </c>
      <c r="F426" s="13">
        <v>143.25</v>
      </c>
      <c r="G426" s="13">
        <v>137.28894</v>
      </c>
      <c r="H426" s="13">
        <v>137.28894</v>
      </c>
      <c r="I426" s="14">
        <f t="shared" si="6"/>
        <v>-5.5532914517057996E-3</v>
      </c>
      <c r="J426" s="14">
        <f>IF(COUNT(B426)=0,"",B426-(INTERCEPT('3. Cleaned Data'!$B$4:$B$1041,'3. Cleaned Data'!$H$4:$H$1041)+SLOPE('3. Cleaned Data'!$B$4:$B$1041,'3. Cleaned Data'!$H$4:$H$1041)*H426))</f>
        <v>-0.54503129208856294</v>
      </c>
    </row>
    <row r="427" spans="1:10" x14ac:dyDescent="0.2">
      <c r="A427" s="12">
        <v>42943</v>
      </c>
      <c r="B427" s="13">
        <v>16.305611519999999</v>
      </c>
      <c r="C427" s="13">
        <v>143.479996</v>
      </c>
      <c r="D427" s="13">
        <v>143.679993</v>
      </c>
      <c r="E427" s="13">
        <v>141.550003</v>
      </c>
      <c r="F427" s="13">
        <v>142.33999600000001</v>
      </c>
      <c r="G427" s="13">
        <v>136.41677899999999</v>
      </c>
      <c r="H427" s="13">
        <v>136.41677899999999</v>
      </c>
      <c r="I427" s="14">
        <f t="shared" si="6"/>
        <v>-6.3527404319678737E-3</v>
      </c>
      <c r="J427" s="14">
        <f>IF(COUNT(B427)=0,"",B427-(INTERCEPT('3. Cleaned Data'!$B$4:$B$1041,'3. Cleaned Data'!$H$4:$H$1041)+SLOPE('3. Cleaned Data'!$B$4:$B$1041,'3. Cleaned Data'!$H$4:$H$1041)*H427))</f>
        <v>-0.55742091713263164</v>
      </c>
    </row>
    <row r="428" spans="1:10" x14ac:dyDescent="0.2">
      <c r="A428" s="12">
        <v>42944</v>
      </c>
      <c r="B428" s="13">
        <v>16.288624550400002</v>
      </c>
      <c r="C428" s="13">
        <v>142.020004</v>
      </c>
      <c r="D428" s="13">
        <v>142.36000100000001</v>
      </c>
      <c r="E428" s="13">
        <v>141.470001</v>
      </c>
      <c r="F428" s="13">
        <v>141.96000699999999</v>
      </c>
      <c r="G428" s="13">
        <v>136.05264299999999</v>
      </c>
      <c r="H428" s="13">
        <v>136.05264299999999</v>
      </c>
      <c r="I428" s="14">
        <f t="shared" si="6"/>
        <v>-2.6692904103827741E-3</v>
      </c>
      <c r="J428" s="14">
        <f>IF(COUNT(B428)=0,"",B428-(INTERCEPT('3. Cleaned Data'!$B$4:$B$1041,'3. Cleaned Data'!$H$4:$H$1041)+SLOPE('3. Cleaned Data'!$B$4:$B$1041,'3. Cleaned Data'!$H$4:$H$1041)*H428))</f>
        <v>-0.52459683927103029</v>
      </c>
    </row>
    <row r="429" spans="1:10" x14ac:dyDescent="0.2">
      <c r="A429" s="12">
        <v>42947</v>
      </c>
      <c r="B429" s="13">
        <v>15.565439727599999</v>
      </c>
      <c r="C429" s="13">
        <v>142.220001</v>
      </c>
      <c r="D429" s="13">
        <v>142.38000500000001</v>
      </c>
      <c r="E429" s="13">
        <v>140.970001</v>
      </c>
      <c r="F429" s="13">
        <v>141.509995</v>
      </c>
      <c r="G429" s="13">
        <v>135.62133800000001</v>
      </c>
      <c r="H429" s="13">
        <v>135.62133800000001</v>
      </c>
      <c r="I429" s="14">
        <f t="shared" si="6"/>
        <v>-3.1701331961627721E-3</v>
      </c>
      <c r="J429" s="14">
        <f>IF(COUNT(B429)=0,"",B429-(INTERCEPT('3. Cleaned Data'!$B$4:$B$1041,'3. Cleaned Data'!$H$4:$H$1041)+SLOPE('3. Cleaned Data'!$B$4:$B$1041,'3. Cleaned Data'!$H$4:$H$1041)*H429))</f>
        <v>-1.1887824040316612</v>
      </c>
    </row>
    <row r="430" spans="1:10" x14ac:dyDescent="0.2">
      <c r="A430" s="12">
        <v>42948</v>
      </c>
      <c r="B430" s="13">
        <v>16.6088009232</v>
      </c>
      <c r="C430" s="13">
        <v>142.16999799999999</v>
      </c>
      <c r="D430" s="13">
        <v>142.199997</v>
      </c>
      <c r="E430" s="13">
        <v>140.970001</v>
      </c>
      <c r="F430" s="13">
        <v>141.779999</v>
      </c>
      <c r="G430" s="13">
        <v>135.88009600000001</v>
      </c>
      <c r="H430" s="13">
        <v>135.88009600000001</v>
      </c>
      <c r="I430" s="14">
        <f t="shared" si="6"/>
        <v>1.9079446038203773E-3</v>
      </c>
      <c r="J430" s="14">
        <f>IF(COUNT(B430)=0,"",B430-(INTERCEPT('3. Cleaned Data'!$B$4:$B$1041,'3. Cleaned Data'!$H$4:$H$1041)+SLOPE('3. Cleaned Data'!$B$4:$B$1041,'3. Cleaned Data'!$H$4:$H$1041)*H430))</f>
        <v>-0.18081734344459122</v>
      </c>
    </row>
    <row r="431" spans="1:10" x14ac:dyDescent="0.2">
      <c r="A431" s="12">
        <v>42949</v>
      </c>
      <c r="B431" s="13">
        <v>15.6669593844</v>
      </c>
      <c r="C431" s="13">
        <v>141.58999600000001</v>
      </c>
      <c r="D431" s="13">
        <v>141.820007</v>
      </c>
      <c r="E431" s="13">
        <v>139.729996</v>
      </c>
      <c r="F431" s="13">
        <v>140.229996</v>
      </c>
      <c r="G431" s="13">
        <v>134.39459199999999</v>
      </c>
      <c r="H431" s="13">
        <v>134.39459199999999</v>
      </c>
      <c r="I431" s="14">
        <f t="shared" si="6"/>
        <v>-1.0932462102470231E-2</v>
      </c>
      <c r="J431" s="14">
        <f>IF(COUNT(B431)=0,"",B431-(INTERCEPT('3. Cleaned Data'!$B$4:$B$1041,'3. Cleaned Data'!$H$4:$H$1041)+SLOPE('3. Cleaned Data'!$B$4:$B$1041,'3. Cleaned Data'!$H$4:$H$1041)*H431))</f>
        <v>-0.91945318369131535</v>
      </c>
    </row>
    <row r="432" spans="1:10" x14ac:dyDescent="0.2">
      <c r="A432" s="12">
        <v>42950</v>
      </c>
      <c r="B432" s="13">
        <v>15.295854695999999</v>
      </c>
      <c r="C432" s="13">
        <v>140.44000199999999</v>
      </c>
      <c r="D432" s="13">
        <v>140.53999300000001</v>
      </c>
      <c r="E432" s="13">
        <v>139.16000399999999</v>
      </c>
      <c r="F432" s="13">
        <v>139.529999</v>
      </c>
      <c r="G432" s="13">
        <v>133.72370900000001</v>
      </c>
      <c r="H432" s="13">
        <v>133.72370900000001</v>
      </c>
      <c r="I432" s="14">
        <f t="shared" si="6"/>
        <v>-4.9918898522343103E-3</v>
      </c>
      <c r="J432" s="14">
        <f>IF(COUNT(B432)=0,"",B432-(INTERCEPT('3. Cleaned Data'!$B$4:$B$1041,'3. Cleaned Data'!$H$4:$H$1041)+SLOPE('3. Cleaned Data'!$B$4:$B$1041,'3. Cleaned Data'!$H$4:$H$1041)*H432))</f>
        <v>-1.1987861578027612</v>
      </c>
    </row>
    <row r="433" spans="1:10" x14ac:dyDescent="0.2">
      <c r="A433" s="12">
        <v>42951</v>
      </c>
      <c r="B433" s="13">
        <v>16.759826495999999</v>
      </c>
      <c r="C433" s="13">
        <v>139.91000399999999</v>
      </c>
      <c r="D433" s="13">
        <v>140.320007</v>
      </c>
      <c r="E433" s="13">
        <v>139.490005</v>
      </c>
      <c r="F433" s="13">
        <v>140.21000699999999</v>
      </c>
      <c r="G433" s="13">
        <v>134.37541200000001</v>
      </c>
      <c r="H433" s="13">
        <v>134.37541200000001</v>
      </c>
      <c r="I433" s="14">
        <f t="shared" si="6"/>
        <v>4.8735037703746542E-3</v>
      </c>
      <c r="J433" s="14">
        <f>IF(COUNT(B433)=0,"",B433-(INTERCEPT('3. Cleaned Data'!$B$4:$B$1041,'3. Cleaned Data'!$H$4:$H$1041)+SLOPE('3. Cleaned Data'!$B$4:$B$1041,'3. Cleaned Data'!$H$4:$H$1041)*H433))</f>
        <v>0.17603760667241986</v>
      </c>
    </row>
    <row r="434" spans="1:10" x14ac:dyDescent="0.2">
      <c r="A434" s="12">
        <v>42954</v>
      </c>
      <c r="B434" s="13">
        <v>16.298804620799999</v>
      </c>
      <c r="C434" s="13">
        <v>140.44000199999999</v>
      </c>
      <c r="D434" s="15">
        <v>140.44000199999999</v>
      </c>
      <c r="E434" s="13">
        <v>139.71000699999999</v>
      </c>
      <c r="F434" s="13">
        <v>140.44000199999999</v>
      </c>
      <c r="G434" s="13">
        <v>134.59587099999999</v>
      </c>
      <c r="H434" s="13">
        <v>134.59587099999999</v>
      </c>
      <c r="I434" s="14">
        <f t="shared" si="6"/>
        <v>1.6406200860614728E-3</v>
      </c>
      <c r="J434" s="14">
        <f>IF(COUNT(B434)=0,"",B434-(INTERCEPT('3. Cleaned Data'!$B$4:$B$1041,'3. Cleaned Data'!$H$4:$H$1041)+SLOPE('3. Cleaned Data'!$B$4:$B$1041,'3. Cleaned Data'!$H$4:$H$1041)*H434))</f>
        <v>-0.3151413903511191</v>
      </c>
    </row>
    <row r="435" spans="1:10" x14ac:dyDescent="0.2">
      <c r="A435" s="12">
        <v>42955</v>
      </c>
      <c r="B435" s="13">
        <v>15.69492732</v>
      </c>
      <c r="C435" s="13">
        <v>140.41000399999999</v>
      </c>
      <c r="D435" s="13">
        <v>141.78999300000001</v>
      </c>
      <c r="E435" s="13">
        <v>139.69000199999999</v>
      </c>
      <c r="F435" s="13">
        <v>140</v>
      </c>
      <c r="G435" s="13">
        <v>134.17416399999999</v>
      </c>
      <c r="H435" s="13">
        <v>134.17416399999999</v>
      </c>
      <c r="I435" s="14">
        <f t="shared" si="6"/>
        <v>-3.1331347452701053E-3</v>
      </c>
      <c r="J435" s="14">
        <f>IF(COUNT(B435)=0,"",B435-(INTERCEPT('3. Cleaned Data'!$B$4:$B$1041,'3. Cleaned Data'!$H$4:$H$1041)+SLOPE('3. Cleaned Data'!$B$4:$B$1041,'3. Cleaned Data'!$H$4:$H$1041)*H435))</f>
        <v>-0.86133236683303771</v>
      </c>
    </row>
    <row r="436" spans="1:10" x14ac:dyDescent="0.2">
      <c r="A436" s="12">
        <v>42956</v>
      </c>
      <c r="B436" s="13">
        <v>15.7736602584</v>
      </c>
      <c r="C436" s="13">
        <v>139.11999499999999</v>
      </c>
      <c r="D436" s="13">
        <v>139.38999899999999</v>
      </c>
      <c r="E436" s="13">
        <v>138.279999</v>
      </c>
      <c r="F436" s="13">
        <v>138.78999300000001</v>
      </c>
      <c r="G436" s="13">
        <v>133.01449600000001</v>
      </c>
      <c r="H436" s="13">
        <v>133.01449600000001</v>
      </c>
      <c r="I436" s="14">
        <f t="shared" si="6"/>
        <v>-8.6430052211838859E-3</v>
      </c>
      <c r="J436" s="14">
        <f>IF(COUNT(B436)=0,"",B436-(INTERCEPT('3. Cleaned Data'!$B$4:$B$1041,'3. Cleaned Data'!$H$4:$H$1041)+SLOPE('3. Cleaned Data'!$B$4:$B$1041,'3. Cleaned Data'!$H$4:$H$1041)*H436))</f>
        <v>-0.6239656273595493</v>
      </c>
    </row>
    <row r="437" spans="1:10" x14ac:dyDescent="0.2">
      <c r="A437" s="12">
        <v>42957</v>
      </c>
      <c r="B437" s="13">
        <v>15.80188476</v>
      </c>
      <c r="C437" s="13">
        <v>138.279999</v>
      </c>
      <c r="D437" s="13">
        <v>138.279999</v>
      </c>
      <c r="E437" s="13">
        <v>136.259995</v>
      </c>
      <c r="F437" s="13">
        <v>136.270004</v>
      </c>
      <c r="G437" s="13">
        <v>130.59939600000001</v>
      </c>
      <c r="H437" s="13">
        <v>130.59939600000001</v>
      </c>
      <c r="I437" s="14">
        <f t="shared" si="6"/>
        <v>-1.815666767628088E-2</v>
      </c>
      <c r="J437" s="14">
        <f>IF(COUNT(B437)=0,"",B437-(INTERCEPT('3. Cleaned Data'!$B$4:$B$1041,'3. Cleaned Data'!$H$4:$H$1041)+SLOPE('3. Cleaned Data'!$B$4:$B$1041,'3. Cleaned Data'!$H$4:$H$1041)*H437))</f>
        <v>-0.26537373356403293</v>
      </c>
    </row>
    <row r="438" spans="1:10" x14ac:dyDescent="0.2">
      <c r="A438" s="12">
        <v>42958</v>
      </c>
      <c r="B438" s="13">
        <v>15.490354672800001</v>
      </c>
      <c r="C438" s="13">
        <v>136.21000699999999</v>
      </c>
      <c r="D438" s="13">
        <v>136.740005</v>
      </c>
      <c r="E438" s="13">
        <v>135.770004</v>
      </c>
      <c r="F438" s="13">
        <v>136.470001</v>
      </c>
      <c r="G438" s="13">
        <v>130.79106100000001</v>
      </c>
      <c r="H438" s="13">
        <v>130.79106100000001</v>
      </c>
      <c r="I438" s="14">
        <f t="shared" si="6"/>
        <v>1.4675795284688764E-3</v>
      </c>
      <c r="J438" s="14">
        <f>IF(COUNT(B438)=0,"",B438-(INTERCEPT('3. Cleaned Data'!$B$4:$B$1041,'3. Cleaned Data'!$H$4:$H$1041)+SLOPE('3. Cleaned Data'!$B$4:$B$1041,'3. Cleaned Data'!$H$4:$H$1041)*H438))</f>
        <v>-0.60312214142369491</v>
      </c>
    </row>
    <row r="439" spans="1:10" x14ac:dyDescent="0.2">
      <c r="A439" s="12">
        <v>42961</v>
      </c>
      <c r="B439" s="13">
        <v>15.5178168</v>
      </c>
      <c r="C439" s="13">
        <v>137.259995</v>
      </c>
      <c r="D439" s="13">
        <v>138.58999600000001</v>
      </c>
      <c r="E439" s="13">
        <v>137.229996</v>
      </c>
      <c r="F439" s="13">
        <v>138.53999300000001</v>
      </c>
      <c r="G439" s="13">
        <v>132.77491800000001</v>
      </c>
      <c r="H439" s="13">
        <v>132.77491800000001</v>
      </c>
      <c r="I439" s="14">
        <f t="shared" si="6"/>
        <v>1.5168139051949359E-2</v>
      </c>
      <c r="J439" s="14">
        <f>IF(COUNT(B439)=0,"",B439-(INTERCEPT('3. Cleaned Data'!$B$4:$B$1041,'3. Cleaned Data'!$H$4:$H$1041)+SLOPE('3. Cleaned Data'!$B$4:$B$1041,'3. Cleaned Data'!$H$4:$H$1041)*H439))</f>
        <v>-0.84703662951035774</v>
      </c>
    </row>
    <row r="440" spans="1:10" x14ac:dyDescent="0.2">
      <c r="A440" s="12">
        <v>42962</v>
      </c>
      <c r="B440" s="13">
        <v>15.361498389599999</v>
      </c>
      <c r="C440" s="13">
        <v>138.800003</v>
      </c>
      <c r="D440" s="13">
        <v>138.820007</v>
      </c>
      <c r="E440" s="13">
        <v>137.33999600000001</v>
      </c>
      <c r="F440" s="13">
        <v>137.39999399999999</v>
      </c>
      <c r="G440" s="13">
        <v>131.68237300000001</v>
      </c>
      <c r="H440" s="13">
        <v>131.68237300000001</v>
      </c>
      <c r="I440" s="14">
        <f t="shared" si="6"/>
        <v>-8.2285496120585444E-3</v>
      </c>
      <c r="J440" s="14">
        <f>IF(COUNT(B440)=0,"",B440-(INTERCEPT('3. Cleaned Data'!$B$4:$B$1041,'3. Cleaned Data'!$H$4:$H$1041)+SLOPE('3. Cleaned Data'!$B$4:$B$1041,'3. Cleaned Data'!$H$4:$H$1041)*H440))</f>
        <v>-0.85390315696296604</v>
      </c>
    </row>
    <row r="441" spans="1:10" x14ac:dyDescent="0.2">
      <c r="A441" s="12">
        <v>42963</v>
      </c>
      <c r="B441" s="13">
        <v>15.661382796</v>
      </c>
      <c r="C441" s="13">
        <v>137.66999799999999</v>
      </c>
      <c r="D441" s="13">
        <v>138.38999899999999</v>
      </c>
      <c r="E441" s="13">
        <v>137.21000699999999</v>
      </c>
      <c r="F441" s="13">
        <v>137.44000199999999</v>
      </c>
      <c r="G441" s="13">
        <v>131.72070299999999</v>
      </c>
      <c r="H441" s="13">
        <v>131.72070299999999</v>
      </c>
      <c r="I441" s="14">
        <f t="shared" si="6"/>
        <v>2.9107920161774992E-4</v>
      </c>
      <c r="J441" s="14">
        <f>IF(COUNT(B441)=0,"",B441-(INTERCEPT('3. Cleaned Data'!$B$4:$B$1041,'3. Cleaned Data'!$H$4:$H$1041)+SLOPE('3. Cleaned Data'!$B$4:$B$1041,'3. Cleaned Data'!$H$4:$H$1041)*H441))</f>
        <v>-0.55926200431761153</v>
      </c>
    </row>
    <row r="442" spans="1:10" x14ac:dyDescent="0.2">
      <c r="A442" s="12">
        <v>42964</v>
      </c>
      <c r="B442" s="13">
        <v>15.830965836000001</v>
      </c>
      <c r="C442" s="13">
        <v>136.979996</v>
      </c>
      <c r="D442" s="13">
        <v>137.69000199999999</v>
      </c>
      <c r="E442" s="13">
        <v>134.91999799999999</v>
      </c>
      <c r="F442" s="13">
        <v>134.929993</v>
      </c>
      <c r="G442" s="13">
        <v>129.31514000000001</v>
      </c>
      <c r="H442" s="13">
        <v>129.31514000000001</v>
      </c>
      <c r="I442" s="14">
        <f t="shared" si="6"/>
        <v>-1.8262603715377801E-2</v>
      </c>
      <c r="J442" s="14">
        <f>IF(COUNT(B442)=0,"",B442-(INTERCEPT('3. Cleaned Data'!$B$4:$B$1041,'3. Cleaned Data'!$H$4:$H$1041)+SLOPE('3. Cleaned Data'!$B$4:$B$1041,'3. Cleaned Data'!$H$4:$H$1041)*H442))</f>
        <v>-6.0616161505301136E-2</v>
      </c>
    </row>
    <row r="443" spans="1:10" x14ac:dyDescent="0.2">
      <c r="A443" s="12">
        <v>42965</v>
      </c>
      <c r="B443" s="13">
        <v>15.805415057999999</v>
      </c>
      <c r="C443" s="13">
        <v>134.470001</v>
      </c>
      <c r="D443" s="13">
        <v>135.46000699999999</v>
      </c>
      <c r="E443" s="13">
        <v>134.11999499999999</v>
      </c>
      <c r="F443" s="13">
        <v>134.91999799999999</v>
      </c>
      <c r="G443" s="13">
        <v>129.305542</v>
      </c>
      <c r="H443" s="13">
        <v>129.305542</v>
      </c>
      <c r="I443" s="14">
        <f t="shared" si="6"/>
        <v>-7.4221780991812203E-5</v>
      </c>
      <c r="J443" s="14">
        <f>IF(COUNT(B443)=0,"",B443-(INTERCEPT('3. Cleaned Data'!$B$4:$B$1041,'3. Cleaned Data'!$H$4:$H$1041)+SLOPE('3. Cleaned Data'!$B$4:$B$1041,'3. Cleaned Data'!$H$4:$H$1041)*H443))</f>
        <v>-8.4854005784007924E-2</v>
      </c>
    </row>
    <row r="444" spans="1:10" x14ac:dyDescent="0.2">
      <c r="A444" s="12">
        <v>42968</v>
      </c>
      <c r="B444" s="13">
        <v>15.2263103064</v>
      </c>
      <c r="C444" s="13">
        <v>134.69000199999999</v>
      </c>
      <c r="D444" s="13">
        <v>135.020004</v>
      </c>
      <c r="E444" s="13">
        <v>134.13999899999999</v>
      </c>
      <c r="F444" s="13">
        <v>134.83000200000001</v>
      </c>
      <c r="G444" s="13">
        <v>129.21933000000001</v>
      </c>
      <c r="H444" s="13">
        <v>129.21933000000001</v>
      </c>
      <c r="I444" s="14">
        <f t="shared" si="6"/>
        <v>-6.667308969633412E-4</v>
      </c>
      <c r="J444" s="14">
        <f>IF(COUNT(B444)=0,"",B444-(INTERCEPT('3. Cleaned Data'!$B$4:$B$1041,'3. Cleaned Data'!$H$4:$H$1041)+SLOPE('3. Cleaned Data'!$B$4:$B$1041,'3. Cleaned Data'!$H$4:$H$1041)*H444))</f>
        <v>-0.65216560860509354</v>
      </c>
    </row>
    <row r="445" spans="1:10" x14ac:dyDescent="0.2">
      <c r="A445" s="12">
        <v>42969</v>
      </c>
      <c r="B445" s="13">
        <v>15.584658012</v>
      </c>
      <c r="C445" s="13">
        <v>135.259995</v>
      </c>
      <c r="D445" s="13">
        <v>136.449997</v>
      </c>
      <c r="E445" s="13">
        <v>135.13999899999999</v>
      </c>
      <c r="F445" s="13">
        <v>136.28999300000001</v>
      </c>
      <c r="G445" s="13">
        <v>130.61852999999999</v>
      </c>
      <c r="H445" s="13">
        <v>130.61852999999999</v>
      </c>
      <c r="I445" s="14">
        <f t="shared" si="6"/>
        <v>1.0828101337470031E-2</v>
      </c>
      <c r="J445" s="14">
        <f>IF(COUNT(B445)=0,"",B445-(INTERCEPT('3. Cleaned Data'!$B$4:$B$1041,'3. Cleaned Data'!$H$4:$H$1041)+SLOPE('3. Cleaned Data'!$B$4:$B$1041,'3. Cleaned Data'!$H$4:$H$1041)*H445))</f>
        <v>-0.48521786787609678</v>
      </c>
    </row>
    <row r="446" spans="1:10" x14ac:dyDescent="0.2">
      <c r="A446" s="12">
        <v>42970</v>
      </c>
      <c r="B446" s="13">
        <v>15.6506945364</v>
      </c>
      <c r="C446" s="13">
        <v>135.529999</v>
      </c>
      <c r="D446" s="13">
        <v>136.570007</v>
      </c>
      <c r="E446" s="13">
        <v>135.21000699999999</v>
      </c>
      <c r="F446" s="13">
        <v>136.070007</v>
      </c>
      <c r="G446" s="13">
        <v>130.407715</v>
      </c>
      <c r="H446" s="13">
        <v>130.407715</v>
      </c>
      <c r="I446" s="14">
        <f t="shared" si="6"/>
        <v>-1.6139746787841025E-3</v>
      </c>
      <c r="J446" s="14">
        <f>IF(COUNT(B446)=0,"",B446-(INTERCEPT('3. Cleaned Data'!$B$4:$B$1041,'3. Cleaned Data'!$H$4:$H$1041)+SLOPE('3. Cleaned Data'!$B$4:$B$1041,'3. Cleaned Data'!$H$4:$H$1041)*H446))</f>
        <v>-0.39034344782552566</v>
      </c>
    </row>
    <row r="447" spans="1:10" x14ac:dyDescent="0.2">
      <c r="A447" s="12">
        <v>42971</v>
      </c>
      <c r="B447" s="13">
        <v>15.970356259200001</v>
      </c>
      <c r="C447" s="13">
        <v>136.63999899999999</v>
      </c>
      <c r="D447" s="13">
        <v>136.929993</v>
      </c>
      <c r="E447" s="13">
        <v>136.020004</v>
      </c>
      <c r="F447" s="13">
        <v>136.490005</v>
      </c>
      <c r="G447" s="13">
        <v>130.810226</v>
      </c>
      <c r="H447" s="13">
        <v>130.810226</v>
      </c>
      <c r="I447" s="14">
        <f t="shared" si="6"/>
        <v>3.0865581840768819E-3</v>
      </c>
      <c r="J447" s="14">
        <f>IF(COUNT(B447)=0,"",B447-(INTERCEPT('3. Cleaned Data'!$B$4:$B$1041,'3. Cleaned Data'!$H$4:$H$1041)+SLOPE('3. Cleaned Data'!$B$4:$B$1041,'3. Cleaned Data'!$H$4:$H$1041)*H447))</f>
        <v>-0.12574218190101938</v>
      </c>
    </row>
    <row r="448" spans="1:10" x14ac:dyDescent="0.2">
      <c r="A448" s="12">
        <v>42972</v>
      </c>
      <c r="B448" s="13">
        <v>15.595174728</v>
      </c>
      <c r="C448" s="13">
        <v>136.88000500000001</v>
      </c>
      <c r="D448" s="13">
        <v>137.30999800000001</v>
      </c>
      <c r="E448" s="13">
        <v>136.41999799999999</v>
      </c>
      <c r="F448" s="13">
        <v>136.88000500000001</v>
      </c>
      <c r="G448" s="13">
        <v>131.18398999999999</v>
      </c>
      <c r="H448" s="13">
        <v>131.18398999999999</v>
      </c>
      <c r="I448" s="14">
        <f t="shared" si="6"/>
        <v>2.8572995508775456E-3</v>
      </c>
      <c r="J448" s="14">
        <f>IF(COUNT(B448)=0,"",B448-(INTERCEPT('3. Cleaned Data'!$B$4:$B$1041,'3. Cleaned Data'!$H$4:$H$1041)+SLOPE('3. Cleaned Data'!$B$4:$B$1041,'3. Cleaned Data'!$H$4:$H$1041)*H448))</f>
        <v>-0.55205179805674121</v>
      </c>
    </row>
    <row r="449" spans="1:10" x14ac:dyDescent="0.2">
      <c r="A449" s="12">
        <v>42975</v>
      </c>
      <c r="B449" s="13">
        <v>16.069850519999999</v>
      </c>
      <c r="C449" s="13">
        <v>137.36999499999999</v>
      </c>
      <c r="D449" s="13">
        <v>137.61000100000001</v>
      </c>
      <c r="E449" s="13">
        <v>136.770004</v>
      </c>
      <c r="F449" s="13">
        <v>137.46000699999999</v>
      </c>
      <c r="G449" s="13">
        <v>131.73985300000001</v>
      </c>
      <c r="H449" s="13">
        <v>131.73985300000001</v>
      </c>
      <c r="I449" s="14">
        <f t="shared" si="6"/>
        <v>4.2372777348822499E-3</v>
      </c>
      <c r="J449" s="14">
        <f>IF(COUNT(B449)=0,"",B449-(INTERCEPT('3. Cleaned Data'!$B$4:$B$1041,'3. Cleaned Data'!$H$4:$H$1041)+SLOPE('3. Cleaned Data'!$B$4:$B$1041,'3. Cleaned Data'!$H$4:$H$1041)*H449))</f>
        <v>-0.15341385530852492</v>
      </c>
    </row>
    <row r="450" spans="1:10" x14ac:dyDescent="0.2">
      <c r="A450" s="12">
        <v>42976</v>
      </c>
      <c r="B450" s="13">
        <v>15.514275571200001</v>
      </c>
      <c r="C450" s="13">
        <v>136.490005</v>
      </c>
      <c r="D450" s="13">
        <v>137.80999800000001</v>
      </c>
      <c r="E450" s="13">
        <v>136.229996</v>
      </c>
      <c r="F450" s="13">
        <v>137.490005</v>
      </c>
      <c r="G450" s="13">
        <v>131.76861600000001</v>
      </c>
      <c r="H450" s="13">
        <v>131.76861600000001</v>
      </c>
      <c r="I450" s="14">
        <f t="shared" si="6"/>
        <v>2.1833180579000633E-4</v>
      </c>
      <c r="J450" s="14">
        <f>IF(COUNT(B450)=0,"",B450-(INTERCEPT('3. Cleaned Data'!$B$4:$B$1041,'3. Cleaned Data'!$H$4:$H$1041)+SLOPE('3. Cleaned Data'!$B$4:$B$1041,'3. Cleaned Data'!$H$4:$H$1041)*H450))</f>
        <v>-0.71292336470713913</v>
      </c>
    </row>
    <row r="451" spans="1:10" x14ac:dyDescent="0.2">
      <c r="A451" s="12">
        <v>42977</v>
      </c>
      <c r="B451" s="13">
        <v>16.485606454799999</v>
      </c>
      <c r="C451" s="13">
        <v>137.36000100000001</v>
      </c>
      <c r="D451" s="13">
        <v>138.509995</v>
      </c>
      <c r="E451" s="13">
        <v>137.25</v>
      </c>
      <c r="F451" s="13">
        <v>138.36999499999999</v>
      </c>
      <c r="G451" s="13">
        <v>132.61203</v>
      </c>
      <c r="H451" s="13">
        <v>132.61203</v>
      </c>
      <c r="I451" s="14">
        <f t="shared" si="6"/>
        <v>6.4007198800661858E-3</v>
      </c>
      <c r="J451" s="14">
        <f>IF(COUNT(B451)=0,"",B451-(INTERCEPT('3. Cleaned Data'!$B$4:$B$1041,'3. Cleaned Data'!$H$4:$H$1041)+SLOPE('3. Cleaned Data'!$B$4:$B$1041,'3. Cleaned Data'!$H$4:$H$1041)*H451))</f>
        <v>0.14303487025669881</v>
      </c>
    </row>
    <row r="452" spans="1:10" x14ac:dyDescent="0.2">
      <c r="A452" s="12">
        <v>42978</v>
      </c>
      <c r="B452" s="13">
        <v>16.519957737599999</v>
      </c>
      <c r="C452" s="13">
        <v>138.91000399999999</v>
      </c>
      <c r="D452" s="13">
        <v>139.94000199999999</v>
      </c>
      <c r="E452" s="13">
        <v>138.66999799999999</v>
      </c>
      <c r="F452" s="13">
        <v>139.729996</v>
      </c>
      <c r="G452" s="13">
        <v>133.91542100000001</v>
      </c>
      <c r="H452" s="13">
        <v>133.91542100000001</v>
      </c>
      <c r="I452" s="14">
        <f t="shared" si="6"/>
        <v>9.82860303096178E-3</v>
      </c>
      <c r="J452" s="14">
        <f>IF(COUNT(B452)=0,"",B452-(INTERCEPT('3. Cleaned Data'!$B$4:$B$1041,'3. Cleaned Data'!$H$4:$H$1041)+SLOPE('3. Cleaned Data'!$B$4:$B$1041,'3. Cleaned Data'!$H$4:$H$1041)*H452))</f>
        <v>-9.0786610652671129E-4</v>
      </c>
    </row>
    <row r="453" spans="1:10" x14ac:dyDescent="0.2">
      <c r="A453" s="12">
        <v>42979</v>
      </c>
      <c r="B453" s="13">
        <v>16.478500072799999</v>
      </c>
      <c r="C453" s="13">
        <v>139.979996</v>
      </c>
      <c r="D453" s="13">
        <v>140.63000500000001</v>
      </c>
      <c r="E453" s="13">
        <v>139.729996</v>
      </c>
      <c r="F453" s="13">
        <v>140.520004</v>
      </c>
      <c r="G453" s="13">
        <v>134.67253099999999</v>
      </c>
      <c r="H453" s="13">
        <v>134.67253099999999</v>
      </c>
      <c r="I453" s="14">
        <f t="shared" ref="I453:I516" si="7">H453/H452-1</f>
        <v>5.6536431304650137E-3</v>
      </c>
      <c r="J453" s="14">
        <f>IF(COUNT(B453)=0,"",B453-(INTERCEPT('3. Cleaned Data'!$B$4:$B$1041,'3. Cleaned Data'!$H$4:$H$1041)+SLOPE('3. Cleaned Data'!$B$4:$B$1041,'3. Cleaned Data'!$H$4:$H$1041)*H453))</f>
        <v>-0.1459324458604172</v>
      </c>
    </row>
    <row r="454" spans="1:10" x14ac:dyDescent="0.2">
      <c r="A454" s="12">
        <v>42983</v>
      </c>
      <c r="B454" s="13">
        <v>15.3586020096</v>
      </c>
      <c r="C454" s="13">
        <v>140.63000500000001</v>
      </c>
      <c r="D454" s="13">
        <v>140.88999899999999</v>
      </c>
      <c r="E454" s="13">
        <v>138.58000200000001</v>
      </c>
      <c r="F454" s="13">
        <v>139.16999799999999</v>
      </c>
      <c r="G454" s="13">
        <v>133.378693</v>
      </c>
      <c r="H454" s="13">
        <v>133.378693</v>
      </c>
      <c r="I454" s="14">
        <f t="shared" si="7"/>
        <v>-9.6072895518685142E-3</v>
      </c>
      <c r="J454" s="14">
        <f>IF(COUNT(B454)=0,"",B454-(INTERCEPT('3. Cleaned Data'!$B$4:$B$1041,'3. Cleaned Data'!$H$4:$H$1041)+SLOPE('3. Cleaned Data'!$B$4:$B$1041,'3. Cleaned Data'!$H$4:$H$1041)*H454))</f>
        <v>-1.0888432679592359</v>
      </c>
    </row>
    <row r="455" spans="1:10" x14ac:dyDescent="0.2">
      <c r="A455" s="12">
        <v>42984</v>
      </c>
      <c r="B455" s="13">
        <v>16.3185146352</v>
      </c>
      <c r="C455" s="13">
        <v>139.740005</v>
      </c>
      <c r="D455" s="13">
        <v>140</v>
      </c>
      <c r="E455" s="13">
        <v>139.08000200000001</v>
      </c>
      <c r="F455" s="13">
        <v>139.46000699999999</v>
      </c>
      <c r="G455" s="13">
        <v>133.65661600000001</v>
      </c>
      <c r="H455" s="13">
        <v>133.65661600000001</v>
      </c>
      <c r="I455" s="14">
        <f t="shared" si="7"/>
        <v>2.0837136258338163E-3</v>
      </c>
      <c r="J455" s="14">
        <f>IF(COUNT(B455)=0,"",B455-(INTERCEPT('3. Cleaned Data'!$B$4:$B$1041,'3. Cleaned Data'!$H$4:$H$1041)+SLOPE('3. Cleaned Data'!$B$4:$B$1041,'3. Cleaned Data'!$H$4:$H$1041)*H455))</f>
        <v>-0.1669484042494922</v>
      </c>
    </row>
    <row r="456" spans="1:10" x14ac:dyDescent="0.2">
      <c r="A456" s="12">
        <v>42985</v>
      </c>
      <c r="B456" s="13">
        <v>16.478500072799999</v>
      </c>
      <c r="C456" s="13">
        <v>139.58999600000001</v>
      </c>
      <c r="D456" s="13">
        <v>139.69000199999999</v>
      </c>
      <c r="E456" s="13">
        <v>138.58999600000001</v>
      </c>
      <c r="F456" s="13">
        <v>139.11000100000001</v>
      </c>
      <c r="G456" s="13">
        <v>133.32119800000001</v>
      </c>
      <c r="H456" s="13">
        <v>133.32119800000001</v>
      </c>
      <c r="I456" s="14">
        <f t="shared" si="7"/>
        <v>-2.5095502941657744E-3</v>
      </c>
      <c r="J456" s="14">
        <f>IF(COUNT(B456)=0,"",B456-(INTERCEPT('3. Cleaned Data'!$B$4:$B$1041,'3. Cleaned Data'!$H$4:$H$1041)+SLOPE('3. Cleaned Data'!$B$4:$B$1041,'3. Cleaned Data'!$H$4:$H$1041)*H456))</f>
        <v>3.8919675872737258E-2</v>
      </c>
    </row>
    <row r="457" spans="1:10" x14ac:dyDescent="0.2">
      <c r="A457" s="12">
        <v>42986</v>
      </c>
      <c r="B457" s="13">
        <v>15.5185874472</v>
      </c>
      <c r="C457" s="13">
        <v>138.929993</v>
      </c>
      <c r="D457" s="13">
        <v>139.770004</v>
      </c>
      <c r="E457" s="13">
        <v>138.61999499999999</v>
      </c>
      <c r="F457" s="13">
        <v>139.11000100000001</v>
      </c>
      <c r="G457" s="13">
        <v>133.32119800000001</v>
      </c>
      <c r="H457" s="13">
        <v>133.32119800000001</v>
      </c>
      <c r="I457" s="14">
        <f t="shared" si="7"/>
        <v>0</v>
      </c>
      <c r="J457" s="14">
        <f>IF(COUNT(B457)=0,"",B457-(INTERCEPT('3. Cleaned Data'!$B$4:$B$1041,'3. Cleaned Data'!$H$4:$H$1041)+SLOPE('3. Cleaned Data'!$B$4:$B$1041,'3. Cleaned Data'!$H$4:$H$1041)*H457))</f>
        <v>-0.9209929497272622</v>
      </c>
    </row>
    <row r="458" spans="1:10" x14ac:dyDescent="0.2">
      <c r="A458" s="12">
        <v>42989</v>
      </c>
      <c r="B458" s="15">
        <v>15.838558322400001</v>
      </c>
      <c r="C458" s="13">
        <v>140.38999899999999</v>
      </c>
      <c r="D458" s="13">
        <v>140.91999799999999</v>
      </c>
      <c r="E458" s="13">
        <v>140.229996</v>
      </c>
      <c r="F458" s="15"/>
      <c r="G458" s="15"/>
      <c r="H458" s="15">
        <v>133.790805181818</v>
      </c>
      <c r="I458" s="14">
        <f t="shared" si="7"/>
        <v>3.5223744525456624E-3</v>
      </c>
      <c r="J458" s="14">
        <f>IF(COUNT(B458)=0,"",B458-(INTERCEPT('3. Cleaned Data'!$B$4:$B$1041,'3. Cleaned Data'!$H$4:$H$1041)+SLOPE('3. Cleaned Data'!$B$4:$B$1041,'3. Cleaned Data'!$H$4:$H$1041)*H458))</f>
        <v>-0.66526078100463337</v>
      </c>
    </row>
    <row r="459" spans="1:10" x14ac:dyDescent="0.2">
      <c r="A459" s="12">
        <v>42990</v>
      </c>
      <c r="B459" s="15">
        <v>15.5185874472</v>
      </c>
      <c r="C459" s="13">
        <v>141.03999300000001</v>
      </c>
      <c r="D459" s="13">
        <v>141.69000199999999</v>
      </c>
      <c r="E459" s="13">
        <v>140.820007</v>
      </c>
      <c r="F459" s="15"/>
      <c r="G459" s="15"/>
      <c r="H459" s="15">
        <v>134.26041236363599</v>
      </c>
      <c r="I459" s="14">
        <f t="shared" si="7"/>
        <v>3.5100108798942209E-3</v>
      </c>
      <c r="J459" s="14">
        <f>IF(COUNT(B459)=0,"",B459-(INTERCEPT('3. Cleaned Data'!$B$4:$B$1041,'3. Cleaned Data'!$H$4:$H$1041)+SLOPE('3. Cleaned Data'!$B$4:$B$1041,'3. Cleaned Data'!$H$4:$H$1041)*H459))</f>
        <v>-1.049470362682003</v>
      </c>
    </row>
    <row r="460" spans="1:10" x14ac:dyDescent="0.2">
      <c r="A460" s="12">
        <v>42991</v>
      </c>
      <c r="B460" s="15">
        <v>16.1585291976</v>
      </c>
      <c r="C460" s="13">
        <v>141.41000399999999</v>
      </c>
      <c r="D460" s="13">
        <v>142.220001</v>
      </c>
      <c r="E460" s="13">
        <v>141.320007</v>
      </c>
      <c r="F460" s="15"/>
      <c r="G460" s="15"/>
      <c r="H460" s="15">
        <v>134.73001954545501</v>
      </c>
      <c r="I460" s="14">
        <f t="shared" si="7"/>
        <v>3.4977337962220911E-3</v>
      </c>
      <c r="J460" s="14">
        <f>IF(COUNT(B460)=0,"",B460-(INTERCEPT('3. Cleaned Data'!$B$4:$B$1041,'3. Cleaned Data'!$H$4:$H$1041)+SLOPE('3. Cleaned Data'!$B$4:$B$1041,'3. Cleaned Data'!$H$4:$H$1041)*H460))</f>
        <v>-0.4737673187595135</v>
      </c>
    </row>
    <row r="461" spans="1:10" x14ac:dyDescent="0.2">
      <c r="A461" s="12">
        <v>42992</v>
      </c>
      <c r="B461" s="15">
        <v>16.478500072799999</v>
      </c>
      <c r="C461" s="13">
        <v>141.779999</v>
      </c>
      <c r="D461" s="13">
        <v>142.16000399999999</v>
      </c>
      <c r="E461" s="13">
        <v>141.41999799999999</v>
      </c>
      <c r="F461" s="15"/>
      <c r="G461" s="15"/>
      <c r="H461" s="15">
        <v>135.199626727273</v>
      </c>
      <c r="I461" s="14">
        <f t="shared" si="7"/>
        <v>3.4855422971238337E-3</v>
      </c>
      <c r="J461" s="14">
        <f>IF(COUNT(B461)=0,"",B461-(INTERCEPT('3. Cleaned Data'!$B$4:$B$1041,'3. Cleaned Data'!$H$4:$H$1041)+SLOPE('3. Cleaned Data'!$B$4:$B$1041,'3. Cleaned Data'!$H$4:$H$1041)*H461))</f>
        <v>-0.2180351500368829</v>
      </c>
    </row>
    <row r="462" spans="1:10" x14ac:dyDescent="0.2">
      <c r="A462" s="12">
        <v>42993</v>
      </c>
      <c r="B462" s="15">
        <v>15.198616572000001</v>
      </c>
      <c r="C462" s="13">
        <v>141.63999899999999</v>
      </c>
      <c r="D462" s="13">
        <v>142.470001</v>
      </c>
      <c r="E462" s="13">
        <v>141.550003</v>
      </c>
      <c r="F462" s="15"/>
      <c r="G462" s="15"/>
      <c r="H462" s="15">
        <v>135.66923390909099</v>
      </c>
      <c r="I462" s="14">
        <f t="shared" si="7"/>
        <v>3.4734354908041443E-3</v>
      </c>
      <c r="J462" s="14">
        <f>IF(COUNT(B462)=0,"",B462-(INTERCEPT('3. Cleaned Data'!$B$4:$B$1041,'3. Cleaned Data'!$H$4:$H$1041)+SLOPE('3. Cleaned Data'!$B$4:$B$1041,'3. Cleaned Data'!$H$4:$H$1041)*H462))</f>
        <v>-1.5621573573142502</v>
      </c>
    </row>
    <row r="463" spans="1:10" x14ac:dyDescent="0.2">
      <c r="A463" s="12">
        <v>42996</v>
      </c>
      <c r="B463" s="15">
        <v>15.5185874472</v>
      </c>
      <c r="C463" s="13">
        <v>142.61999499999999</v>
      </c>
      <c r="D463" s="13">
        <v>143.80999800000001</v>
      </c>
      <c r="E463" s="13">
        <v>142.60000600000001</v>
      </c>
      <c r="F463" s="15"/>
      <c r="G463" s="15"/>
      <c r="H463" s="15">
        <v>136.13884109090901</v>
      </c>
      <c r="I463" s="14">
        <f t="shared" si="7"/>
        <v>3.4614124977863092E-3</v>
      </c>
      <c r="J463" s="14">
        <f>IF(COUNT(B463)=0,"",B463-(INTERCEPT('3. Cleaned Data'!$B$4:$B$1041,'3. Cleaned Data'!$H$4:$H$1041)+SLOPE('3. Cleaned Data'!$B$4:$B$1041,'3. Cleaned Data'!$H$4:$H$1041)*H463))</f>
        <v>-1.3064251885916232</v>
      </c>
    </row>
    <row r="464" spans="1:10" x14ac:dyDescent="0.2">
      <c r="A464" s="12">
        <v>42997</v>
      </c>
      <c r="B464" s="15">
        <v>16.798470947999999</v>
      </c>
      <c r="C464" s="13">
        <v>143.570007</v>
      </c>
      <c r="D464" s="13">
        <v>143.69000199999999</v>
      </c>
      <c r="E464" s="13">
        <v>143.08999600000001</v>
      </c>
      <c r="F464" s="15"/>
      <c r="G464" s="15"/>
      <c r="H464" s="15">
        <v>136.608448272727</v>
      </c>
      <c r="I464" s="14">
        <f t="shared" si="7"/>
        <v>3.4494724507343477E-3</v>
      </c>
      <c r="J464" s="14">
        <f>IF(COUNT(B464)=0,"",B464-(INTERCEPT('3. Cleaned Data'!$B$4:$B$1041,'3. Cleaned Data'!$H$4:$H$1041)+SLOPE('3. Cleaned Data'!$B$4:$B$1041,'3. Cleaned Data'!$H$4:$H$1041)*H464))</f>
        <v>-9.0780394268996645E-2</v>
      </c>
    </row>
    <row r="465" spans="1:10" x14ac:dyDescent="0.2">
      <c r="A465" s="12">
        <v>42998</v>
      </c>
      <c r="B465" s="15">
        <v>15.953688230399999</v>
      </c>
      <c r="C465" s="13">
        <v>143.529999</v>
      </c>
      <c r="D465" s="13">
        <v>144.020004</v>
      </c>
      <c r="E465" s="13">
        <v>143.259995</v>
      </c>
      <c r="F465" s="15"/>
      <c r="G465" s="15"/>
      <c r="H465" s="15">
        <v>137.07805545454499</v>
      </c>
      <c r="I465" s="14">
        <f t="shared" si="7"/>
        <v>3.4376144942402931E-3</v>
      </c>
      <c r="J465" s="14">
        <f>IF(COUNT(B465)=0,"",B465-(INTERCEPT('3. Cleaned Data'!$B$4:$B$1041,'3. Cleaned Data'!$H$4:$H$1041)+SLOPE('3. Cleaned Data'!$B$4:$B$1041,'3. Cleaned Data'!$H$4:$H$1041)*H465))</f>
        <v>-0.99980181834636461</v>
      </c>
    </row>
    <row r="466" spans="1:10" x14ac:dyDescent="0.2">
      <c r="A466" s="12">
        <v>42999</v>
      </c>
      <c r="B466" s="15">
        <v>16.0044908544</v>
      </c>
      <c r="C466" s="13">
        <v>144.020004</v>
      </c>
      <c r="D466" s="13">
        <v>144.259995</v>
      </c>
      <c r="E466" s="13">
        <v>143.479996</v>
      </c>
      <c r="F466" s="15"/>
      <c r="G466" s="15"/>
      <c r="H466" s="15">
        <v>137.54766263636401</v>
      </c>
      <c r="I466" s="14">
        <f t="shared" si="7"/>
        <v>3.4258377846243526E-3</v>
      </c>
      <c r="J466" s="14">
        <f>IF(COUNT(B466)=0,"",B466-(INTERCEPT('3. Cleaned Data'!$B$4:$B$1041,'3. Cleaned Data'!$H$4:$H$1041)+SLOPE('3. Cleaned Data'!$B$4:$B$1041,'3. Cleaned Data'!$H$4:$H$1041)*H466))</f>
        <v>-1.0132379008238743</v>
      </c>
    </row>
    <row r="467" spans="1:10" x14ac:dyDescent="0.2">
      <c r="A467" s="12">
        <v>43000</v>
      </c>
      <c r="B467" s="15">
        <v>16.997600039999998</v>
      </c>
      <c r="C467" s="13">
        <v>143.66999799999999</v>
      </c>
      <c r="D467" s="13">
        <v>144.66999799999999</v>
      </c>
      <c r="E467" s="13">
        <v>143.55999800000001</v>
      </c>
      <c r="F467" s="15"/>
      <c r="G467" s="15"/>
      <c r="H467" s="15">
        <v>138.017269818182</v>
      </c>
      <c r="I467" s="14">
        <f t="shared" si="7"/>
        <v>3.4141414896995403E-3</v>
      </c>
      <c r="J467" s="14">
        <f>IF(COUNT(B467)=0,"",B467-(INTERCEPT('3. Cleaned Data'!$B$4:$B$1041,'3. Cleaned Data'!$H$4:$H$1041)+SLOPE('3. Cleaned Data'!$B$4:$B$1041,'3. Cleaned Data'!$H$4:$H$1041)*H467))</f>
        <v>-8.4367421701244893E-2</v>
      </c>
    </row>
    <row r="468" spans="1:10" x14ac:dyDescent="0.2">
      <c r="A468" s="12">
        <v>43003</v>
      </c>
      <c r="B468" s="13">
        <v>17.042561639999999</v>
      </c>
      <c r="C468" s="13">
        <v>144.270004</v>
      </c>
      <c r="D468" s="13">
        <v>144.94000199999999</v>
      </c>
      <c r="E468" s="13">
        <v>143.69000199999999</v>
      </c>
      <c r="F468" s="13">
        <v>144.5</v>
      </c>
      <c r="G468" s="13">
        <v>138.48687699999999</v>
      </c>
      <c r="H468" s="13">
        <v>138.48687699999999</v>
      </c>
      <c r="I468" s="14">
        <f t="shared" si="7"/>
        <v>3.4025247886488863E-3</v>
      </c>
      <c r="J468" s="14">
        <f>IF(COUNT(B468)=0,"",B468-(INTERCEPT('3. Cleaned Data'!$B$4:$B$1041,'3. Cleaned Data'!$H$4:$H$1041)+SLOPE('3. Cleaned Data'!$B$4:$B$1041,'3. Cleaned Data'!$H$4:$H$1041)*H468))</f>
        <v>-0.10364452817861292</v>
      </c>
    </row>
    <row r="469" spans="1:10" x14ac:dyDescent="0.2">
      <c r="A469" s="12">
        <v>43004</v>
      </c>
      <c r="B469" s="13">
        <v>17.766227231999999</v>
      </c>
      <c r="C469" s="13">
        <v>144.28999300000001</v>
      </c>
      <c r="D469" s="13">
        <v>145.14999399999999</v>
      </c>
      <c r="E469" s="13">
        <v>144.179993</v>
      </c>
      <c r="F469" s="13">
        <v>144.61000100000001</v>
      </c>
      <c r="G469" s="13">
        <v>138.92787200000001</v>
      </c>
      <c r="H469" s="13">
        <v>138.92787200000001</v>
      </c>
      <c r="I469" s="14">
        <f t="shared" si="7"/>
        <v>3.1843811453702298E-3</v>
      </c>
      <c r="J469" s="14">
        <f>IF(COUNT(B469)=0,"",B469-(INTERCEPT('3. Cleaned Data'!$B$4:$B$1041,'3. Cleaned Data'!$H$4:$H$1041)+SLOPE('3. Cleaned Data'!$B$4:$B$1041,'3. Cleaned Data'!$H$4:$H$1041)*H469))</f>
        <v>0.55969628715736874</v>
      </c>
    </row>
    <row r="470" spans="1:10" x14ac:dyDescent="0.2">
      <c r="A470" s="12">
        <v>43005</v>
      </c>
      <c r="B470" s="13">
        <v>17.6385840696</v>
      </c>
      <c r="C470" s="13">
        <v>145.63000500000001</v>
      </c>
      <c r="D470" s="13">
        <v>147.86000100000001</v>
      </c>
      <c r="E470" s="13">
        <v>145.16000399999999</v>
      </c>
      <c r="F470" s="13">
        <v>147.44000199999999</v>
      </c>
      <c r="G470" s="13">
        <v>141.64666700000001</v>
      </c>
      <c r="H470" s="13">
        <v>141.64666700000001</v>
      </c>
      <c r="I470" s="14">
        <f t="shared" si="7"/>
        <v>1.9569831171098562E-2</v>
      </c>
      <c r="J470" s="14">
        <f>IF(COUNT(B470)=0,"",B470-(INTERCEPT('3. Cleaned Data'!$B$4:$B$1041,'3. Cleaned Data'!$H$4:$H$1041)+SLOPE('3. Cleaned Data'!$B$4:$B$1041,'3. Cleaned Data'!$H$4:$H$1041)*H470))</f>
        <v>6.0142556224306531E-2</v>
      </c>
    </row>
    <row r="471" spans="1:10" x14ac:dyDescent="0.2">
      <c r="A471" s="12">
        <v>43006</v>
      </c>
      <c r="B471" s="13">
        <v>17.157467368799999</v>
      </c>
      <c r="C471" s="13">
        <v>147.25</v>
      </c>
      <c r="D471" s="13">
        <v>148.05999800000001</v>
      </c>
      <c r="E471" s="13">
        <v>146.779999</v>
      </c>
      <c r="F471" s="13">
        <v>147.83000200000001</v>
      </c>
      <c r="G471" s="13">
        <v>142.02134699999999</v>
      </c>
      <c r="H471" s="13">
        <v>142.02134699999999</v>
      </c>
      <c r="I471" s="14">
        <f t="shared" si="7"/>
        <v>2.6451734300247942E-3</v>
      </c>
      <c r="J471" s="14">
        <f>IF(COUNT(B471)=0,"",B471-(INTERCEPT('3. Cleaned Data'!$B$4:$B$1041,'3. Cleaned Data'!$H$4:$H$1041)+SLOPE('3. Cleaned Data'!$B$4:$B$1041,'3. Cleaned Data'!$H$4:$H$1041)*H471))</f>
        <v>-0.4722275313952089</v>
      </c>
    </row>
    <row r="472" spans="1:10" x14ac:dyDescent="0.2">
      <c r="A472" s="12">
        <v>43007</v>
      </c>
      <c r="B472" s="13">
        <v>18.139210739999999</v>
      </c>
      <c r="C472" s="13">
        <v>147.91999799999999</v>
      </c>
      <c r="D472" s="13">
        <v>148.429993</v>
      </c>
      <c r="E472" s="13">
        <v>147.740005</v>
      </c>
      <c r="F472" s="13">
        <v>148.179993</v>
      </c>
      <c r="G472" s="13">
        <v>142.35758999999999</v>
      </c>
      <c r="H472" s="13">
        <v>142.35758999999999</v>
      </c>
      <c r="I472" s="14">
        <f t="shared" si="7"/>
        <v>2.3675525341975145E-3</v>
      </c>
      <c r="J472" s="14">
        <f>IF(COUNT(B472)=0,"",B472-(INTERCEPT('3. Cleaned Data'!$B$4:$B$1041,'3. Cleaned Data'!$H$4:$H$1041)+SLOPE('3. Cleaned Data'!$B$4:$B$1041,'3. Cleaned Data'!$H$4:$H$1041)*H472))</f>
        <v>0.46352034352969085</v>
      </c>
    </row>
    <row r="473" spans="1:10" x14ac:dyDescent="0.2">
      <c r="A473" s="12">
        <v>43010</v>
      </c>
      <c r="B473" s="13">
        <v>18.015610079999998</v>
      </c>
      <c r="C473" s="13">
        <v>148.30999800000001</v>
      </c>
      <c r="D473" s="13">
        <v>150</v>
      </c>
      <c r="E473" s="13">
        <v>148.08000200000001</v>
      </c>
      <c r="F473" s="13">
        <v>150</v>
      </c>
      <c r="G473" s="13">
        <v>144.10607899999999</v>
      </c>
      <c r="H473" s="13">
        <v>144.10607899999999</v>
      </c>
      <c r="I473" s="14">
        <f t="shared" si="7"/>
        <v>1.2282372861187163E-2</v>
      </c>
      <c r="J473" s="14">
        <f>IF(COUNT(B473)=0,"",B473-(INTERCEPT('3. Cleaned Data'!$B$4:$B$1041,'3. Cleaned Data'!$H$4:$H$1041)+SLOPE('3. Cleaned Data'!$B$4:$B$1041,'3. Cleaned Data'!$H$4:$H$1041)*H473))</f>
        <v>0.10073962837149963</v>
      </c>
    </row>
    <row r="474" spans="1:10" x14ac:dyDescent="0.2">
      <c r="A474" s="12">
        <v>43011</v>
      </c>
      <c r="B474" s="13">
        <v>16.952523806399999</v>
      </c>
      <c r="C474" s="13">
        <v>150.11000100000001</v>
      </c>
      <c r="D474" s="13">
        <v>150.33000200000001</v>
      </c>
      <c r="E474" s="13">
        <v>149.33000200000001</v>
      </c>
      <c r="F474" s="13">
        <v>150.33000200000001</v>
      </c>
      <c r="G474" s="13">
        <v>144.423126</v>
      </c>
      <c r="H474" s="13">
        <v>144.423126</v>
      </c>
      <c r="I474" s="14">
        <f t="shared" si="7"/>
        <v>2.2000945567328678E-3</v>
      </c>
      <c r="J474" s="14">
        <f>IF(COUNT(B474)=0,"",B474-(INTERCEPT('3. Cleaned Data'!$B$4:$B$1041,'3. Cleaned Data'!$H$4:$H$1041)+SLOPE('3. Cleaned Data'!$B$4:$B$1041,'3. Cleaned Data'!$H$4:$H$1041)*H474))</f>
        <v>-1.0057162740610188</v>
      </c>
    </row>
    <row r="475" spans="1:10" x14ac:dyDescent="0.2">
      <c r="A475" s="12">
        <v>43012</v>
      </c>
      <c r="B475" s="13">
        <v>17.916097305600001</v>
      </c>
      <c r="C475" s="13">
        <v>150.08999600000001</v>
      </c>
      <c r="D475" s="13">
        <v>150.61000100000001</v>
      </c>
      <c r="E475" s="13">
        <v>149.38999899999999</v>
      </c>
      <c r="F475" s="13">
        <v>149.85000600000001</v>
      </c>
      <c r="G475" s="13">
        <v>143.96198999999999</v>
      </c>
      <c r="H475" s="13">
        <v>143.96198999999999</v>
      </c>
      <c r="I475" s="14">
        <f t="shared" si="7"/>
        <v>-3.192951245218234E-3</v>
      </c>
      <c r="J475" s="14">
        <f>IF(COUNT(B475)=0,"",B475-(INTERCEPT('3. Cleaned Data'!$B$4:$B$1041,'3. Cleaned Data'!$H$4:$H$1041)+SLOPE('3. Cleaned Data'!$B$4:$B$1041,'3. Cleaned Data'!$H$4:$H$1041)*H475))</f>
        <v>2.0937138089781371E-2</v>
      </c>
    </row>
    <row r="476" spans="1:10" x14ac:dyDescent="0.2">
      <c r="A476" s="12">
        <v>43013</v>
      </c>
      <c r="B476" s="13">
        <v>16.585523481599999</v>
      </c>
      <c r="C476" s="13">
        <v>150.28999300000001</v>
      </c>
      <c r="D476" s="13">
        <v>150.63000500000001</v>
      </c>
      <c r="E476" s="13">
        <v>149.86999499999999</v>
      </c>
      <c r="F476" s="13">
        <v>150.259995</v>
      </c>
      <c r="G476" s="13">
        <v>144.35585</v>
      </c>
      <c r="H476" s="13">
        <v>144.35585</v>
      </c>
      <c r="I476" s="14">
        <f t="shared" si="7"/>
        <v>2.7358610422099083E-3</v>
      </c>
      <c r="J476" s="14">
        <f>IF(COUNT(B476)=0,"",B476-(INTERCEPT('3. Cleaned Data'!$B$4:$B$1041,'3. Cleaned Data'!$H$4:$H$1041)+SLOPE('3. Cleaned Data'!$B$4:$B$1041,'3. Cleaned Data'!$H$4:$H$1041)*H476))</f>
        <v>-1.3635137514934783</v>
      </c>
    </row>
    <row r="477" spans="1:10" x14ac:dyDescent="0.2">
      <c r="A477" s="12">
        <v>43014</v>
      </c>
      <c r="B477" s="13">
        <v>17.954465068800001</v>
      </c>
      <c r="C477" s="13">
        <v>149.71000699999999</v>
      </c>
      <c r="D477" s="13">
        <v>150.33999600000001</v>
      </c>
      <c r="E477" s="13">
        <v>149.570007</v>
      </c>
      <c r="F477" s="13">
        <v>150.050003</v>
      </c>
      <c r="G477" s="13">
        <v>144.15411399999999</v>
      </c>
      <c r="H477" s="13">
        <v>144.15411399999999</v>
      </c>
      <c r="I477" s="14">
        <f t="shared" si="7"/>
        <v>-1.3974909918788025E-3</v>
      </c>
      <c r="J477" s="14">
        <f>IF(COUNT(B477)=0,"",B477-(INTERCEPT('3. Cleaned Data'!$B$4:$B$1041,'3. Cleaned Data'!$H$4:$H$1041)+SLOPE('3. Cleaned Data'!$B$4:$B$1041,'3. Cleaned Data'!$H$4:$H$1041)*H477))</f>
        <v>3.302379290579438E-2</v>
      </c>
    </row>
    <row r="478" spans="1:10" x14ac:dyDescent="0.2">
      <c r="A478" s="12">
        <v>43017</v>
      </c>
      <c r="B478" s="13">
        <v>17.7687617088</v>
      </c>
      <c r="C478" s="13">
        <v>150.19000199999999</v>
      </c>
      <c r="D478" s="13">
        <v>150.679993</v>
      </c>
      <c r="E478" s="13">
        <v>149.179993</v>
      </c>
      <c r="F478" s="13">
        <v>149.429993</v>
      </c>
      <c r="G478" s="13">
        <v>143.55847199999999</v>
      </c>
      <c r="H478" s="13">
        <v>143.55847199999999</v>
      </c>
      <c r="I478" s="14">
        <f t="shared" si="7"/>
        <v>-4.1319805829475031E-3</v>
      </c>
      <c r="J478" s="14">
        <f>IF(COUNT(B478)=0,"",B478-(INTERCEPT('3. Cleaned Data'!$B$4:$B$1041,'3. Cleaned Data'!$H$4:$H$1041)+SLOPE('3. Cleaned Data'!$B$4:$B$1041,'3. Cleaned Data'!$H$4:$H$1041)*H478))</f>
        <v>-7.1200251860005892E-2</v>
      </c>
    </row>
    <row r="479" spans="1:10" x14ac:dyDescent="0.2">
      <c r="A479" s="12">
        <v>43018</v>
      </c>
      <c r="B479" s="13">
        <v>17.564504529600001</v>
      </c>
      <c r="C479" s="13">
        <v>149.929993</v>
      </c>
      <c r="D479" s="13">
        <v>150.28999300000001</v>
      </c>
      <c r="E479" s="13">
        <v>149.41000399999999</v>
      </c>
      <c r="F479" s="13">
        <v>149.86000100000001</v>
      </c>
      <c r="G479" s="13">
        <v>143.97155799999999</v>
      </c>
      <c r="H479" s="13">
        <v>143.97155799999999</v>
      </c>
      <c r="I479" s="14">
        <f t="shared" si="7"/>
        <v>2.8774755975391475E-3</v>
      </c>
      <c r="J479" s="14">
        <f>IF(COUNT(B479)=0,"",B479-(INTERCEPT('3. Cleaned Data'!$B$4:$B$1041,'3. Cleaned Data'!$H$4:$H$1041)+SLOPE('3. Cleaned Data'!$B$4:$B$1041,'3. Cleaned Data'!$H$4:$H$1041)*H479))</f>
        <v>-0.33196446785867906</v>
      </c>
    </row>
    <row r="480" spans="1:10" x14ac:dyDescent="0.2">
      <c r="A480" s="12">
        <v>43019</v>
      </c>
      <c r="B480" s="13">
        <v>16.516905523199998</v>
      </c>
      <c r="C480" s="13">
        <v>149.94000199999999</v>
      </c>
      <c r="D480" s="13">
        <v>150.19000199999999</v>
      </c>
      <c r="E480" s="13">
        <v>149.46000699999999</v>
      </c>
      <c r="F480" s="13">
        <v>149.75</v>
      </c>
      <c r="G480" s="13">
        <v>143.865906</v>
      </c>
      <c r="H480" s="13">
        <v>143.865906</v>
      </c>
      <c r="I480" s="14">
        <f t="shared" si="7"/>
        <v>-7.3383938791571346E-4</v>
      </c>
      <c r="J480" s="14">
        <f>IF(COUNT(B480)=0,"",B480-(INTERCEPT('3. Cleaned Data'!$B$4:$B$1041,'3. Cleaned Data'!$H$4:$H$1041)+SLOPE('3. Cleaned Data'!$B$4:$B$1041,'3. Cleaned Data'!$H$4:$H$1041)*H480))</f>
        <v>-1.3651110806848159</v>
      </c>
    </row>
    <row r="481" spans="1:10" x14ac:dyDescent="0.2">
      <c r="A481" s="12">
        <v>43020</v>
      </c>
      <c r="B481" s="13">
        <v>18.013314564000002</v>
      </c>
      <c r="C481" s="13">
        <v>149.46000699999999</v>
      </c>
      <c r="D481" s="13">
        <v>150.009995</v>
      </c>
      <c r="E481" s="13">
        <v>149.020004</v>
      </c>
      <c r="F481" s="13">
        <v>149.63999899999999</v>
      </c>
      <c r="G481" s="13">
        <v>143.76020800000001</v>
      </c>
      <c r="H481" s="13">
        <v>143.76020800000001</v>
      </c>
      <c r="I481" s="14">
        <f t="shared" si="7"/>
        <v>-7.3469804583159437E-4</v>
      </c>
      <c r="J481" s="14">
        <f>IF(COUNT(B481)=0,"",B481-(INTERCEPT('3. Cleaned Data'!$B$4:$B$1041,'3. Cleaned Data'!$H$4:$H$1041)+SLOPE('3. Cleaned Data'!$B$4:$B$1041,'3. Cleaned Data'!$H$4:$H$1041)*H481))</f>
        <v>0.14575664614072537</v>
      </c>
    </row>
    <row r="482" spans="1:10" x14ac:dyDescent="0.2">
      <c r="A482" s="12">
        <v>43021</v>
      </c>
      <c r="B482" s="13">
        <v>17.582141023199998</v>
      </c>
      <c r="C482" s="13">
        <v>149.91999799999999</v>
      </c>
      <c r="D482" s="13">
        <v>149.990005</v>
      </c>
      <c r="E482" s="13">
        <v>149.229996</v>
      </c>
      <c r="F482" s="13">
        <v>149.36999499999999</v>
      </c>
      <c r="G482" s="13">
        <v>143.500854</v>
      </c>
      <c r="H482" s="13">
        <v>143.500854</v>
      </c>
      <c r="I482" s="14">
        <f t="shared" si="7"/>
        <v>-1.804073627940217E-3</v>
      </c>
      <c r="J482" s="14">
        <f>IF(COUNT(B482)=0,"",B482-(INTERCEPT('3. Cleaned Data'!$B$4:$B$1041,'3. Cleaned Data'!$H$4:$H$1041)+SLOPE('3. Cleaned Data'!$B$4:$B$1041,'3. Cleaned Data'!$H$4:$H$1041)*H482))</f>
        <v>-0.24993923135942353</v>
      </c>
    </row>
    <row r="483" spans="1:10" x14ac:dyDescent="0.2">
      <c r="A483" s="12">
        <v>43024</v>
      </c>
      <c r="B483" s="13">
        <v>16.866660165599999</v>
      </c>
      <c r="C483" s="13">
        <v>149.61000100000001</v>
      </c>
      <c r="D483" s="13">
        <v>150.35000600000001</v>
      </c>
      <c r="E483" s="13">
        <v>149.029999</v>
      </c>
      <c r="F483" s="13">
        <v>149.240005</v>
      </c>
      <c r="G483" s="13">
        <v>143.37591599999999</v>
      </c>
      <c r="H483" s="13">
        <v>143.37591599999999</v>
      </c>
      <c r="I483" s="14">
        <f t="shared" si="7"/>
        <v>-8.7064290223681784E-4</v>
      </c>
      <c r="J483" s="14">
        <f>IF(COUNT(B483)=0,"",B483-(INTERCEPT('3. Cleaned Data'!$B$4:$B$1041,'3. Cleaned Data'!$H$4:$H$1041)+SLOPE('3. Cleaned Data'!$B$4:$B$1041,'3. Cleaned Data'!$H$4:$H$1041)*H483))</f>
        <v>-0.9483295166244794</v>
      </c>
    </row>
    <row r="484" spans="1:10" x14ac:dyDescent="0.2">
      <c r="A484" s="12">
        <v>43025</v>
      </c>
      <c r="B484" s="13">
        <v>17.809140716400002</v>
      </c>
      <c r="C484" s="13">
        <v>149.270004</v>
      </c>
      <c r="D484" s="13">
        <v>149.770004</v>
      </c>
      <c r="E484" s="13">
        <v>148.5</v>
      </c>
      <c r="F484" s="13">
        <v>148.80999800000001</v>
      </c>
      <c r="G484" s="13">
        <v>142.96281400000001</v>
      </c>
      <c r="H484" s="13">
        <v>142.96281400000001</v>
      </c>
      <c r="I484" s="14">
        <f t="shared" si="7"/>
        <v>-2.8812509905776773E-3</v>
      </c>
      <c r="J484" s="14">
        <f>IF(COUNT(B484)=0,"",B484-(INTERCEPT('3. Cleaned Data'!$B$4:$B$1041,'3. Cleaned Data'!$H$4:$H$1041)+SLOPE('3. Cleaned Data'!$B$4:$B$1041,'3. Cleaned Data'!$H$4:$H$1041)*H484))</f>
        <v>5.0660259653039219E-2</v>
      </c>
    </row>
    <row r="485" spans="1:10" x14ac:dyDescent="0.2">
      <c r="A485" s="12">
        <v>43026</v>
      </c>
      <c r="B485" s="13">
        <v>16.818079487999999</v>
      </c>
      <c r="C485" s="13">
        <v>149.5</v>
      </c>
      <c r="D485" s="13">
        <v>149.91000399999999</v>
      </c>
      <c r="E485" s="13">
        <v>149.08000200000001</v>
      </c>
      <c r="F485" s="13">
        <v>149.520004</v>
      </c>
      <c r="G485" s="13">
        <v>143.64494300000001</v>
      </c>
      <c r="H485" s="13">
        <v>143.64494300000001</v>
      </c>
      <c r="I485" s="14">
        <f t="shared" si="7"/>
        <v>4.7713736244727745E-3</v>
      </c>
      <c r="J485" s="14">
        <f>IF(COUNT(B485)=0,"",B485-(INTERCEPT('3. Cleaned Data'!$B$4:$B$1041,'3. Cleaned Data'!$H$4:$H$1041)+SLOPE('3. Cleaned Data'!$B$4:$B$1041,'3. Cleaned Data'!$H$4:$H$1041)*H485))</f>
        <v>-1.0337110506777059</v>
      </c>
    </row>
    <row r="486" spans="1:10" x14ac:dyDescent="0.2">
      <c r="A486" s="12">
        <v>43027</v>
      </c>
      <c r="B486" s="13">
        <v>18.056896326</v>
      </c>
      <c r="C486" s="13">
        <v>148.770004</v>
      </c>
      <c r="D486" s="13">
        <v>149.33000200000001</v>
      </c>
      <c r="E486" s="13">
        <v>148.16999799999999</v>
      </c>
      <c r="F486" s="13">
        <v>149.28999300000001</v>
      </c>
      <c r="G486" s="13">
        <v>143.423981</v>
      </c>
      <c r="H486" s="13">
        <v>143.423981</v>
      </c>
      <c r="I486" s="14">
        <f t="shared" si="7"/>
        <v>-1.5382511586224945E-3</v>
      </c>
      <c r="J486" s="14">
        <f>IF(COUNT(B486)=0,"",B486-(INTERCEPT('3. Cleaned Data'!$B$4:$B$1041,'3. Cleaned Data'!$H$4:$H$1041)+SLOPE('3. Cleaned Data'!$B$4:$B$1041,'3. Cleaned Data'!$H$4:$H$1041)*H486))</f>
        <v>0.23533171573698297</v>
      </c>
    </row>
    <row r="487" spans="1:10" x14ac:dyDescent="0.2">
      <c r="A487" s="12">
        <v>43028</v>
      </c>
      <c r="B487" s="13">
        <v>17.6274598404</v>
      </c>
      <c r="C487" s="13">
        <v>150.30999800000001</v>
      </c>
      <c r="D487" s="13">
        <v>150.41000399999999</v>
      </c>
      <c r="E487" s="13">
        <v>149.86000100000001</v>
      </c>
      <c r="F487" s="13">
        <v>149.979996</v>
      </c>
      <c r="G487" s="13">
        <v>144.08689899999999</v>
      </c>
      <c r="H487" s="13">
        <v>144.08689899999999</v>
      </c>
      <c r="I487" s="14">
        <f t="shared" si="7"/>
        <v>4.6220861767878318E-3</v>
      </c>
      <c r="J487" s="14">
        <f>IF(COUNT(B487)=0,"",B487-(INTERCEPT('3. Cleaned Data'!$B$4:$B$1041,'3. Cleaned Data'!$H$4:$H$1041)+SLOPE('3. Cleaned Data'!$B$4:$B$1041,'3. Cleaned Data'!$H$4:$H$1041)*H487))</f>
        <v>-0.28478693246475828</v>
      </c>
    </row>
    <row r="488" spans="1:10" x14ac:dyDescent="0.2">
      <c r="A488" s="12">
        <v>43031</v>
      </c>
      <c r="B488" s="13">
        <v>18.007264169999999</v>
      </c>
      <c r="C488" s="13">
        <v>150.14999399999999</v>
      </c>
      <c r="D488" s="13">
        <v>150.14999399999999</v>
      </c>
      <c r="E488" s="13">
        <v>148.699997</v>
      </c>
      <c r="F488" s="13">
        <v>148.86000100000001</v>
      </c>
      <c r="G488" s="13">
        <v>143.01087999999999</v>
      </c>
      <c r="H488" s="13">
        <v>143.01087999999999</v>
      </c>
      <c r="I488" s="14">
        <f t="shared" si="7"/>
        <v>-7.4678475799524469E-3</v>
      </c>
      <c r="J488" s="14">
        <f>IF(COUNT(B488)=0,"",B488-(INTERCEPT('3. Cleaned Data'!$B$4:$B$1041,'3. Cleaned Data'!$H$4:$H$1041)+SLOPE('3. Cleaned Data'!$B$4:$B$1041,'3. Cleaned Data'!$H$4:$H$1041)*H488))</f>
        <v>0.24220864842207135</v>
      </c>
    </row>
    <row r="489" spans="1:10" x14ac:dyDescent="0.2">
      <c r="A489" s="12">
        <v>43032</v>
      </c>
      <c r="B489" s="13">
        <v>16.923147091200001</v>
      </c>
      <c r="C489" s="13">
        <v>149.38999899999999</v>
      </c>
      <c r="D489" s="13">
        <v>149.779999</v>
      </c>
      <c r="E489" s="13">
        <v>149.03999300000001</v>
      </c>
      <c r="F489" s="13">
        <v>149.16999799999999</v>
      </c>
      <c r="G489" s="13">
        <v>143.30870100000001</v>
      </c>
      <c r="H489" s="13">
        <v>143.30870100000001</v>
      </c>
      <c r="I489" s="14">
        <f t="shared" si="7"/>
        <v>2.082505890461217E-3</v>
      </c>
      <c r="J489" s="14">
        <f>IF(COUNT(B489)=0,"",B489-(INTERCEPT('3. Cleaned Data'!$B$4:$B$1041,'3. Cleaned Data'!$H$4:$H$1041)+SLOPE('3. Cleaned Data'!$B$4:$B$1041,'3. Cleaned Data'!$H$4:$H$1041)*H489))</f>
        <v>-0.88264808799502958</v>
      </c>
    </row>
    <row r="490" spans="1:10" x14ac:dyDescent="0.2">
      <c r="A490" s="12">
        <v>43033</v>
      </c>
      <c r="B490" s="13">
        <v>17.5989663324</v>
      </c>
      <c r="C490" s="13">
        <v>148.94000199999999</v>
      </c>
      <c r="D490" s="13">
        <v>149</v>
      </c>
      <c r="E490" s="13">
        <v>147.220001</v>
      </c>
      <c r="F490" s="13">
        <v>148.449997</v>
      </c>
      <c r="G490" s="13">
        <v>142.61698899999999</v>
      </c>
      <c r="H490" s="13">
        <v>142.61698899999999</v>
      </c>
      <c r="I490" s="14">
        <f t="shared" si="7"/>
        <v>-4.8267271643194221E-3</v>
      </c>
      <c r="J490" s="14">
        <f>IF(COUNT(B490)=0,"",B490-(INTERCEPT('3. Cleaned Data'!$B$4:$B$1041,'3. Cleaned Data'!$H$4:$H$1041)+SLOPE('3. Cleaned Data'!$B$4:$B$1041,'3. Cleaned Data'!$H$4:$H$1041)*H490))</f>
        <v>-0.11220788302940932</v>
      </c>
    </row>
    <row r="491" spans="1:10" x14ac:dyDescent="0.2">
      <c r="A491" s="12">
        <v>43034</v>
      </c>
      <c r="B491" s="13">
        <v>16.863270463199999</v>
      </c>
      <c r="C491" s="13">
        <v>148.94000199999999</v>
      </c>
      <c r="D491" s="13">
        <v>149.33999600000001</v>
      </c>
      <c r="E491" s="13">
        <v>148.509995</v>
      </c>
      <c r="F491" s="13">
        <v>148.759995</v>
      </c>
      <c r="G491" s="13">
        <v>142.914795</v>
      </c>
      <c r="H491" s="13">
        <v>142.914795</v>
      </c>
      <c r="I491" s="14">
        <f t="shared" si="7"/>
        <v>2.0881523448794681E-3</v>
      </c>
      <c r="J491" s="14">
        <f>IF(COUNT(B491)=0,"",B491-(INTERCEPT('3. Cleaned Data'!$B$4:$B$1041,'3. Cleaned Data'!$H$4:$H$1041)+SLOPE('3. Cleaned Data'!$B$4:$B$1041,'3. Cleaned Data'!$H$4:$H$1041)*H491))</f>
        <v>-0.88864135796009691</v>
      </c>
    </row>
    <row r="492" spans="1:10" x14ac:dyDescent="0.2">
      <c r="A492" s="12">
        <v>43035</v>
      </c>
      <c r="B492" s="13">
        <v>17.6060859396</v>
      </c>
      <c r="C492" s="13">
        <v>148.88000500000001</v>
      </c>
      <c r="D492" s="13">
        <v>149.91000399999999</v>
      </c>
      <c r="E492" s="13">
        <v>148.300003</v>
      </c>
      <c r="F492" s="13">
        <v>149.78999300000001</v>
      </c>
      <c r="G492" s="13">
        <v>143.904312</v>
      </c>
      <c r="H492" s="13">
        <v>143.904312</v>
      </c>
      <c r="I492" s="14">
        <f t="shared" si="7"/>
        <v>6.9238247866501013E-3</v>
      </c>
      <c r="J492" s="14">
        <f>IF(COUNT(B492)=0,"",B492-(INTERCEPT('3. Cleaned Data'!$B$4:$B$1041,'3. Cleaned Data'!$H$4:$H$1041)+SLOPE('3. Cleaned Data'!$B$4:$B$1041,'3. Cleaned Data'!$H$4:$H$1041)*H492))</f>
        <v>-0.2811843142639745</v>
      </c>
    </row>
    <row r="493" spans="1:10" x14ac:dyDescent="0.2">
      <c r="A493" s="12">
        <v>43038</v>
      </c>
      <c r="B493" s="13">
        <v>17.658335367599999</v>
      </c>
      <c r="C493" s="13">
        <v>148.88000500000001</v>
      </c>
      <c r="D493" s="13">
        <v>149.449997</v>
      </c>
      <c r="E493" s="13">
        <v>147.38999899999999</v>
      </c>
      <c r="F493" s="13">
        <v>148.21000699999999</v>
      </c>
      <c r="G493" s="13">
        <v>142.386459</v>
      </c>
      <c r="H493" s="13">
        <v>142.386459</v>
      </c>
      <c r="I493" s="14">
        <f t="shared" si="7"/>
        <v>-1.0547654749914703E-2</v>
      </c>
      <c r="J493" s="14">
        <f>IF(COUNT(B493)=0,"",B493-(INTERCEPT('3. Cleaned Data'!$B$4:$B$1041,'3. Cleaned Data'!$H$4:$H$1041)+SLOPE('3. Cleaned Data'!$B$4:$B$1041,'3. Cleaned Data'!$H$4:$H$1041)*H493))</f>
        <v>-2.1304089466266163E-2</v>
      </c>
    </row>
    <row r="494" spans="1:10" x14ac:dyDescent="0.2">
      <c r="A494" s="12">
        <v>43039</v>
      </c>
      <c r="B494" s="13">
        <v>17.6464574076</v>
      </c>
      <c r="C494" s="13">
        <v>148.78999300000001</v>
      </c>
      <c r="D494" s="13">
        <v>149.83000200000001</v>
      </c>
      <c r="E494" s="13">
        <v>148.63999899999999</v>
      </c>
      <c r="F494" s="13">
        <v>149.259995</v>
      </c>
      <c r="G494" s="13">
        <v>143.39515700000001</v>
      </c>
      <c r="H494" s="13">
        <v>143.39515700000001</v>
      </c>
      <c r="I494" s="14">
        <f t="shared" si="7"/>
        <v>7.0842270190876189E-3</v>
      </c>
      <c r="J494" s="14">
        <f>IF(COUNT(B494)=0,"",B494-(INTERCEPT('3. Cleaned Data'!$B$4:$B$1041,'3. Cleaned Data'!$H$4:$H$1041)+SLOPE('3. Cleaned Data'!$B$4:$B$1041,'3. Cleaned Data'!$H$4:$H$1041)*H494))</f>
        <v>-0.17116429772631037</v>
      </c>
    </row>
    <row r="495" spans="1:10" x14ac:dyDescent="0.2">
      <c r="A495" s="12">
        <v>43040</v>
      </c>
      <c r="B495" s="13">
        <v>17.838163948799998</v>
      </c>
      <c r="C495" s="13">
        <v>150.5</v>
      </c>
      <c r="D495" s="13">
        <v>150.529999</v>
      </c>
      <c r="E495" s="13">
        <v>147.44000199999999</v>
      </c>
      <c r="F495" s="13">
        <v>148.270004</v>
      </c>
      <c r="G495" s="13">
        <v>142.444061</v>
      </c>
      <c r="H495" s="13">
        <v>142.444061</v>
      </c>
      <c r="I495" s="14">
        <f t="shared" si="7"/>
        <v>-6.6326926229454131E-3</v>
      </c>
      <c r="J495" s="14">
        <f>IF(COUNT(B495)=0,"",B495-(INTERCEPT('3. Cleaned Data'!$B$4:$B$1041,'3. Cleaned Data'!$H$4:$H$1041)+SLOPE('3. Cleaned Data'!$B$4:$B$1041,'3. Cleaned Data'!$H$4:$H$1041)*H495))</f>
        <v>0.15064497431199086</v>
      </c>
    </row>
    <row r="496" spans="1:10" x14ac:dyDescent="0.2">
      <c r="A496" s="12">
        <v>43041</v>
      </c>
      <c r="B496" s="13">
        <v>17.624747462399998</v>
      </c>
      <c r="C496" s="13">
        <v>148.240005</v>
      </c>
      <c r="D496" s="13">
        <v>149.229996</v>
      </c>
      <c r="E496" s="13">
        <v>147.720001</v>
      </c>
      <c r="F496" s="13">
        <v>148.71000699999999</v>
      </c>
      <c r="G496" s="13">
        <v>142.86679100000001</v>
      </c>
      <c r="H496" s="13">
        <v>142.86679100000001</v>
      </c>
      <c r="I496" s="14">
        <f t="shared" si="7"/>
        <v>2.9676912960239221E-3</v>
      </c>
      <c r="J496" s="14">
        <f>IF(COUNT(B496)=0,"",B496-(INTERCEPT('3. Cleaned Data'!$B$4:$B$1041,'3. Cleaned Data'!$H$4:$H$1041)+SLOPE('3. Cleaned Data'!$B$4:$B$1041,'3. Cleaned Data'!$H$4:$H$1041)*H496))</f>
        <v>-0.1205977750596503</v>
      </c>
    </row>
    <row r="497" spans="1:10" x14ac:dyDescent="0.2">
      <c r="A497" s="12">
        <v>43042</v>
      </c>
      <c r="B497" s="13">
        <v>17.139632168399999</v>
      </c>
      <c r="C497" s="13">
        <v>148.479996</v>
      </c>
      <c r="D497" s="13">
        <v>148.96000699999999</v>
      </c>
      <c r="E497" s="13">
        <v>148.05999800000001</v>
      </c>
      <c r="F497" s="13">
        <v>148.61000100000001</v>
      </c>
      <c r="G497" s="13">
        <v>142.770691</v>
      </c>
      <c r="H497" s="13">
        <v>142.770691</v>
      </c>
      <c r="I497" s="14">
        <f t="shared" si="7"/>
        <v>-6.7265457092824388E-4</v>
      </c>
      <c r="J497" s="14">
        <f>IF(COUNT(B497)=0,"",B497-(INTERCEPT('3. Cleaned Data'!$B$4:$B$1041,'3. Cleaned Data'!$H$4:$H$1041)+SLOPE('3. Cleaned Data'!$B$4:$B$1041,'3. Cleaned Data'!$H$4:$H$1041)*H497))</f>
        <v>-0.59256731675540308</v>
      </c>
    </row>
    <row r="498" spans="1:10" x14ac:dyDescent="0.2">
      <c r="A498" s="12">
        <v>43045</v>
      </c>
      <c r="B498" s="13">
        <v>17.079083920799999</v>
      </c>
      <c r="C498" s="13">
        <v>148.75</v>
      </c>
      <c r="D498" s="13">
        <v>149.38000500000001</v>
      </c>
      <c r="E498" s="13">
        <v>148.38999899999999</v>
      </c>
      <c r="F498" s="13">
        <v>148.779999</v>
      </c>
      <c r="G498" s="13">
        <v>142.93400600000001</v>
      </c>
      <c r="H498" s="13">
        <v>142.93400600000001</v>
      </c>
      <c r="I498" s="14">
        <f t="shared" si="7"/>
        <v>1.1438972442880946E-3</v>
      </c>
      <c r="J498" s="14">
        <f>IF(COUNT(B498)=0,"",B498-(INTERCEPT('3. Cleaned Data'!$B$4:$B$1041,'3. Cleaned Data'!$H$4:$H$1041)+SLOPE('3. Cleaned Data'!$B$4:$B$1041,'3. Cleaned Data'!$H$4:$H$1041)*H498))</f>
        <v>-0.67545581968909829</v>
      </c>
    </row>
    <row r="499" spans="1:10" x14ac:dyDescent="0.2">
      <c r="A499" s="12">
        <v>43046</v>
      </c>
      <c r="B499" s="13">
        <v>16.897302239999998</v>
      </c>
      <c r="C499" s="13">
        <v>148.800003</v>
      </c>
      <c r="D499" s="13">
        <v>148.85000600000001</v>
      </c>
      <c r="E499" s="13">
        <v>146.53999300000001</v>
      </c>
      <c r="F499" s="13">
        <v>147</v>
      </c>
      <c r="G499" s="13">
        <v>141.223938</v>
      </c>
      <c r="H499" s="13">
        <v>141.223938</v>
      </c>
      <c r="I499" s="14">
        <f t="shared" si="7"/>
        <v>-1.1964038844612057E-2</v>
      </c>
      <c r="J499" s="14">
        <f>IF(COUNT(B499)=0,"",B499-(INTERCEPT('3. Cleaned Data'!$B$4:$B$1041,'3. Cleaned Data'!$H$4:$H$1041)+SLOPE('3. Cleaned Data'!$B$4:$B$1041,'3. Cleaned Data'!$H$4:$H$1041)*H499))</f>
        <v>-0.62331314719648034</v>
      </c>
    </row>
    <row r="500" spans="1:10" x14ac:dyDescent="0.2">
      <c r="A500" s="12">
        <v>43047</v>
      </c>
      <c r="B500" s="13">
        <v>16.901912880000001</v>
      </c>
      <c r="C500" s="13">
        <v>146.66000399999999</v>
      </c>
      <c r="D500" s="13">
        <v>147.449997</v>
      </c>
      <c r="E500" s="13">
        <v>145.83999600000001</v>
      </c>
      <c r="F500" s="13">
        <v>147.199997</v>
      </c>
      <c r="G500" s="13">
        <v>141.41610700000001</v>
      </c>
      <c r="H500" s="13">
        <v>141.41610700000001</v>
      </c>
      <c r="I500" s="14">
        <f t="shared" si="7"/>
        <v>1.3607395652712739E-3</v>
      </c>
      <c r="J500" s="14">
        <f>IF(COUNT(B500)=0,"",B500-(INTERCEPT('3. Cleaned Data'!$B$4:$B$1041,'3. Cleaned Data'!$H$4:$H$1041)+SLOPE('3. Cleaned Data'!$B$4:$B$1041,'3. Cleaned Data'!$H$4:$H$1041)*H500))</f>
        <v>-0.64498977123971457</v>
      </c>
    </row>
    <row r="501" spans="1:10" x14ac:dyDescent="0.2">
      <c r="A501" s="12">
        <v>43048</v>
      </c>
      <c r="B501" s="13">
        <v>17.3614754832</v>
      </c>
      <c r="C501" s="13">
        <v>146.270004</v>
      </c>
      <c r="D501" s="13">
        <v>147.38999899999999</v>
      </c>
      <c r="E501" s="13">
        <v>145.279999</v>
      </c>
      <c r="F501" s="13">
        <v>146.679993</v>
      </c>
      <c r="G501" s="13">
        <v>140.91653400000001</v>
      </c>
      <c r="H501" s="13">
        <v>140.91653400000001</v>
      </c>
      <c r="I501" s="14">
        <f t="shared" si="7"/>
        <v>-3.5326456837055931E-3</v>
      </c>
      <c r="J501" s="14">
        <f>IF(COUNT(B501)=0,"",B501-(INTERCEPT('3. Cleaned Data'!$B$4:$B$1041,'3. Cleaned Data'!$H$4:$H$1041)+SLOPE('3. Cleaned Data'!$B$4:$B$1041,'3. Cleaned Data'!$H$4:$H$1041)*H501))</f>
        <v>-0.1170893645445048</v>
      </c>
    </row>
    <row r="502" spans="1:10" x14ac:dyDescent="0.2">
      <c r="A502" s="12">
        <v>43049</v>
      </c>
      <c r="B502" s="13">
        <v>17.628383555999999</v>
      </c>
      <c r="C502" s="13">
        <v>146.71000699999999</v>
      </c>
      <c r="D502" s="13">
        <v>147.10000600000001</v>
      </c>
      <c r="E502" s="13">
        <v>146.35000600000001</v>
      </c>
      <c r="F502" s="13">
        <v>146.570007</v>
      </c>
      <c r="G502" s="13">
        <v>140.81085200000001</v>
      </c>
      <c r="H502" s="13">
        <v>140.81085200000001</v>
      </c>
      <c r="I502" s="14">
        <f t="shared" si="7"/>
        <v>-7.4996167589536089E-4</v>
      </c>
      <c r="J502" s="14">
        <f>IF(COUNT(B502)=0,"",B502-(INTERCEPT('3. Cleaned Data'!$B$4:$B$1041,'3. Cleaned Data'!$H$4:$H$1041)+SLOPE('3. Cleaned Data'!$B$4:$B$1041,'3. Cleaned Data'!$H$4:$H$1041)*H502))</f>
        <v>0.16427520560219122</v>
      </c>
    </row>
    <row r="503" spans="1:10" x14ac:dyDescent="0.2">
      <c r="A503" s="12">
        <v>43052</v>
      </c>
      <c r="B503" s="13">
        <v>35.434147007999997</v>
      </c>
      <c r="C503" s="13">
        <v>145.929993</v>
      </c>
      <c r="D503" s="13">
        <v>146.820007</v>
      </c>
      <c r="E503" s="13">
        <v>145.5</v>
      </c>
      <c r="F503" s="13">
        <v>146.61000100000001</v>
      </c>
      <c r="G503" s="13">
        <v>140.84927400000001</v>
      </c>
      <c r="H503" s="13">
        <v>140.84927400000001</v>
      </c>
      <c r="I503" s="14">
        <f t="shared" si="7"/>
        <v>2.7286249216063041E-4</v>
      </c>
      <c r="J503" s="14">
        <f>IF(COUNT(B503)=0,"",B503-(INTERCEPT('3. Cleaned Data'!$B$4:$B$1041,'3. Cleaned Data'!$H$4:$H$1041)+SLOPE('3. Cleaned Data'!$B$4:$B$1041,'3. Cleaned Data'!$H$4:$H$1041)*H503))</f>
        <v>17.96478281894419</v>
      </c>
    </row>
    <row r="504" spans="1:10" x14ac:dyDescent="0.2">
      <c r="A504" s="12">
        <v>43053</v>
      </c>
      <c r="B504" s="13">
        <v>17.456319453599999</v>
      </c>
      <c r="C504" s="13">
        <v>146.05999800000001</v>
      </c>
      <c r="D504" s="13">
        <v>146.490005</v>
      </c>
      <c r="E504" s="13">
        <v>145.58999600000001</v>
      </c>
      <c r="F504" s="13">
        <v>146.21000699999999</v>
      </c>
      <c r="G504" s="13">
        <v>140.465012</v>
      </c>
      <c r="H504" s="13">
        <v>140.465012</v>
      </c>
      <c r="I504" s="14">
        <f t="shared" si="7"/>
        <v>-2.7281787764131815E-3</v>
      </c>
      <c r="J504" s="14">
        <f>IF(COUNT(B504)=0,"",B504-(INTERCEPT('3. Cleaned Data'!$B$4:$B$1041,'3. Cleaned Data'!$H$4:$H$1041)+SLOPE('3. Cleaned Data'!$B$4:$B$1041,'3. Cleaned Data'!$H$4:$H$1041)*H504))</f>
        <v>3.9519396406159757E-2</v>
      </c>
    </row>
    <row r="505" spans="1:10" x14ac:dyDescent="0.2">
      <c r="A505" s="12">
        <v>43054</v>
      </c>
      <c r="B505" s="13">
        <v>17.928088588800001</v>
      </c>
      <c r="C505" s="13">
        <v>145.35000600000001</v>
      </c>
      <c r="D505" s="13">
        <v>146.21000699999999</v>
      </c>
      <c r="E505" s="13">
        <v>144.5</v>
      </c>
      <c r="F505" s="13">
        <v>145.63000500000001</v>
      </c>
      <c r="G505" s="13">
        <v>139.90780599999999</v>
      </c>
      <c r="H505" s="13">
        <v>139.90780599999999</v>
      </c>
      <c r="I505" s="14">
        <f t="shared" si="7"/>
        <v>-3.9668668522236938E-3</v>
      </c>
      <c r="J505" s="14">
        <f>IF(COUNT(B505)=0,"",B505-(INTERCEPT('3. Cleaned Data'!$B$4:$B$1041,'3. Cleaned Data'!$H$4:$H$1041)+SLOPE('3. Cleaned Data'!$B$4:$B$1041,'3. Cleaned Data'!$H$4:$H$1041)*H505))</f>
        <v>0.5875100930883761</v>
      </c>
    </row>
    <row r="506" spans="1:10" x14ac:dyDescent="0.2">
      <c r="A506" s="12">
        <v>43055</v>
      </c>
      <c r="B506" s="13">
        <v>18.115128720000001</v>
      </c>
      <c r="C506" s="13">
        <v>146.21000699999999</v>
      </c>
      <c r="D506" s="13">
        <v>148.39999399999999</v>
      </c>
      <c r="E506" s="13">
        <v>146.19000199999999</v>
      </c>
      <c r="F506" s="13">
        <v>147.770004</v>
      </c>
      <c r="G506" s="13">
        <v>141.96373</v>
      </c>
      <c r="H506" s="13">
        <v>141.96373</v>
      </c>
      <c r="I506" s="14">
        <f t="shared" si="7"/>
        <v>1.4694848406099581E-2</v>
      </c>
      <c r="J506" s="14">
        <f>IF(COUNT(B506)=0,"",B506-(INTERCEPT('3. Cleaned Data'!$B$4:$B$1041,'3. Cleaned Data'!$H$4:$H$1041)+SLOPE('3. Cleaned Data'!$B$4:$B$1041,'3. Cleaned Data'!$H$4:$H$1041)*H506))</f>
        <v>0.49331538911294714</v>
      </c>
    </row>
    <row r="507" spans="1:10" x14ac:dyDescent="0.2">
      <c r="A507" s="12">
        <v>43056</v>
      </c>
      <c r="B507" s="13">
        <v>18.091144031999999</v>
      </c>
      <c r="C507" s="13">
        <v>147.25</v>
      </c>
      <c r="D507" s="13">
        <v>149.029999</v>
      </c>
      <c r="E507" s="13">
        <v>147.16999799999999</v>
      </c>
      <c r="F507" s="13">
        <v>148.449997</v>
      </c>
      <c r="G507" s="13">
        <v>142.61698899999999</v>
      </c>
      <c r="H507" s="13">
        <v>142.61698899999999</v>
      </c>
      <c r="I507" s="14">
        <f t="shared" si="7"/>
        <v>4.6015908429568597E-3</v>
      </c>
      <c r="J507" s="14">
        <f>IF(COUNT(B507)=0,"",B507-(INTERCEPT('3. Cleaned Data'!$B$4:$B$1041,'3. Cleaned Data'!$H$4:$H$1041)+SLOPE('3. Cleaned Data'!$B$4:$B$1041,'3. Cleaned Data'!$H$4:$H$1041)*H507))</f>
        <v>0.37996981657058981</v>
      </c>
    </row>
    <row r="508" spans="1:10" x14ac:dyDescent="0.2">
      <c r="A508" s="12">
        <v>43059</v>
      </c>
      <c r="B508" s="13">
        <v>17.2282242924</v>
      </c>
      <c r="C508" s="13">
        <v>148.759995</v>
      </c>
      <c r="D508" s="13">
        <v>149.58000200000001</v>
      </c>
      <c r="E508" s="13">
        <v>148.33000200000001</v>
      </c>
      <c r="F508" s="13">
        <v>149.529999</v>
      </c>
      <c r="G508" s="13">
        <v>143.65455600000001</v>
      </c>
      <c r="H508" s="13">
        <v>143.65455600000001</v>
      </c>
      <c r="I508" s="14">
        <f t="shared" si="7"/>
        <v>7.2751991699953056E-3</v>
      </c>
      <c r="J508" s="14">
        <f>IF(COUNT(B508)=0,"",B508-(INTERCEPT('3. Cleaned Data'!$B$4:$B$1041,'3. Cleaned Data'!$H$4:$H$1041)+SLOPE('3. Cleaned Data'!$B$4:$B$1041,'3. Cleaned Data'!$H$4:$H$1041)*H508))</f>
        <v>-0.62488123188541422</v>
      </c>
    </row>
    <row r="509" spans="1:10" x14ac:dyDescent="0.2">
      <c r="A509" s="12">
        <v>43060</v>
      </c>
      <c r="B509" s="13">
        <v>17.175727166400002</v>
      </c>
      <c r="C509" s="13">
        <v>150.199997</v>
      </c>
      <c r="D509" s="13">
        <v>151.28999300000001</v>
      </c>
      <c r="E509" s="13">
        <v>150.05999800000001</v>
      </c>
      <c r="F509" s="13">
        <v>151.08999600000001</v>
      </c>
      <c r="G509" s="13">
        <v>145.15327500000001</v>
      </c>
      <c r="H509" s="13">
        <v>145.15327500000001</v>
      </c>
      <c r="I509" s="14">
        <f t="shared" si="7"/>
        <v>1.0432798246927888E-2</v>
      </c>
      <c r="J509" s="14">
        <f>IF(COUNT(B509)=0,"",B509-(INTERCEPT('3. Cleaned Data'!$B$4:$B$1041,'3. Cleaned Data'!$H$4:$H$1041)+SLOPE('3. Cleaned Data'!$B$4:$B$1041,'3. Cleaned Data'!$H$4:$H$1041)*H509))</f>
        <v>-0.88239176837105049</v>
      </c>
    </row>
    <row r="510" spans="1:10" x14ac:dyDescent="0.2">
      <c r="A510" s="12">
        <v>43061</v>
      </c>
      <c r="B510" s="13">
        <v>18.503569853999998</v>
      </c>
      <c r="C510" s="13">
        <v>151.279999</v>
      </c>
      <c r="D510" s="13">
        <v>151.770004</v>
      </c>
      <c r="E510" s="13">
        <v>150.86000100000001</v>
      </c>
      <c r="F510" s="13">
        <v>150.88999899999999</v>
      </c>
      <c r="G510" s="13">
        <v>144.96109000000001</v>
      </c>
      <c r="H510" s="13">
        <v>144.96109000000001</v>
      </c>
      <c r="I510" s="14">
        <f t="shared" si="7"/>
        <v>-1.3240142187628257E-3</v>
      </c>
      <c r="J510" s="14">
        <f>IF(COUNT(B510)=0,"",B510-(INTERCEPT('3. Cleaned Data'!$B$4:$B$1041,'3. Cleaned Data'!$H$4:$H$1041)+SLOPE('3. Cleaned Data'!$B$4:$B$1041,'3. Cleaned Data'!$H$4:$H$1041)*H510))</f>
        <v>0.47174037195102514</v>
      </c>
    </row>
    <row r="511" spans="1:10" x14ac:dyDescent="0.2">
      <c r="A511" s="12">
        <v>43063</v>
      </c>
      <c r="B511" s="13">
        <v>18.2116742748</v>
      </c>
      <c r="C511" s="13">
        <v>151.21000699999999</v>
      </c>
      <c r="D511" s="13">
        <v>151.36999499999999</v>
      </c>
      <c r="E511" s="13">
        <v>150.770004</v>
      </c>
      <c r="F511" s="13">
        <v>150.949997</v>
      </c>
      <c r="G511" s="13">
        <v>145.01872299999999</v>
      </c>
      <c r="H511" s="13">
        <v>145.01872299999999</v>
      </c>
      <c r="I511" s="14">
        <f t="shared" si="7"/>
        <v>3.975756528871166E-4</v>
      </c>
      <c r="J511" s="14">
        <f>IF(COUNT(B511)=0,"",B511-(INTERCEPT('3. Cleaned Data'!$B$4:$B$1041,'3. Cleaned Data'!$H$4:$H$1041)+SLOPE('3. Cleaned Data'!$B$4:$B$1041,'3. Cleaned Data'!$H$4:$H$1041)*H511))</f>
        <v>0.17196103476402769</v>
      </c>
    </row>
    <row r="512" spans="1:10" x14ac:dyDescent="0.2">
      <c r="A512" s="12">
        <v>43066</v>
      </c>
      <c r="B512" s="13">
        <v>17.182116650400001</v>
      </c>
      <c r="C512" s="13">
        <v>151.300003</v>
      </c>
      <c r="D512" s="13">
        <v>151.61999499999999</v>
      </c>
      <c r="E512" s="13">
        <v>150.44000199999999</v>
      </c>
      <c r="F512" s="13">
        <v>150.490005</v>
      </c>
      <c r="G512" s="13">
        <v>144.57682800000001</v>
      </c>
      <c r="H512" s="13">
        <v>144.57682800000001</v>
      </c>
      <c r="I512" s="14">
        <f t="shared" si="7"/>
        <v>-3.0471582624540527E-3</v>
      </c>
      <c r="J512" s="14">
        <f>IF(COUNT(B512)=0,"",B512-(INTERCEPT('3. Cleaned Data'!$B$4:$B$1041,'3. Cleaned Data'!$H$4:$H$1041)+SLOPE('3. Cleaned Data'!$B$4:$B$1041,'3. Cleaned Data'!$H$4:$H$1041)*H512))</f>
        <v>-0.7971486997870052</v>
      </c>
    </row>
    <row r="513" spans="1:10" x14ac:dyDescent="0.2">
      <c r="A513" s="12">
        <v>43067</v>
      </c>
      <c r="B513" s="13">
        <v>17.640889919999999</v>
      </c>
      <c r="C513" s="13">
        <v>151.020004</v>
      </c>
      <c r="D513" s="13">
        <v>152.970001</v>
      </c>
      <c r="E513" s="13">
        <v>150.66000399999999</v>
      </c>
      <c r="F513" s="13">
        <v>152.86000100000001</v>
      </c>
      <c r="G513" s="13">
        <v>146.85372899999999</v>
      </c>
      <c r="H513" s="13">
        <v>146.85372899999999</v>
      </c>
      <c r="I513" s="14">
        <f t="shared" si="7"/>
        <v>1.5748727036672738E-2</v>
      </c>
      <c r="J513" s="14">
        <f>IF(COUNT(B513)=0,"",B513-(INTERCEPT('3. Cleaned Data'!$B$4:$B$1041,'3. Cleaned Data'!$H$4:$H$1041)+SLOPE('3. Cleaned Data'!$B$4:$B$1041,'3. Cleaned Data'!$H$4:$H$1041)*H513))</f>
        <v>-0.64983824566353121</v>
      </c>
    </row>
    <row r="514" spans="1:10" x14ac:dyDescent="0.2">
      <c r="A514" s="12">
        <v>43068</v>
      </c>
      <c r="B514" s="13">
        <v>16.696418112</v>
      </c>
      <c r="C514" s="13">
        <v>153.33999600000001</v>
      </c>
      <c r="D514" s="13">
        <v>154.21000699999999</v>
      </c>
      <c r="E514" s="13">
        <v>152.949997</v>
      </c>
      <c r="F514" s="13">
        <v>153.36999499999999</v>
      </c>
      <c r="G514" s="13">
        <v>147.34364299999999</v>
      </c>
      <c r="H514" s="13">
        <v>147.34364299999999</v>
      </c>
      <c r="I514" s="14">
        <f t="shared" si="7"/>
        <v>3.3360678229696905E-3</v>
      </c>
      <c r="J514" s="14">
        <f>IF(COUNT(B514)=0,"",B514-(INTERCEPT('3. Cleaned Data'!$B$4:$B$1041,'3. Cleaned Data'!$H$4:$H$1041)+SLOPE('3. Cleaned Data'!$B$4:$B$1041,'3. Cleaned Data'!$H$4:$H$1041)*H514))</f>
        <v>-1.661326579099363</v>
      </c>
    </row>
    <row r="515" spans="1:10" x14ac:dyDescent="0.2">
      <c r="A515" s="12">
        <v>43069</v>
      </c>
      <c r="B515" s="13">
        <v>17.9219452452</v>
      </c>
      <c r="C515" s="13">
        <v>154.10000600000001</v>
      </c>
      <c r="D515" s="13">
        <v>154.550003</v>
      </c>
      <c r="E515" s="13">
        <v>153.279999</v>
      </c>
      <c r="F515" s="13">
        <v>153.64999399999999</v>
      </c>
      <c r="G515" s="13">
        <v>147.612686</v>
      </c>
      <c r="H515" s="13">
        <v>147.612686</v>
      </c>
      <c r="I515" s="14">
        <f t="shared" si="7"/>
        <v>1.8259559389339763E-3</v>
      </c>
      <c r="J515" s="14">
        <f>IF(COUNT(B515)=0,"",B515-(INTERCEPT('3. Cleaned Data'!$B$4:$B$1041,'3. Cleaned Data'!$H$4:$H$1041)+SLOPE('3. Cleaned Data'!$B$4:$B$1041,'3. Cleaned Data'!$H$4:$H$1041)*H515))</f>
        <v>-0.47260249103143082</v>
      </c>
    </row>
    <row r="516" spans="1:10" x14ac:dyDescent="0.2">
      <c r="A516" s="12">
        <v>43070</v>
      </c>
      <c r="B516" s="13">
        <v>17.318093279999999</v>
      </c>
      <c r="C516" s="13">
        <v>153.020004</v>
      </c>
      <c r="D516" s="13">
        <v>153.71000699999999</v>
      </c>
      <c r="E516" s="13">
        <v>148.75</v>
      </c>
      <c r="F516" s="13">
        <v>153.020004</v>
      </c>
      <c r="G516" s="13">
        <v>147.00741600000001</v>
      </c>
      <c r="H516" s="13">
        <v>147.00741600000001</v>
      </c>
      <c r="I516" s="14">
        <f t="shared" si="7"/>
        <v>-4.1003928348000152E-3</v>
      </c>
      <c r="J516" s="14">
        <f>IF(COUNT(B516)=0,"",B516-(INTERCEPT('3. Cleaned Data'!$B$4:$B$1041,'3. Cleaned Data'!$H$4:$H$1041)+SLOPE('3. Cleaned Data'!$B$4:$B$1041,'3. Cleaned Data'!$H$4:$H$1041)*H516))</f>
        <v>-0.99365810350310824</v>
      </c>
    </row>
    <row r="517" spans="1:10" x14ac:dyDescent="0.2">
      <c r="A517" s="12">
        <v>43073</v>
      </c>
      <c r="B517" s="13">
        <v>16.7415803136</v>
      </c>
      <c r="C517" s="13">
        <v>154.89999399999999</v>
      </c>
      <c r="D517" s="13">
        <v>155.41000399999999</v>
      </c>
      <c r="E517" s="13">
        <v>152.300003</v>
      </c>
      <c r="F517" s="13">
        <v>152.449997</v>
      </c>
      <c r="G517" s="13">
        <v>146.45980800000001</v>
      </c>
      <c r="H517" s="13">
        <v>146.45980800000001</v>
      </c>
      <c r="I517" s="14">
        <f t="shared" ref="I517:I580" si="8">H517/H516-1</f>
        <v>-3.725036565502271E-3</v>
      </c>
      <c r="J517" s="14">
        <f>IF(COUNT(B517)=0,"",B517-(INTERCEPT('3. Cleaned Data'!$B$4:$B$1041,'3. Cleaned Data'!$H$4:$H$1041)+SLOPE('3. Cleaned Data'!$B$4:$B$1041,'3. Cleaned Data'!$H$4:$H$1041)*H517))</f>
        <v>-1.4952624421421845</v>
      </c>
    </row>
    <row r="518" spans="1:10" x14ac:dyDescent="0.2">
      <c r="A518" s="12">
        <v>43074</v>
      </c>
      <c r="B518" s="13">
        <v>17.280730328400001</v>
      </c>
      <c r="C518" s="13">
        <v>151.39999399999999</v>
      </c>
      <c r="D518" s="13">
        <v>152.96000699999999</v>
      </c>
      <c r="E518" s="13">
        <v>150.91999799999999</v>
      </c>
      <c r="F518" s="13">
        <v>150.929993</v>
      </c>
      <c r="G518" s="13">
        <v>144.99955700000001</v>
      </c>
      <c r="H518" s="13">
        <v>144.99955700000001</v>
      </c>
      <c r="I518" s="14">
        <f t="shared" si="8"/>
        <v>-9.9703189560373939E-3</v>
      </c>
      <c r="J518" s="14">
        <f>IF(COUNT(B518)=0,"",B518-(INTERCEPT('3. Cleaned Data'!$B$4:$B$1041,'3. Cleaned Data'!$H$4:$H$1041)+SLOPE('3. Cleaned Data'!$B$4:$B$1041,'3. Cleaned Data'!$H$4:$H$1041)*H518))</f>
        <v>-0.75636114796622067</v>
      </c>
    </row>
    <row r="519" spans="1:10" x14ac:dyDescent="0.2">
      <c r="A519" s="12">
        <v>43075</v>
      </c>
      <c r="B519" s="13">
        <v>18.320785686000001</v>
      </c>
      <c r="C519" s="13">
        <v>150.36999499999999</v>
      </c>
      <c r="D519" s="13">
        <v>151.19000199999999</v>
      </c>
      <c r="E519" s="13">
        <v>149.949997</v>
      </c>
      <c r="F519" s="13">
        <v>150.220001</v>
      </c>
      <c r="G519" s="13">
        <v>144.31744399999999</v>
      </c>
      <c r="H519" s="13">
        <v>144.31744399999999</v>
      </c>
      <c r="I519" s="14">
        <f t="shared" si="8"/>
        <v>-4.7042419584772954E-3</v>
      </c>
      <c r="J519" s="14">
        <f>IF(COUNT(B519)=0,"",B519-(INTERCEPT('3. Cleaned Data'!$B$4:$B$1041,'3. Cleaned Data'!$H$4:$H$1041)+SLOPE('3. Cleaned Data'!$B$4:$B$1041,'3. Cleaned Data'!$H$4:$H$1041)*H519))</f>
        <v>0.37700210288567959</v>
      </c>
    </row>
    <row r="520" spans="1:10" x14ac:dyDescent="0.2">
      <c r="A520" s="12">
        <v>43076</v>
      </c>
      <c r="B520" s="13">
        <v>17.5681245876</v>
      </c>
      <c r="C520" s="13">
        <v>151.30999800000001</v>
      </c>
      <c r="D520" s="13">
        <v>151.88999899999999</v>
      </c>
      <c r="E520" s="13">
        <v>150.020004</v>
      </c>
      <c r="F520" s="13">
        <v>151.270004</v>
      </c>
      <c r="G520" s="13">
        <v>145.32621800000001</v>
      </c>
      <c r="H520" s="13">
        <v>145.32621800000001</v>
      </c>
      <c r="I520" s="14">
        <f t="shared" si="8"/>
        <v>6.9899658145275989E-3</v>
      </c>
      <c r="J520" s="14">
        <f>IF(COUNT(B520)=0,"",B520-(INTERCEPT('3. Cleaned Data'!$B$4:$B$1041,'3. Cleaned Data'!$H$4:$H$1041)+SLOPE('3. Cleaned Data'!$B$4:$B$1041,'3. Cleaned Data'!$H$4:$H$1041)*H520))</f>
        <v>-0.51365163999887287</v>
      </c>
    </row>
    <row r="521" spans="1:10" x14ac:dyDescent="0.2">
      <c r="A521" s="12">
        <v>43077</v>
      </c>
      <c r="B521" s="13">
        <v>18.022873915200002</v>
      </c>
      <c r="C521" s="13">
        <v>152.14999399999999</v>
      </c>
      <c r="D521" s="13">
        <v>152.279999</v>
      </c>
      <c r="E521" s="13">
        <v>151.279999</v>
      </c>
      <c r="F521" s="13">
        <v>151.41000399999999</v>
      </c>
      <c r="G521" s="13">
        <v>145.46069299999999</v>
      </c>
      <c r="H521" s="13">
        <v>145.46069299999999</v>
      </c>
      <c r="I521" s="14">
        <f t="shared" si="8"/>
        <v>9.2533200031374996E-4</v>
      </c>
      <c r="J521" s="14">
        <f>IF(COUNT(B521)=0,"",B521-(INTERCEPT('3. Cleaned Data'!$B$4:$B$1041,'3. Cleaned Data'!$H$4:$H$1041)+SLOPE('3. Cleaned Data'!$B$4:$B$1041,'3. Cleaned Data'!$H$4:$H$1041)*H521))</f>
        <v>-7.729747411701382E-2</v>
      </c>
    </row>
    <row r="522" spans="1:10" x14ac:dyDescent="0.2">
      <c r="A522" s="12">
        <v>43080</v>
      </c>
      <c r="B522" s="13">
        <v>16.958172604800001</v>
      </c>
      <c r="C522" s="13">
        <v>151.429993</v>
      </c>
      <c r="D522" s="13">
        <v>152.13000500000001</v>
      </c>
      <c r="E522" s="13">
        <v>151.020004</v>
      </c>
      <c r="F522" s="13">
        <v>151.35000600000001</v>
      </c>
      <c r="G522" s="13">
        <v>145.40306100000001</v>
      </c>
      <c r="H522" s="13">
        <v>145.40306100000001</v>
      </c>
      <c r="I522" s="14">
        <f t="shared" si="8"/>
        <v>-3.9620325471700912E-4</v>
      </c>
      <c r="J522" s="14">
        <f>IF(COUNT(B522)=0,"",B522-(INTERCEPT('3. Cleaned Data'!$B$4:$B$1041,'3. Cleaned Data'!$H$4:$H$1041)+SLOPE('3. Cleaned Data'!$B$4:$B$1041,'3. Cleaned Data'!$H$4:$H$1041)*H522))</f>
        <v>-1.1341151633224449</v>
      </c>
    </row>
    <row r="523" spans="1:10" x14ac:dyDescent="0.2">
      <c r="A523" s="12">
        <v>43081</v>
      </c>
      <c r="B523" s="13">
        <v>18.2530073856</v>
      </c>
      <c r="C523" s="13">
        <v>151.699997</v>
      </c>
      <c r="D523" s="13">
        <v>151.929993</v>
      </c>
      <c r="E523" s="13">
        <v>150.820007</v>
      </c>
      <c r="F523" s="13">
        <v>150.88000500000001</v>
      </c>
      <c r="G523" s="13">
        <v>144.95152300000001</v>
      </c>
      <c r="H523" s="13">
        <v>144.95152300000001</v>
      </c>
      <c r="I523" s="14">
        <f t="shared" si="8"/>
        <v>-3.1054229319147364E-3</v>
      </c>
      <c r="J523" s="14">
        <f>IF(COUNT(B523)=0,"",B523-(INTERCEPT('3. Cleaned Data'!$B$4:$B$1041,'3. Cleaned Data'!$H$4:$H$1041)+SLOPE('3. Cleaned Data'!$B$4:$B$1041,'3. Cleaned Data'!$H$4:$H$1041)*H523))</f>
        <v>0.22248659670706061</v>
      </c>
    </row>
    <row r="524" spans="1:10" x14ac:dyDescent="0.2">
      <c r="A524" s="12">
        <v>43082</v>
      </c>
      <c r="B524" s="13">
        <v>17.788456440000001</v>
      </c>
      <c r="C524" s="13">
        <v>150.80999800000001</v>
      </c>
      <c r="D524" s="13">
        <v>152.71000699999999</v>
      </c>
      <c r="E524" s="13">
        <v>150.80999800000001</v>
      </c>
      <c r="F524" s="13">
        <v>151.779999</v>
      </c>
      <c r="G524" s="13">
        <v>145.81613200000001</v>
      </c>
      <c r="H524" s="13">
        <v>145.81613200000001</v>
      </c>
      <c r="I524" s="14">
        <f t="shared" si="8"/>
        <v>5.9648148712450055E-3</v>
      </c>
      <c r="J524" s="14">
        <f>IF(COUNT(B524)=0,"",B524-(INTERCEPT('3. Cleaned Data'!$B$4:$B$1041,'3. Cleaned Data'!$H$4:$H$1041)+SLOPE('3. Cleaned Data'!$B$4:$B$1041,'3. Cleaned Data'!$H$4:$H$1041)*H524))</f>
        <v>-0.36033631303470415</v>
      </c>
    </row>
    <row r="525" spans="1:10" x14ac:dyDescent="0.2">
      <c r="A525" s="12">
        <v>43083</v>
      </c>
      <c r="B525" s="13">
        <v>16.765413762000001</v>
      </c>
      <c r="C525" s="13">
        <v>151.85000600000001</v>
      </c>
      <c r="D525" s="13">
        <v>152.199997</v>
      </c>
      <c r="E525" s="13">
        <v>149.63999899999999</v>
      </c>
      <c r="F525" s="13">
        <v>150.10000600000001</v>
      </c>
      <c r="G525" s="13">
        <v>144.20214799999999</v>
      </c>
      <c r="H525" s="13">
        <v>144.20214799999999</v>
      </c>
      <c r="I525" s="14">
        <f t="shared" si="8"/>
        <v>-1.1068624423530959E-2</v>
      </c>
      <c r="J525" s="14">
        <f>IF(COUNT(B525)=0,"",B525-(INTERCEPT('3. Cleaned Data'!$B$4:$B$1041,'3. Cleaned Data'!$H$4:$H$1041)+SLOPE('3. Cleaned Data'!$B$4:$B$1041,'3. Cleaned Data'!$H$4:$H$1041)*H525))</f>
        <v>-1.1625982013674871</v>
      </c>
    </row>
    <row r="526" spans="1:10" x14ac:dyDescent="0.2">
      <c r="A526" s="12">
        <v>43084</v>
      </c>
      <c r="B526" s="13">
        <v>18.036040370399999</v>
      </c>
      <c r="C526" s="13">
        <v>151.050003</v>
      </c>
      <c r="D526" s="13">
        <v>153.25</v>
      </c>
      <c r="E526" s="13">
        <v>150.58000200000001</v>
      </c>
      <c r="F526" s="13">
        <v>152.240005</v>
      </c>
      <c r="G526" s="13">
        <v>146.258072</v>
      </c>
      <c r="H526" s="13">
        <v>146.258072</v>
      </c>
      <c r="I526" s="14">
        <f t="shared" si="8"/>
        <v>1.4257235613438946E-2</v>
      </c>
      <c r="J526" s="14">
        <f>IF(COUNT(B526)=0,"",B526-(INTERCEPT('3. Cleaned Data'!$B$4:$B$1041,'3. Cleaned Data'!$H$4:$H$1041)+SLOPE('3. Cleaned Data'!$B$4:$B$1041,'3. Cleaned Data'!$H$4:$H$1041)*H526))</f>
        <v>-0.17320642814291531</v>
      </c>
    </row>
    <row r="527" spans="1:10" x14ac:dyDescent="0.2">
      <c r="A527" s="12">
        <v>43087</v>
      </c>
      <c r="B527" s="13">
        <v>18.115007587200001</v>
      </c>
      <c r="C527" s="13">
        <v>153.66999799999999</v>
      </c>
      <c r="D527" s="13">
        <v>154.720001</v>
      </c>
      <c r="E527" s="13">
        <v>153.46000699999999</v>
      </c>
      <c r="F527" s="13">
        <v>154.300003</v>
      </c>
      <c r="G527" s="13">
        <v>148.23713699999999</v>
      </c>
      <c r="H527" s="13">
        <v>148.23713699999999</v>
      </c>
      <c r="I527" s="14">
        <f t="shared" si="8"/>
        <v>1.3531321539641095E-2</v>
      </c>
      <c r="J527" s="14">
        <f>IF(COUNT(B527)=0,"",B527-(INTERCEPT('3. Cleaned Data'!$B$4:$B$1041,'3. Cleaned Data'!$H$4:$H$1041)+SLOPE('3. Cleaned Data'!$B$4:$B$1041,'3. Cleaned Data'!$H$4:$H$1041)*H527))</f>
        <v>-0.36496031731592282</v>
      </c>
    </row>
    <row r="528" spans="1:10" x14ac:dyDescent="0.2">
      <c r="A528" s="12">
        <v>43088</v>
      </c>
      <c r="B528" s="13">
        <v>16.841036916</v>
      </c>
      <c r="C528" s="13">
        <v>154.75</v>
      </c>
      <c r="D528" s="13">
        <v>154.770004</v>
      </c>
      <c r="E528" s="13">
        <v>152.820007</v>
      </c>
      <c r="F528" s="13">
        <v>153.08000200000001</v>
      </c>
      <c r="G528" s="13">
        <v>147.065033</v>
      </c>
      <c r="H528" s="13">
        <v>147.065033</v>
      </c>
      <c r="I528" s="14">
        <f t="shared" si="8"/>
        <v>-7.9069524932877666E-3</v>
      </c>
      <c r="J528" s="14">
        <f>IF(COUNT(B528)=0,"",B528-(INTERCEPT('3. Cleaned Data'!$B$4:$B$1041,'3. Cleaned Data'!$H$4:$H$1041)+SLOPE('3. Cleaned Data'!$B$4:$B$1041,'3. Cleaned Data'!$H$4:$H$1041)*H528))</f>
        <v>-1.4785960368112612</v>
      </c>
    </row>
    <row r="529" spans="1:10" x14ac:dyDescent="0.2">
      <c r="A529" s="12">
        <v>43089</v>
      </c>
      <c r="B529" s="13">
        <v>17.560447660800001</v>
      </c>
      <c r="C529" s="13">
        <v>153.75</v>
      </c>
      <c r="D529" s="13">
        <v>153.94000199999999</v>
      </c>
      <c r="E529" s="13">
        <v>152.83999600000001</v>
      </c>
      <c r="F529" s="13">
        <v>153.38000500000001</v>
      </c>
      <c r="G529" s="13">
        <v>147.35327100000001</v>
      </c>
      <c r="H529" s="13">
        <v>147.35327100000001</v>
      </c>
      <c r="I529" s="14">
        <f t="shared" si="8"/>
        <v>1.9599356428934289E-3</v>
      </c>
      <c r="J529" s="14">
        <f>IF(COUNT(B529)=0,"",B529-(INTERCEPT('3. Cleaned Data'!$B$4:$B$1041,'3. Cleaned Data'!$H$4:$H$1041)+SLOPE('3. Cleaned Data'!$B$4:$B$1041,'3. Cleaned Data'!$H$4:$H$1041)*H529))</f>
        <v>-0.79861406779348698</v>
      </c>
    </row>
    <row r="530" spans="1:10" x14ac:dyDescent="0.2">
      <c r="A530" s="12">
        <v>43090</v>
      </c>
      <c r="B530" s="13">
        <v>17.1888499248</v>
      </c>
      <c r="C530" s="13">
        <v>153.240005</v>
      </c>
      <c r="D530" s="13">
        <v>154.020004</v>
      </c>
      <c r="E530" s="13">
        <v>153.08000200000001</v>
      </c>
      <c r="F530" s="13">
        <v>153.470001</v>
      </c>
      <c r="G530" s="13">
        <v>147.99842799999999</v>
      </c>
      <c r="H530" s="13">
        <v>147.99842799999999</v>
      </c>
      <c r="I530" s="14">
        <f t="shared" si="8"/>
        <v>4.378301177990096E-3</v>
      </c>
      <c r="J530" s="14">
        <f>IF(COUNT(B530)=0,"",B530-(INTERCEPT('3. Cleaned Data'!$B$4:$B$1041,'3. Cleaned Data'!$H$4:$H$1041)+SLOPE('3. Cleaned Data'!$B$4:$B$1041,'3. Cleaned Data'!$H$4:$H$1041)*H530))</f>
        <v>-1.2584643960864277</v>
      </c>
    </row>
    <row r="531" spans="1:10" x14ac:dyDescent="0.2">
      <c r="A531" s="12">
        <v>43091</v>
      </c>
      <c r="B531" s="13">
        <v>16.900402644</v>
      </c>
      <c r="C531" s="13">
        <v>153.38000500000001</v>
      </c>
      <c r="D531" s="13">
        <v>153.38999899999999</v>
      </c>
      <c r="E531" s="13">
        <v>152.800003</v>
      </c>
      <c r="F531" s="13">
        <v>153.19000199999999</v>
      </c>
      <c r="G531" s="13">
        <v>147.72839400000001</v>
      </c>
      <c r="H531" s="13">
        <v>147.72839400000001</v>
      </c>
      <c r="I531" s="14">
        <f t="shared" si="8"/>
        <v>-1.8245734339825681E-3</v>
      </c>
      <c r="J531" s="14">
        <f>IF(COUNT(B531)=0,"",B531-(INTERCEPT('3. Cleaned Data'!$B$4:$B$1041,'3. Cleaned Data'!$H$4:$H$1041)+SLOPE('3. Cleaned Data'!$B$4:$B$1041,'3. Cleaned Data'!$H$4:$H$1041)*H531))</f>
        <v>-1.5099730704584857</v>
      </c>
    </row>
    <row r="532" spans="1:10" x14ac:dyDescent="0.2">
      <c r="A532" s="12">
        <v>43095</v>
      </c>
      <c r="B532" s="13">
        <v>17.466504065999999</v>
      </c>
      <c r="C532" s="13">
        <v>153</v>
      </c>
      <c r="D532" s="13">
        <v>153.429993</v>
      </c>
      <c r="E532" s="13">
        <v>152.89999399999999</v>
      </c>
      <c r="F532" s="13">
        <v>153.279999</v>
      </c>
      <c r="G532" s="13">
        <v>147.81521599999999</v>
      </c>
      <c r="H532" s="13">
        <v>147.81521599999999</v>
      </c>
      <c r="I532" s="14">
        <f t="shared" si="8"/>
        <v>5.8771369300880671E-4</v>
      </c>
      <c r="J532" s="14">
        <f>IF(COUNT(B532)=0,"",B532-(INTERCEPT('3. Cleaned Data'!$B$4:$B$1041,'3. Cleaned Data'!$H$4:$H$1041)+SLOPE('3. Cleaned Data'!$B$4:$B$1041,'3. Cleaned Data'!$H$4:$H$1041)*H532))</f>
        <v>-0.95574824061831265</v>
      </c>
    </row>
    <row r="533" spans="1:10" x14ac:dyDescent="0.2">
      <c r="A533" s="12">
        <v>43096</v>
      </c>
      <c r="B533" s="13">
        <v>17.275281464399999</v>
      </c>
      <c r="C533" s="13">
        <v>153.21000699999999</v>
      </c>
      <c r="D533" s="13">
        <v>153.949997</v>
      </c>
      <c r="E533" s="13">
        <v>152.80999800000001</v>
      </c>
      <c r="F533" s="13">
        <v>153.13000500000001</v>
      </c>
      <c r="G533" s="13">
        <v>147.67053200000001</v>
      </c>
      <c r="H533" s="13">
        <v>147.67053200000001</v>
      </c>
      <c r="I533" s="14">
        <f t="shared" si="8"/>
        <v>-9.7881668690980028E-4</v>
      </c>
      <c r="J533" s="14">
        <f>IF(COUNT(B533)=0,"",B533-(INTERCEPT('3. Cleaned Data'!$B$4:$B$1041,'3. Cleaned Data'!$H$4:$H$1041)+SLOPE('3. Cleaned Data'!$B$4:$B$1041,'3. Cleaned Data'!$H$4:$H$1041)*H533))</f>
        <v>-1.12717916660554</v>
      </c>
    </row>
    <row r="534" spans="1:10" x14ac:dyDescent="0.2">
      <c r="A534" s="12">
        <v>43097</v>
      </c>
      <c r="B534" s="13">
        <v>18.541209398399999</v>
      </c>
      <c r="C534" s="13">
        <v>153.240005</v>
      </c>
      <c r="D534" s="13">
        <v>153.75</v>
      </c>
      <c r="E534" s="13">
        <v>153.009995</v>
      </c>
      <c r="F534" s="13">
        <v>153.729996</v>
      </c>
      <c r="G534" s="13">
        <v>148.249146</v>
      </c>
      <c r="H534" s="13">
        <v>148.249146</v>
      </c>
      <c r="I534" s="14">
        <f t="shared" si="8"/>
        <v>3.9182766674124014E-3</v>
      </c>
      <c r="J534" s="14">
        <f>IF(COUNT(B534)=0,"",B534-(INTERCEPT('3. Cleaned Data'!$B$4:$B$1041,'3. Cleaned Data'!$H$4:$H$1041)+SLOPE('3. Cleaned Data'!$B$4:$B$1041,'3. Cleaned Data'!$H$4:$H$1041)*H534))</f>
        <v>5.959875361953948E-2</v>
      </c>
    </row>
    <row r="535" spans="1:10" x14ac:dyDescent="0.2">
      <c r="A535" s="12">
        <v>43098</v>
      </c>
      <c r="B535" s="13">
        <v>17.875535880000001</v>
      </c>
      <c r="C535" s="13">
        <v>154.14999399999999</v>
      </c>
      <c r="D535" s="13">
        <v>154.14999399999999</v>
      </c>
      <c r="E535" s="13">
        <v>152.38999899999999</v>
      </c>
      <c r="F535" s="13">
        <v>152.46000699999999</v>
      </c>
      <c r="G535" s="13">
        <v>147.02444499999999</v>
      </c>
      <c r="H535" s="13">
        <v>147.02444499999999</v>
      </c>
      <c r="I535" s="14">
        <f t="shared" si="8"/>
        <v>-8.2610998649530476E-3</v>
      </c>
      <c r="J535" s="14">
        <f>IF(COUNT(B535)=0,"",B535-(INTERCEPT('3. Cleaned Data'!$B$4:$B$1041,'3. Cleaned Data'!$H$4:$H$1041)+SLOPE('3. Cleaned Data'!$B$4:$B$1041,'3. Cleaned Data'!$H$4:$H$1041)*H535))</f>
        <v>-0.43854494175480951</v>
      </c>
    </row>
    <row r="536" spans="1:10" x14ac:dyDescent="0.2">
      <c r="A536" s="12">
        <v>43102</v>
      </c>
      <c r="B536" s="13">
        <v>17.375184790799999</v>
      </c>
      <c r="C536" s="13">
        <v>153.199997</v>
      </c>
      <c r="D536" s="13">
        <v>153.970001</v>
      </c>
      <c r="E536" s="13">
        <v>152.46000699999999</v>
      </c>
      <c r="F536" s="13">
        <v>153.89999399999999</v>
      </c>
      <c r="G536" s="13">
        <v>148.413071</v>
      </c>
      <c r="H536" s="13">
        <v>148.413071</v>
      </c>
      <c r="I536" s="14">
        <f t="shared" si="8"/>
        <v>9.4448647638154526E-3</v>
      </c>
      <c r="J536" s="14">
        <f>IF(COUNT(B536)=0,"",B536-(INTERCEPT('3. Cleaned Data'!$B$4:$B$1041,'3. Cleaned Data'!$H$4:$H$1041)+SLOPE('3. Cleaned Data'!$B$4:$B$1041,'3. Cleaned Data'!$H$4:$H$1041)*H536))</f>
        <v>-1.128849552695069</v>
      </c>
    </row>
    <row r="537" spans="1:10" x14ac:dyDescent="0.2">
      <c r="A537" s="12">
        <v>43103</v>
      </c>
      <c r="B537" s="13">
        <v>18.6579504384</v>
      </c>
      <c r="C537" s="13">
        <v>153.86999499999999</v>
      </c>
      <c r="D537" s="13">
        <v>154.46000699999999</v>
      </c>
      <c r="E537" s="13">
        <v>153.520004</v>
      </c>
      <c r="F537" s="13">
        <v>154.05999800000001</v>
      </c>
      <c r="G537" s="13">
        <v>148.56738300000001</v>
      </c>
      <c r="H537" s="13">
        <v>148.56738300000001</v>
      </c>
      <c r="I537" s="14">
        <f t="shared" si="8"/>
        <v>1.0397466945482048E-3</v>
      </c>
      <c r="J537" s="14">
        <f>IF(COUNT(B537)=0,"",B537-(INTERCEPT('3. Cleaned Data'!$B$4:$B$1041,'3. Cleaned Data'!$H$4:$H$1041)+SLOPE('3. Cleaned Data'!$B$4:$B$1041,'3. Cleaned Data'!$H$4:$H$1041)*H537))</f>
        <v>0.13280738179803109</v>
      </c>
    </row>
    <row r="538" spans="1:10" x14ac:dyDescent="0.2">
      <c r="A538" s="12">
        <v>43104</v>
      </c>
      <c r="B538" s="13">
        <v>18.095199147599999</v>
      </c>
      <c r="C538" s="13">
        <v>154.970001</v>
      </c>
      <c r="D538" s="13">
        <v>155.14999399999999</v>
      </c>
      <c r="E538" s="13">
        <v>154.020004</v>
      </c>
      <c r="F538" s="13">
        <v>154.470001</v>
      </c>
      <c r="G538" s="13">
        <v>148.96279899999999</v>
      </c>
      <c r="H538" s="13">
        <v>148.96279899999999</v>
      </c>
      <c r="I538" s="14">
        <f t="shared" si="8"/>
        <v>2.6615263190035154E-3</v>
      </c>
      <c r="J538" s="14">
        <f>IF(COUNT(B538)=0,"",B538-(INTERCEPT('3. Cleaned Data'!$B$4:$B$1041,'3. Cleaned Data'!$H$4:$H$1041)+SLOPE('3. Cleaned Data'!$B$4:$B$1041,'3. Cleaned Data'!$H$4:$H$1041)*H538))</f>
        <v>-0.48403382360276481</v>
      </c>
    </row>
    <row r="539" spans="1:10" x14ac:dyDescent="0.2">
      <c r="A539" s="12">
        <v>43105</v>
      </c>
      <c r="B539" s="13">
        <v>17.739164322000001</v>
      </c>
      <c r="C539" s="13">
        <v>154.88000500000001</v>
      </c>
      <c r="D539" s="13">
        <v>154.979996</v>
      </c>
      <c r="E539" s="13">
        <v>153.94000199999999</v>
      </c>
      <c r="F539" s="13">
        <v>154.78999300000001</v>
      </c>
      <c r="G539" s="13">
        <v>149.27134699999999</v>
      </c>
      <c r="H539" s="13">
        <v>149.27134699999999</v>
      </c>
      <c r="I539" s="14">
        <f t="shared" si="8"/>
        <v>2.0713090924131539E-3</v>
      </c>
      <c r="J539" s="14">
        <f>IF(COUNT(B539)=0,"",B539-(INTERCEPT('3. Cleaned Data'!$B$4:$B$1041,'3. Cleaned Data'!$H$4:$H$1041)+SLOPE('3. Cleaned Data'!$B$4:$B$1041,'3. Cleaned Data'!$H$4:$H$1041)*H539))</f>
        <v>-0.88227567919205541</v>
      </c>
    </row>
    <row r="540" spans="1:10" x14ac:dyDescent="0.2">
      <c r="A540" s="12">
        <v>43108</v>
      </c>
      <c r="B540" s="13">
        <v>17.314863324000001</v>
      </c>
      <c r="C540" s="13">
        <v>154.729996</v>
      </c>
      <c r="D540" s="13">
        <v>155.270004</v>
      </c>
      <c r="E540" s="13">
        <v>153.5</v>
      </c>
      <c r="F540" s="13">
        <v>155.029999</v>
      </c>
      <c r="G540" s="13">
        <v>149.50280799999999</v>
      </c>
      <c r="H540" s="13">
        <v>149.50280799999999</v>
      </c>
      <c r="I540" s="14">
        <f t="shared" si="8"/>
        <v>1.5506056899183829E-3</v>
      </c>
      <c r="J540" s="14">
        <f>IF(COUNT(B540)=0,"",B540-(INTERCEPT('3. Cleaned Data'!$B$4:$B$1041,'3. Cleaned Data'!$H$4:$H$1041)+SLOPE('3. Cleaned Data'!$B$4:$B$1041,'3. Cleaned Data'!$H$4:$H$1041)*H540))</f>
        <v>-1.3382387893054108</v>
      </c>
    </row>
    <row r="541" spans="1:10" x14ac:dyDescent="0.2">
      <c r="A541" s="12">
        <v>43109</v>
      </c>
      <c r="B541" s="13">
        <v>19.034647008</v>
      </c>
      <c r="C541" s="13">
        <v>155.240005</v>
      </c>
      <c r="D541" s="13">
        <v>155.5</v>
      </c>
      <c r="E541" s="13">
        <v>154.729996</v>
      </c>
      <c r="F541" s="13">
        <v>154.820007</v>
      </c>
      <c r="G541" s="13">
        <v>149.30032299999999</v>
      </c>
      <c r="H541" s="13">
        <v>149.30032299999999</v>
      </c>
      <c r="I541" s="14">
        <f t="shared" si="8"/>
        <v>-1.3543892767552412E-3</v>
      </c>
      <c r="J541" s="14">
        <f>IF(COUNT(B541)=0,"",B541-(INTERCEPT('3. Cleaned Data'!$B$4:$B$1041,'3. Cleaned Data'!$H$4:$H$1041)+SLOPE('3. Cleaned Data'!$B$4:$B$1041,'3. Cleaned Data'!$H$4:$H$1041)*H541))</f>
        <v>0.40924330942222298</v>
      </c>
    </row>
    <row r="542" spans="1:10" x14ac:dyDescent="0.2">
      <c r="A542" s="12">
        <v>43110</v>
      </c>
      <c r="B542" s="13">
        <v>18.2494769304</v>
      </c>
      <c r="C542" s="13">
        <v>154.470001</v>
      </c>
      <c r="D542" s="13">
        <v>155.16999799999999</v>
      </c>
      <c r="E542" s="13">
        <v>153.91999799999999</v>
      </c>
      <c r="F542" s="13">
        <v>154.83999600000001</v>
      </c>
      <c r="G542" s="13">
        <v>149.31956500000001</v>
      </c>
      <c r="H542" s="13">
        <v>149.31956500000001</v>
      </c>
      <c r="I542" s="14">
        <f t="shared" si="8"/>
        <v>1.288811679263091E-4</v>
      </c>
      <c r="J542" s="14">
        <f>IF(COUNT(B542)=0,"",B542-(INTERCEPT('3. Cleaned Data'!$B$4:$B$1041,'3. Cleaned Data'!$H$4:$H$1041)+SLOPE('3. Cleaned Data'!$B$4:$B$1041,'3. Cleaned Data'!$H$4:$H$1041)*H542))</f>
        <v>-0.37855892807203873</v>
      </c>
    </row>
    <row r="543" spans="1:10" x14ac:dyDescent="0.2">
      <c r="A543" s="12">
        <v>43111</v>
      </c>
      <c r="B543" s="13">
        <v>17.875253860800001</v>
      </c>
      <c r="C543" s="13">
        <v>155.070007</v>
      </c>
      <c r="D543" s="13">
        <v>157.66000399999999</v>
      </c>
      <c r="E543" s="13">
        <v>154.979996</v>
      </c>
      <c r="F543" s="13">
        <v>157.5</v>
      </c>
      <c r="G543" s="13">
        <v>151.88476600000001</v>
      </c>
      <c r="H543" s="13">
        <v>151.88476600000001</v>
      </c>
      <c r="I543" s="14">
        <f t="shared" si="8"/>
        <v>1.7179269173466905E-2</v>
      </c>
      <c r="J543" s="14">
        <f>IF(COUNT(B543)=0,"",B543-(INTERCEPT('3. Cleaned Data'!$B$4:$B$1041,'3. Cleaned Data'!$H$4:$H$1041)+SLOPE('3. Cleaned Data'!$B$4:$B$1041,'3. Cleaned Data'!$H$4:$H$1041)*H543))</f>
        <v>-1.1036820700613106</v>
      </c>
    </row>
    <row r="544" spans="1:10" x14ac:dyDescent="0.2">
      <c r="A544" s="12">
        <v>43112</v>
      </c>
      <c r="B544" s="13">
        <v>18.839677459200001</v>
      </c>
      <c r="C544" s="13">
        <v>157.679993</v>
      </c>
      <c r="D544" s="13">
        <v>158.86000100000001</v>
      </c>
      <c r="E544" s="13">
        <v>157.470001</v>
      </c>
      <c r="F544" s="13">
        <v>158.16000399999999</v>
      </c>
      <c r="G544" s="13">
        <v>152.52121</v>
      </c>
      <c r="H544" s="13">
        <v>152.52121</v>
      </c>
      <c r="I544" s="14">
        <f t="shared" si="8"/>
        <v>4.1903083288812315E-3</v>
      </c>
      <c r="J544" s="14">
        <f>IF(COUNT(B544)=0,"",B544-(INTERCEPT('3. Cleaned Data'!$B$4:$B$1041,'3. Cleaned Data'!$H$4:$H$1041)+SLOPE('3. Cleaned Data'!$B$4:$B$1041,'3. Cleaned Data'!$H$4:$H$1041)*H544))</f>
        <v>-0.22631919153149127</v>
      </c>
    </row>
    <row r="545" spans="1:10" x14ac:dyDescent="0.2">
      <c r="A545" s="12">
        <v>43116</v>
      </c>
      <c r="B545" s="13">
        <v>18.720534218400001</v>
      </c>
      <c r="C545" s="13">
        <v>158.86000100000001</v>
      </c>
      <c r="D545" s="13">
        <v>159.41000399999999</v>
      </c>
      <c r="E545" s="13">
        <v>155.800003</v>
      </c>
      <c r="F545" s="13">
        <v>156.13999899999999</v>
      </c>
      <c r="G545" s="13">
        <v>150.57324199999999</v>
      </c>
      <c r="H545" s="13">
        <v>150.57324199999999</v>
      </c>
      <c r="I545" s="14">
        <f t="shared" si="8"/>
        <v>-1.2771784330848135E-2</v>
      </c>
      <c r="J545" s="14">
        <f>IF(COUNT(B545)=0,"",B545-(INTERCEPT('3. Cleaned Data'!$B$4:$B$1041,'3. Cleaned Data'!$H$4:$H$1041)+SLOPE('3. Cleaned Data'!$B$4:$B$1041,'3. Cleaned Data'!$H$4:$H$1041)*H545))</f>
        <v>-7.8995160483405158E-2</v>
      </c>
    </row>
    <row r="546" spans="1:10" x14ac:dyDescent="0.2">
      <c r="A546" s="12">
        <v>43117</v>
      </c>
      <c r="B546" s="13">
        <v>18.082785403199999</v>
      </c>
      <c r="C546" s="13">
        <v>156.800003</v>
      </c>
      <c r="D546" s="13">
        <v>157.94000199999999</v>
      </c>
      <c r="E546" s="13">
        <v>156.279999</v>
      </c>
      <c r="F546" s="13">
        <v>157.61999499999999</v>
      </c>
      <c r="G546" s="13">
        <v>152.00045800000001</v>
      </c>
      <c r="H546" s="13">
        <v>152.00045800000001</v>
      </c>
      <c r="I546" s="14">
        <f t="shared" si="8"/>
        <v>9.4785499803478057E-3</v>
      </c>
      <c r="J546" s="14">
        <f>IF(COUNT(B546)=0,"",B546-(INTERCEPT('3. Cleaned Data'!$B$4:$B$1041,'3. Cleaned Data'!$H$4:$H$1041)+SLOPE('3. Cleaned Data'!$B$4:$B$1041,'3. Cleaned Data'!$H$4:$H$1041)*H546))</f>
        <v>-0.91197631720952188</v>
      </c>
    </row>
    <row r="547" spans="1:10" x14ac:dyDescent="0.2">
      <c r="A547" s="12">
        <v>43118</v>
      </c>
      <c r="B547" s="13">
        <v>18.695954459999999</v>
      </c>
      <c r="C547" s="13">
        <v>157.220001</v>
      </c>
      <c r="D547" s="13">
        <v>157.5</v>
      </c>
      <c r="E547" s="13">
        <v>156.38999899999999</v>
      </c>
      <c r="F547" s="13">
        <v>156.53999300000001</v>
      </c>
      <c r="G547" s="13">
        <v>150.95895400000001</v>
      </c>
      <c r="H547" s="13">
        <v>150.95895400000001</v>
      </c>
      <c r="I547" s="14">
        <f t="shared" si="8"/>
        <v>-6.8519793539043583E-3</v>
      </c>
      <c r="J547" s="14">
        <f>IF(COUNT(B547)=0,"",B547-(INTERCEPT('3. Cleaned Data'!$B$4:$B$1041,'3. Cleaned Data'!$H$4:$H$1041)+SLOPE('3. Cleaned Data'!$B$4:$B$1041,'3. Cleaned Data'!$H$4:$H$1041)*H547))</f>
        <v>-0.15633739976557237</v>
      </c>
    </row>
    <row r="548" spans="1:10" x14ac:dyDescent="0.2">
      <c r="A548" s="12">
        <v>43119</v>
      </c>
      <c r="B548" s="13">
        <v>18.764204212799999</v>
      </c>
      <c r="C548" s="13">
        <v>156.729996</v>
      </c>
      <c r="D548" s="13">
        <v>158.69000199999999</v>
      </c>
      <c r="E548" s="13">
        <v>156.550003</v>
      </c>
      <c r="F548" s="13">
        <v>158.60000600000001</v>
      </c>
      <c r="G548" s="13">
        <v>152.94554099999999</v>
      </c>
      <c r="H548" s="13">
        <v>152.94554099999999</v>
      </c>
      <c r="I548" s="14">
        <f t="shared" si="8"/>
        <v>1.3159782492928374E-2</v>
      </c>
      <c r="J548" s="14">
        <f>IF(COUNT(B548)=0,"",B548-(INTERCEPT('3. Cleaned Data'!$B$4:$B$1041,'3. Cleaned Data'!$H$4:$H$1041)+SLOPE('3. Cleaned Data'!$B$4:$B$1041,'3. Cleaned Data'!$H$4:$H$1041)*H548))</f>
        <v>-0.35983770557992045</v>
      </c>
    </row>
    <row r="549" spans="1:10" x14ac:dyDescent="0.2">
      <c r="A549" s="12">
        <v>43122</v>
      </c>
      <c r="B549" s="13">
        <v>17.483062686</v>
      </c>
      <c r="C549" s="13">
        <v>158.39999399999999</v>
      </c>
      <c r="D549" s="13">
        <v>159.449997</v>
      </c>
      <c r="E549" s="13">
        <v>158.30999800000001</v>
      </c>
      <c r="F549" s="13">
        <v>159.449997</v>
      </c>
      <c r="G549" s="13">
        <v>153.76518200000001</v>
      </c>
      <c r="H549" s="13">
        <v>153.76518200000001</v>
      </c>
      <c r="I549" s="14">
        <f t="shared" si="8"/>
        <v>5.3590382213235532E-3</v>
      </c>
      <c r="J549" s="14">
        <f>IF(COUNT(B549)=0,"",B549-(INTERCEPT('3. Cleaned Data'!$B$4:$B$1041,'3. Cleaned Data'!$H$4:$H$1041)+SLOPE('3. Cleaned Data'!$B$4:$B$1041,'3. Cleaned Data'!$H$4:$H$1041)*H549))</f>
        <v>-1.7530999146318038</v>
      </c>
    </row>
    <row r="550" spans="1:10" x14ac:dyDescent="0.2">
      <c r="A550" s="12">
        <v>43123</v>
      </c>
      <c r="B550" s="13">
        <v>19.207951276799999</v>
      </c>
      <c r="C550" s="13">
        <v>159.240005</v>
      </c>
      <c r="D550" s="13">
        <v>160.300003</v>
      </c>
      <c r="E550" s="13">
        <v>158.66999799999999</v>
      </c>
      <c r="F550" s="13">
        <v>159.96000699999999</v>
      </c>
      <c r="G550" s="13">
        <v>154.25704999999999</v>
      </c>
      <c r="H550" s="13">
        <v>154.25704999999999</v>
      </c>
      <c r="I550" s="14">
        <f t="shared" si="8"/>
        <v>3.1988255962911438E-3</v>
      </c>
      <c r="J550" s="14">
        <f>IF(COUNT(B550)=0,"",B550-(INTERCEPT('3. Cleaned Data'!$B$4:$B$1041,'3. Cleaned Data'!$H$4:$H$1041)+SLOPE('3. Cleaned Data'!$B$4:$B$1041,'3. Cleaned Data'!$H$4:$H$1041)*H550))</f>
        <v>-9.5495141671406714E-2</v>
      </c>
    </row>
    <row r="551" spans="1:10" x14ac:dyDescent="0.2">
      <c r="A551" s="12">
        <v>43124</v>
      </c>
      <c r="B551" s="13">
        <v>17.446783667999998</v>
      </c>
      <c r="C551" s="13">
        <v>160.36000100000001</v>
      </c>
      <c r="D551" s="13">
        <v>160.63000500000001</v>
      </c>
      <c r="E551" s="13">
        <v>158.39999399999999</v>
      </c>
      <c r="F551" s="13">
        <v>158.970001</v>
      </c>
      <c r="G551" s="13">
        <v>153.302322</v>
      </c>
      <c r="H551" s="13">
        <v>153.302322</v>
      </c>
      <c r="I551" s="14">
        <f t="shared" si="8"/>
        <v>-6.1892017253019072E-3</v>
      </c>
      <c r="J551" s="14">
        <f>IF(COUNT(B551)=0,"",B551-(INTERCEPT('3. Cleaned Data'!$B$4:$B$1041,'3. Cleaned Data'!$H$4:$H$1041)+SLOPE('3. Cleaned Data'!$B$4:$B$1041,'3. Cleaned Data'!$H$4:$H$1041)*H551))</f>
        <v>-1.726063189535612</v>
      </c>
    </row>
    <row r="552" spans="1:10" x14ac:dyDescent="0.2">
      <c r="A552" s="12">
        <v>43125</v>
      </c>
      <c r="B552" s="13">
        <v>17.4615714432</v>
      </c>
      <c r="C552" s="13">
        <v>159.63999899999999</v>
      </c>
      <c r="D552" s="13">
        <v>159.91999799999999</v>
      </c>
      <c r="E552" s="13">
        <v>158.21000699999999</v>
      </c>
      <c r="F552" s="13">
        <v>159.029999</v>
      </c>
      <c r="G552" s="13">
        <v>153.36019899999999</v>
      </c>
      <c r="H552" s="13">
        <v>153.36019899999999</v>
      </c>
      <c r="I552" s="14">
        <f t="shared" si="8"/>
        <v>3.7753505129556331E-4</v>
      </c>
      <c r="J552" s="14">
        <f>IF(COUNT(B552)=0,"",B552-(INTERCEPT('3. Cleaned Data'!$B$4:$B$1041,'3. Cleaned Data'!$H$4:$H$1041)+SLOPE('3. Cleaned Data'!$B$4:$B$1041,'3. Cleaned Data'!$H$4:$H$1041)*H552))</f>
        <v>-1.7191925496749754</v>
      </c>
    </row>
    <row r="553" spans="1:10" x14ac:dyDescent="0.2">
      <c r="A553" s="12">
        <v>43126</v>
      </c>
      <c r="B553" s="13">
        <v>18.637073586</v>
      </c>
      <c r="C553" s="13">
        <v>159.529999</v>
      </c>
      <c r="D553" s="13">
        <v>159.69000199999999</v>
      </c>
      <c r="E553" s="13">
        <v>158.770004</v>
      </c>
      <c r="F553" s="13">
        <v>159.60000600000001</v>
      </c>
      <c r="G553" s="13">
        <v>153.90986599999999</v>
      </c>
      <c r="H553" s="13">
        <v>153.90986599999999</v>
      </c>
      <c r="I553" s="14">
        <f t="shared" si="8"/>
        <v>3.58415679937929E-3</v>
      </c>
      <c r="J553" s="14">
        <f>IF(COUNT(B553)=0,"",B553-(INTERCEPT('3. Cleaned Data'!$B$4:$B$1041,'3. Cleaned Data'!$H$4:$H$1041)+SLOPE('3. Cleaned Data'!$B$4:$B$1041,'3. Cleaned Data'!$H$4:$H$1041)*H553))</f>
        <v>-0.61888069024458048</v>
      </c>
    </row>
    <row r="554" spans="1:10" x14ac:dyDescent="0.2">
      <c r="A554" s="12">
        <v>43129</v>
      </c>
      <c r="B554" s="13">
        <v>17.243402765999999</v>
      </c>
      <c r="C554" s="13">
        <v>159.05999800000001</v>
      </c>
      <c r="D554" s="13">
        <v>159.86000100000001</v>
      </c>
      <c r="E554" s="13">
        <v>158.61999499999999</v>
      </c>
      <c r="F554" s="13">
        <v>158.699997</v>
      </c>
      <c r="G554" s="13">
        <v>153.04196200000001</v>
      </c>
      <c r="H554" s="13">
        <v>153.04196200000001</v>
      </c>
      <c r="I554" s="14">
        <f t="shared" si="8"/>
        <v>-5.639040709709775E-3</v>
      </c>
      <c r="J554" s="14">
        <f>IF(COUNT(B554)=0,"",B554-(INTERCEPT('3. Cleaned Data'!$B$4:$B$1041,'3. Cleaned Data'!$H$4:$H$1041)+SLOPE('3. Cleaned Data'!$B$4:$B$1041,'3. Cleaned Data'!$H$4:$H$1041)*H554))</f>
        <v>-1.893828815053471</v>
      </c>
    </row>
    <row r="555" spans="1:10" x14ac:dyDescent="0.2">
      <c r="A555" s="12">
        <v>43130</v>
      </c>
      <c r="B555" s="13">
        <v>17.0894109312</v>
      </c>
      <c r="C555" s="13">
        <v>157.66000399999999</v>
      </c>
      <c r="D555" s="13">
        <v>158.220001</v>
      </c>
      <c r="E555" s="13">
        <v>156.729996</v>
      </c>
      <c r="F555" s="13">
        <v>157.179993</v>
      </c>
      <c r="G555" s="13">
        <v>151.57614100000001</v>
      </c>
      <c r="H555" s="13">
        <v>151.57614100000001</v>
      </c>
      <c r="I555" s="14">
        <f t="shared" si="8"/>
        <v>-9.5779025624358471E-3</v>
      </c>
      <c r="J555" s="14">
        <f>IF(COUNT(B555)=0,"",B555-(INTERCEPT('3. Cleaned Data'!$B$4:$B$1041,'3. Cleaned Data'!$H$4:$H$1041)+SLOPE('3. Cleaned Data'!$B$4:$B$1041,'3. Cleaned Data'!$H$4:$H$1041)*H555))</f>
        <v>-1.8473074366550826</v>
      </c>
    </row>
    <row r="556" spans="1:10" x14ac:dyDescent="0.2">
      <c r="A556" s="12">
        <v>43131</v>
      </c>
      <c r="B556" s="13">
        <v>16.775203233599999</v>
      </c>
      <c r="C556" s="13">
        <v>157.740005</v>
      </c>
      <c r="D556" s="13">
        <v>158.41999799999999</v>
      </c>
      <c r="E556" s="13">
        <v>155.91999799999999</v>
      </c>
      <c r="F556" s="13">
        <v>156.36000100000001</v>
      </c>
      <c r="G556" s="13">
        <v>150.78538499999999</v>
      </c>
      <c r="H556" s="13">
        <v>150.78538499999999</v>
      </c>
      <c r="I556" s="14">
        <f t="shared" si="8"/>
        <v>-5.2168896422822852E-3</v>
      </c>
      <c r="J556" s="14">
        <f>IF(COUNT(B556)=0,"",B556-(INTERCEPT('3. Cleaned Data'!$B$4:$B$1041,'3. Cleaned Data'!$H$4:$H$1041)+SLOPE('3. Cleaned Data'!$B$4:$B$1041,'3. Cleaned Data'!$H$4:$H$1041)*H556))</f>
        <v>-2.0533457012779976</v>
      </c>
    </row>
    <row r="557" spans="1:10" x14ac:dyDescent="0.2">
      <c r="A557" s="12">
        <v>43132</v>
      </c>
      <c r="B557" s="13">
        <v>16.975935732</v>
      </c>
      <c r="C557" s="13">
        <v>155.729996</v>
      </c>
      <c r="D557" s="13">
        <v>157.21000699999999</v>
      </c>
      <c r="E557" s="13">
        <v>155.529999</v>
      </c>
      <c r="F557" s="13">
        <v>156.85000600000001</v>
      </c>
      <c r="G557" s="13">
        <v>151.25791899999999</v>
      </c>
      <c r="H557" s="13">
        <v>151.25791899999999</v>
      </c>
      <c r="I557" s="14">
        <f t="shared" si="8"/>
        <v>3.133818307391012E-3</v>
      </c>
      <c r="J557" s="14">
        <f>IF(COUNT(B557)=0,"",B557-(INTERCEPT('3. Cleaned Data'!$B$4:$B$1041,'3. Cleaned Data'!$H$4:$H$1041)+SLOPE('3. Cleaned Data'!$B$4:$B$1041,'3. Cleaned Data'!$H$4:$H$1041)*H557))</f>
        <v>-1.9172522759199886</v>
      </c>
    </row>
    <row r="558" spans="1:10" x14ac:dyDescent="0.2">
      <c r="A558" s="12">
        <v>43133</v>
      </c>
      <c r="B558" s="13">
        <v>16.992945160800002</v>
      </c>
      <c r="C558" s="13">
        <v>156.13000500000001</v>
      </c>
      <c r="D558" s="13">
        <v>156.14999399999999</v>
      </c>
      <c r="E558" s="13">
        <v>153.509995</v>
      </c>
      <c r="F558" s="13">
        <v>153.83000200000001</v>
      </c>
      <c r="G558" s="13">
        <v>148.34558100000001</v>
      </c>
      <c r="H558" s="13">
        <v>148.34558100000001</v>
      </c>
      <c r="I558" s="14">
        <f t="shared" si="8"/>
        <v>-1.925411918433162E-2</v>
      </c>
      <c r="J558" s="14">
        <f>IF(COUNT(B558)=0,"",B558-(INTERCEPT('3. Cleaned Data'!$B$4:$B$1041,'3. Cleaned Data'!$H$4:$H$1041)+SLOPE('3. Cleaned Data'!$B$4:$B$1041,'3. Cleaned Data'!$H$4:$H$1041)*H558))</f>
        <v>-1.5018570617479945</v>
      </c>
    </row>
    <row r="559" spans="1:10" x14ac:dyDescent="0.2">
      <c r="A559" s="12">
        <v>43136</v>
      </c>
      <c r="B559" s="13">
        <v>16.662260142000001</v>
      </c>
      <c r="C559" s="13">
        <v>152.66999799999999</v>
      </c>
      <c r="D559" s="13">
        <v>153.78999300000001</v>
      </c>
      <c r="E559" s="13">
        <v>147.86000100000001</v>
      </c>
      <c r="F559" s="13">
        <v>147.91999799999999</v>
      </c>
      <c r="G559" s="13">
        <v>142.646286</v>
      </c>
      <c r="H559" s="13">
        <v>142.646286</v>
      </c>
      <c r="I559" s="14">
        <f t="shared" si="8"/>
        <v>-3.8419041279025401E-2</v>
      </c>
      <c r="J559" s="14">
        <f>IF(COUNT(B559)=0,"",B559-(INTERCEPT('3. Cleaned Data'!$B$4:$B$1041,'3. Cleaned Data'!$H$4:$H$1041)+SLOPE('3. Cleaned Data'!$B$4:$B$1041,'3. Cleaned Data'!$H$4:$H$1041)*H559))</f>
        <v>-1.0529216811844329</v>
      </c>
    </row>
    <row r="560" spans="1:10" x14ac:dyDescent="0.2">
      <c r="A560" s="12">
        <v>43137</v>
      </c>
      <c r="B560" s="13">
        <v>16.984476959999999</v>
      </c>
      <c r="C560" s="13">
        <v>145.529999</v>
      </c>
      <c r="D560" s="13">
        <v>150.36999499999999</v>
      </c>
      <c r="E560" s="13">
        <v>144.240005</v>
      </c>
      <c r="F560" s="13">
        <v>149.69000199999999</v>
      </c>
      <c r="G560" s="13">
        <v>144.353195</v>
      </c>
      <c r="H560" s="13">
        <v>144.353195</v>
      </c>
      <c r="I560" s="14">
        <f t="shared" si="8"/>
        <v>1.1966024828715005E-2</v>
      </c>
      <c r="J560" s="14">
        <f>IF(COUNT(B560)=0,"",B560-(INTERCEPT('3. Cleaned Data'!$B$4:$B$1041,'3. Cleaned Data'!$H$4:$H$1041)+SLOPE('3. Cleaned Data'!$B$4:$B$1041,'3. Cleaned Data'!$H$4:$H$1041)*H560))</f>
        <v>-0.96419708919787084</v>
      </c>
    </row>
    <row r="561" spans="1:10" x14ac:dyDescent="0.2">
      <c r="A561" s="12">
        <v>43138</v>
      </c>
      <c r="B561" s="13">
        <v>16.288061333999998</v>
      </c>
      <c r="C561" s="13">
        <v>149.61000100000001</v>
      </c>
      <c r="D561" s="13">
        <v>150.78999300000001</v>
      </c>
      <c r="E561" s="13">
        <v>148.61000100000001</v>
      </c>
      <c r="F561" s="13">
        <v>149.83999600000001</v>
      </c>
      <c r="G561" s="13">
        <v>144.49783300000001</v>
      </c>
      <c r="H561" s="13">
        <v>144.49783300000001</v>
      </c>
      <c r="I561" s="14">
        <f t="shared" si="8"/>
        <v>1.001972973303511E-3</v>
      </c>
      <c r="J561" s="14">
        <f>IF(COUNT(B561)=0,"",B561-(INTERCEPT('3. Cleaned Data'!$B$4:$B$1041,'3. Cleaned Data'!$H$4:$H$1041)+SLOPE('3. Cleaned Data'!$B$4:$B$1041,'3. Cleaned Data'!$H$4:$H$1041)*H561))</f>
        <v>-1.6803980983589746</v>
      </c>
    </row>
    <row r="562" spans="1:10" x14ac:dyDescent="0.2">
      <c r="A562" s="12">
        <v>43139</v>
      </c>
      <c r="B562" s="13">
        <v>16.838710056</v>
      </c>
      <c r="C562" s="13">
        <v>149.990005</v>
      </c>
      <c r="D562" s="13">
        <v>150</v>
      </c>
      <c r="E562" s="13">
        <v>145.44000199999999</v>
      </c>
      <c r="F562" s="13">
        <v>145.44000199999999</v>
      </c>
      <c r="G562" s="13">
        <v>140.254715</v>
      </c>
      <c r="H562" s="13">
        <v>140.254715</v>
      </c>
      <c r="I562" s="14">
        <f t="shared" si="8"/>
        <v>-2.936457877537868E-2</v>
      </c>
      <c r="J562" s="14">
        <f>IF(COUNT(B562)=0,"",B562-(INTERCEPT('3. Cleaned Data'!$B$4:$B$1041,'3. Cleaned Data'!$H$4:$H$1041)+SLOPE('3. Cleaned Data'!$B$4:$B$1041,'3. Cleaned Data'!$H$4:$H$1041)*H562))</f>
        <v>-0.5493229640208277</v>
      </c>
    </row>
    <row r="563" spans="1:10" x14ac:dyDescent="0.2">
      <c r="A563" s="12">
        <v>43140</v>
      </c>
      <c r="B563" s="13">
        <v>18.016078634399999</v>
      </c>
      <c r="C563" s="13">
        <v>146.759995</v>
      </c>
      <c r="D563" s="13">
        <v>147.94000199999999</v>
      </c>
      <c r="E563" s="13">
        <v>142.5</v>
      </c>
      <c r="F563" s="13">
        <v>146.770004</v>
      </c>
      <c r="G563" s="13">
        <v>141.537308</v>
      </c>
      <c r="H563" s="13">
        <v>141.537308</v>
      </c>
      <c r="I563" s="14">
        <f t="shared" si="8"/>
        <v>9.1447406955267319E-3</v>
      </c>
      <c r="J563" s="14">
        <f>IF(COUNT(B563)=0,"",B563-(INTERCEPT('3. Cleaned Data'!$B$4:$B$1041,'3. Cleaned Data'!$H$4:$H$1041)+SLOPE('3. Cleaned Data'!$B$4:$B$1041,'3. Cleaned Data'!$H$4:$H$1041)*H563))</f>
        <v>0.45259660412774494</v>
      </c>
    </row>
    <row r="564" spans="1:10" x14ac:dyDescent="0.2">
      <c r="A564" s="12">
        <v>43143</v>
      </c>
      <c r="B564" s="13">
        <v>18.035922744000001</v>
      </c>
      <c r="C564" s="13">
        <v>146.91999799999999</v>
      </c>
      <c r="D564" s="13">
        <v>148.91999799999999</v>
      </c>
      <c r="E564" s="13">
        <v>145.479996</v>
      </c>
      <c r="F564" s="13">
        <v>148.16000399999999</v>
      </c>
      <c r="G564" s="13">
        <v>142.87773100000001</v>
      </c>
      <c r="H564" s="13">
        <v>142.87773100000001</v>
      </c>
      <c r="I564" s="14">
        <f t="shared" si="8"/>
        <v>9.4704570755295148E-3</v>
      </c>
      <c r="J564" s="14">
        <f>IF(COUNT(B564)=0,"",B564-(INTERCEPT('3. Cleaned Data'!$B$4:$B$1041,'3. Cleaned Data'!$H$4:$H$1041)+SLOPE('3. Cleaned Data'!$B$4:$B$1041,'3. Cleaned Data'!$H$4:$H$1041)*H564))</f>
        <v>0.28908099738105264</v>
      </c>
    </row>
    <row r="565" spans="1:10" x14ac:dyDescent="0.2">
      <c r="A565" s="12">
        <v>43144</v>
      </c>
      <c r="B565" s="13">
        <v>18.986901160799999</v>
      </c>
      <c r="C565" s="13">
        <v>147.38000500000001</v>
      </c>
      <c r="D565" s="13">
        <v>148.78999300000001</v>
      </c>
      <c r="E565" s="13">
        <v>146.89999399999999</v>
      </c>
      <c r="F565" s="13">
        <v>148.479996</v>
      </c>
      <c r="G565" s="13">
        <v>143.18630999999999</v>
      </c>
      <c r="H565" s="13">
        <v>143.18630999999999</v>
      </c>
      <c r="I565" s="14">
        <f t="shared" si="8"/>
        <v>2.1597417444989553E-3</v>
      </c>
      <c r="J565" s="14">
        <f>IF(COUNT(B565)=0,"",B565-(INTERCEPT('3. Cleaned Data'!$B$4:$B$1041,'3. Cleaned Data'!$H$4:$H$1041)+SLOPE('3. Cleaned Data'!$B$4:$B$1041,'3. Cleaned Data'!$H$4:$H$1041)*H565))</f>
        <v>1.1978481436265014</v>
      </c>
    </row>
    <row r="566" spans="1:10" x14ac:dyDescent="0.2">
      <c r="A566" s="12">
        <v>43145</v>
      </c>
      <c r="B566" s="13">
        <v>18.531581203199998</v>
      </c>
      <c r="C566" s="13">
        <v>147.63000500000001</v>
      </c>
      <c r="D566" s="13">
        <v>151.520004</v>
      </c>
      <c r="E566" s="13">
        <v>147.179993</v>
      </c>
      <c r="F566" s="13">
        <v>151.14999399999999</v>
      </c>
      <c r="G566" s="13">
        <v>145.761154</v>
      </c>
      <c r="H566" s="13">
        <v>145.761154</v>
      </c>
      <c r="I566" s="14">
        <f t="shared" si="8"/>
        <v>1.7982473324440029E-2</v>
      </c>
      <c r="J566" s="14">
        <f>IF(COUNT(B566)=0,"",B566-(INTERCEPT('3. Cleaned Data'!$B$4:$B$1041,'3. Cleaned Data'!$H$4:$H$1041)+SLOPE('3. Cleaned Data'!$B$4:$B$1041,'3. Cleaned Data'!$H$4:$H$1041)*H566))</f>
        <v>0.39030902425668756</v>
      </c>
    </row>
    <row r="567" spans="1:10" x14ac:dyDescent="0.2">
      <c r="A567" s="12">
        <v>43146</v>
      </c>
      <c r="B567" s="13">
        <v>17.935707959999998</v>
      </c>
      <c r="C567" s="13">
        <v>152.220001</v>
      </c>
      <c r="D567" s="13">
        <v>152.86999499999999</v>
      </c>
      <c r="E567" s="13">
        <v>150.55999800000001</v>
      </c>
      <c r="F567" s="13">
        <v>152.800003</v>
      </c>
      <c r="G567" s="13">
        <v>147.35230999999999</v>
      </c>
      <c r="H567" s="13">
        <v>147.35230999999999</v>
      </c>
      <c r="I567" s="14">
        <f t="shared" si="8"/>
        <v>1.0916186901209546E-2</v>
      </c>
      <c r="J567" s="14">
        <f>IF(COUNT(B567)=0,"",B567-(INTERCEPT('3. Cleaned Data'!$B$4:$B$1041,'3. Cleaned Data'!$H$4:$H$1041)+SLOPE('3. Cleaned Data'!$B$4:$B$1041,'3. Cleaned Data'!$H$4:$H$1041)*H567))</f>
        <v>-0.42322231107044317</v>
      </c>
    </row>
    <row r="568" spans="1:10" x14ac:dyDescent="0.2">
      <c r="A568" s="12">
        <v>43147</v>
      </c>
      <c r="B568" s="13">
        <v>18.915079722000002</v>
      </c>
      <c r="C568" s="13">
        <v>152.61000100000001</v>
      </c>
      <c r="D568" s="13">
        <v>154.28999300000001</v>
      </c>
      <c r="E568" s="13">
        <v>152.53999300000001</v>
      </c>
      <c r="F568" s="13">
        <v>153.33999600000001</v>
      </c>
      <c r="G568" s="13">
        <v>147.873062</v>
      </c>
      <c r="H568" s="13">
        <v>147.873062</v>
      </c>
      <c r="I568" s="14">
        <f t="shared" si="8"/>
        <v>3.5340606468945435E-3</v>
      </c>
      <c r="J568" s="14">
        <f>IF(COUNT(B568)=0,"",B568-(INTERCEPT('3. Cleaned Data'!$B$4:$B$1041,'3. Cleaned Data'!$H$4:$H$1041)+SLOPE('3. Cleaned Data'!$B$4:$B$1041,'3. Cleaned Data'!$H$4:$H$1041)*H568))</f>
        <v>0.48491452060758178</v>
      </c>
    </row>
    <row r="569" spans="1:10" x14ac:dyDescent="0.2">
      <c r="A569" s="12">
        <v>43151</v>
      </c>
      <c r="B569" s="13">
        <v>18.26869842</v>
      </c>
      <c r="C569" s="13">
        <v>152.550003</v>
      </c>
      <c r="D569" s="13">
        <v>153.770004</v>
      </c>
      <c r="E569" s="13">
        <v>151.66999799999999</v>
      </c>
      <c r="F569" s="13">
        <v>152.08000200000001</v>
      </c>
      <c r="G569" s="13">
        <v>146.65795900000001</v>
      </c>
      <c r="H569" s="13">
        <v>146.65795900000001</v>
      </c>
      <c r="I569" s="14">
        <f t="shared" si="8"/>
        <v>-8.2172032117655558E-3</v>
      </c>
      <c r="J569" s="14">
        <f>IF(COUNT(B569)=0,"",B569-(INTERCEPT('3. Cleaned Data'!$B$4:$B$1041,'3. Cleaned Data'!$H$4:$H$1041)+SLOPE('3. Cleaned Data'!$B$4:$B$1041,'3. Cleaned Data'!$H$4:$H$1041)*H569))</f>
        <v>4.7501079119349754E-3</v>
      </c>
    </row>
    <row r="570" spans="1:10" x14ac:dyDescent="0.2">
      <c r="A570" s="12">
        <v>43152</v>
      </c>
      <c r="B570" s="13">
        <v>18.046566345599999</v>
      </c>
      <c r="C570" s="13">
        <v>152.41999799999999</v>
      </c>
      <c r="D570" s="13">
        <v>154.80999800000001</v>
      </c>
      <c r="E570" s="13">
        <v>152.009995</v>
      </c>
      <c r="F570" s="13">
        <v>152.240005</v>
      </c>
      <c r="G570" s="13">
        <v>146.81227100000001</v>
      </c>
      <c r="H570" s="13">
        <v>146.81227100000001</v>
      </c>
      <c r="I570" s="14">
        <f t="shared" si="8"/>
        <v>1.0521897417106185E-3</v>
      </c>
      <c r="J570" s="14">
        <f>IF(COUNT(B570)=0,"",B570-(INTERCEPT('3. Cleaned Data'!$B$4:$B$1041,'3. Cleaned Data'!$H$4:$H$1041)+SLOPE('3. Cleaned Data'!$B$4:$B$1041,'3. Cleaned Data'!$H$4:$H$1041)*H570))</f>
        <v>-0.2384906795949675</v>
      </c>
    </row>
    <row r="571" spans="1:10" x14ac:dyDescent="0.2">
      <c r="A571" s="12">
        <v>43153</v>
      </c>
      <c r="B571" s="13">
        <v>19.040620103999998</v>
      </c>
      <c r="C571" s="13">
        <v>152.80999800000001</v>
      </c>
      <c r="D571" s="13">
        <v>154.029999</v>
      </c>
      <c r="E571" s="13">
        <v>151.91000399999999</v>
      </c>
      <c r="F571" s="13">
        <v>152</v>
      </c>
      <c r="G571" s="13">
        <v>146.58081100000001</v>
      </c>
      <c r="H571" s="13">
        <v>146.58081100000001</v>
      </c>
      <c r="I571" s="14">
        <f t="shared" si="8"/>
        <v>-1.5765712118164243E-3</v>
      </c>
      <c r="J571" s="14">
        <f>IF(COUNT(B571)=0,"",B571-(INTERCEPT('3. Cleaned Data'!$B$4:$B$1041,'3. Cleaned Data'!$H$4:$H$1041)+SLOPE('3. Cleaned Data'!$B$4:$B$1041,'3. Cleaned Data'!$H$4:$H$1041)*H571))</f>
        <v>0.78722505412596178</v>
      </c>
    </row>
    <row r="572" spans="1:10" x14ac:dyDescent="0.2">
      <c r="A572" s="12">
        <v>43154</v>
      </c>
      <c r="B572" s="13">
        <v>18.676966014000001</v>
      </c>
      <c r="C572" s="13">
        <v>152.979996</v>
      </c>
      <c r="D572" s="13">
        <v>154.020004</v>
      </c>
      <c r="E572" s="13">
        <v>152.14999399999999</v>
      </c>
      <c r="F572" s="13">
        <v>153.979996</v>
      </c>
      <c r="G572" s="13">
        <v>148.49023399999999</v>
      </c>
      <c r="H572" s="13">
        <v>148.49023399999999</v>
      </c>
      <c r="I572" s="14">
        <f t="shared" si="8"/>
        <v>1.3026418580805776E-2</v>
      </c>
      <c r="J572" s="14">
        <f>IF(COUNT(B572)=0,"",B572-(INTERCEPT('3. Cleaned Data'!$B$4:$B$1041,'3. Cleaned Data'!$H$4:$H$1041)+SLOPE('3. Cleaned Data'!$B$4:$B$1041,'3. Cleaned Data'!$H$4:$H$1041)*H572))</f>
        <v>0.16237635640449</v>
      </c>
    </row>
    <row r="573" spans="1:10" x14ac:dyDescent="0.2">
      <c r="A573" s="12">
        <v>43157</v>
      </c>
      <c r="B573" s="13">
        <v>18.519075014399998</v>
      </c>
      <c r="C573" s="13">
        <v>154.529999</v>
      </c>
      <c r="D573" s="13">
        <v>155.259995</v>
      </c>
      <c r="E573" s="13">
        <v>153.470001</v>
      </c>
      <c r="F573" s="13">
        <v>154.990005</v>
      </c>
      <c r="G573" s="13">
        <v>149.46423300000001</v>
      </c>
      <c r="H573" s="13">
        <v>149.46423300000001</v>
      </c>
      <c r="I573" s="14">
        <f t="shared" si="8"/>
        <v>6.5593471958567129E-3</v>
      </c>
      <c r="J573" s="14">
        <f>IF(COUNT(B573)=0,"",B573-(INTERCEPT('3. Cleaned Data'!$B$4:$B$1041,'3. Cleaned Data'!$H$4:$H$1041)+SLOPE('3. Cleaned Data'!$B$4:$B$1041,'3. Cleaned Data'!$H$4:$H$1041)*H573))</f>
        <v>-0.12875033100597477</v>
      </c>
    </row>
    <row r="574" spans="1:10" x14ac:dyDescent="0.2">
      <c r="A574" s="12">
        <v>43158</v>
      </c>
      <c r="B574" s="13">
        <v>18.682367423999999</v>
      </c>
      <c r="C574" s="13">
        <v>155.179993</v>
      </c>
      <c r="D574" s="13">
        <v>155.88000500000001</v>
      </c>
      <c r="E574" s="13">
        <v>152.75</v>
      </c>
      <c r="F574" s="13">
        <v>152.759995</v>
      </c>
      <c r="G574" s="13">
        <v>147.313705</v>
      </c>
      <c r="H574" s="13">
        <v>147.313705</v>
      </c>
      <c r="I574" s="14">
        <f t="shared" si="8"/>
        <v>-1.4388244978984388E-2</v>
      </c>
      <c r="J574" s="14">
        <f>IF(COUNT(B574)=0,"",B574-(INTERCEPT('3. Cleaned Data'!$B$4:$B$1041,'3. Cleaned Data'!$H$4:$H$1041)+SLOPE('3. Cleaned Data'!$B$4:$B$1041,'3. Cleaned Data'!$H$4:$H$1041)*H574))</f>
        <v>0.32871802460182664</v>
      </c>
    </row>
    <row r="575" spans="1:10" x14ac:dyDescent="0.2">
      <c r="A575" s="12">
        <v>43159</v>
      </c>
      <c r="B575" s="13">
        <v>18.644227183200002</v>
      </c>
      <c r="C575" s="13">
        <v>153.13999899999999</v>
      </c>
      <c r="D575" s="13">
        <v>153.60000600000001</v>
      </c>
      <c r="E575" s="13">
        <v>150.30999800000001</v>
      </c>
      <c r="F575" s="13">
        <v>150.35000600000001</v>
      </c>
      <c r="G575" s="13">
        <v>144.98966999999999</v>
      </c>
      <c r="H575" s="13">
        <v>144.98966999999999</v>
      </c>
      <c r="I575" s="14">
        <f t="shared" si="8"/>
        <v>-1.5776094966860055E-2</v>
      </c>
      <c r="J575" s="14">
        <f>IF(COUNT(B575)=0,"",B575-(INTERCEPT('3. Cleaned Data'!$B$4:$B$1041,'3. Cleaned Data'!$H$4:$H$1041)+SLOPE('3. Cleaned Data'!$B$4:$B$1041,'3. Cleaned Data'!$H$4:$H$1041)*H575))</f>
        <v>0.60848817356668761</v>
      </c>
    </row>
    <row r="576" spans="1:10" x14ac:dyDescent="0.2">
      <c r="A576" s="12">
        <v>43160</v>
      </c>
      <c r="B576" s="13">
        <v>18.758302451999999</v>
      </c>
      <c r="C576" s="13">
        <v>150.050003</v>
      </c>
      <c r="D576" s="13">
        <v>151.570007</v>
      </c>
      <c r="E576" s="13">
        <v>148.38000500000001</v>
      </c>
      <c r="F576" s="13">
        <v>149.949997</v>
      </c>
      <c r="G576" s="13">
        <v>144.60389699999999</v>
      </c>
      <c r="H576" s="13">
        <v>144.60389699999999</v>
      </c>
      <c r="I576" s="14">
        <f t="shared" si="8"/>
        <v>-2.660692999715053E-3</v>
      </c>
      <c r="J576" s="14">
        <f>IF(COUNT(B576)=0,"",B576-(INTERCEPT('3. Cleaned Data'!$B$4:$B$1041,'3. Cleaned Data'!$H$4:$H$1041)+SLOPE('3. Cleaned Data'!$B$4:$B$1041,'3. Cleaned Data'!$H$4:$H$1041)*H576))</f>
        <v>0.77533426758694191</v>
      </c>
    </row>
    <row r="577" spans="1:10" x14ac:dyDescent="0.2">
      <c r="A577" s="12">
        <v>43161</v>
      </c>
      <c r="B577" s="13">
        <v>20.265182387999999</v>
      </c>
      <c r="C577" s="13">
        <v>148.71000699999999</v>
      </c>
      <c r="D577" s="13">
        <v>152.75</v>
      </c>
      <c r="E577" s="13">
        <v>148.39999399999999</v>
      </c>
      <c r="F577" s="13">
        <v>152.35000600000001</v>
      </c>
      <c r="G577" s="13">
        <v>146.91836499999999</v>
      </c>
      <c r="H577" s="13">
        <v>146.91836499999999</v>
      </c>
      <c r="I577" s="14">
        <f t="shared" si="8"/>
        <v>1.6005571412781583E-2</v>
      </c>
      <c r="J577" s="14">
        <f>IF(COUNT(B577)=0,"",B577-(INTERCEPT('3. Cleaned Data'!$B$4:$B$1041,'3. Cleaned Data'!$H$4:$H$1041)+SLOPE('3. Cleaned Data'!$B$4:$B$1041,'3. Cleaned Data'!$H$4:$H$1041)*H577))</f>
        <v>1.9656125069781183</v>
      </c>
    </row>
    <row r="578" spans="1:10" x14ac:dyDescent="0.2">
      <c r="A578" s="12">
        <v>43164</v>
      </c>
      <c r="B578" s="13">
        <v>19.0707523968</v>
      </c>
      <c r="C578" s="13">
        <v>151.820007</v>
      </c>
      <c r="D578" s="13">
        <v>154.259995</v>
      </c>
      <c r="E578" s="13">
        <v>151.470001</v>
      </c>
      <c r="F578" s="13">
        <v>153.71000699999999</v>
      </c>
      <c r="G578" s="13">
        <v>148.22988900000001</v>
      </c>
      <c r="H578" s="13">
        <v>148.22988900000001</v>
      </c>
      <c r="I578" s="14">
        <f t="shared" si="8"/>
        <v>8.9268894327814152E-3</v>
      </c>
      <c r="J578" s="14">
        <f>IF(COUNT(B578)=0,"",B578-(INTERCEPT('3. Cleaned Data'!$B$4:$B$1041,'3. Cleaned Data'!$H$4:$H$1041)+SLOPE('3. Cleaned Data'!$B$4:$B$1041,'3. Cleaned Data'!$H$4:$H$1041)*H578))</f>
        <v>0.59177596380021313</v>
      </c>
    </row>
    <row r="579" spans="1:10" x14ac:dyDescent="0.2">
      <c r="A579" s="12">
        <v>43165</v>
      </c>
      <c r="B579" s="13">
        <v>18.797985954000001</v>
      </c>
      <c r="C579" s="13">
        <v>154.429993</v>
      </c>
      <c r="D579" s="13">
        <v>155.38999899999999</v>
      </c>
      <c r="E579" s="13">
        <v>152.800003</v>
      </c>
      <c r="F579" s="13">
        <v>155.36999499999999</v>
      </c>
      <c r="G579" s="13">
        <v>149.830704</v>
      </c>
      <c r="H579" s="13">
        <v>149.830704</v>
      </c>
      <c r="I579" s="14">
        <f t="shared" si="8"/>
        <v>1.0799542594273737E-2</v>
      </c>
      <c r="J579" s="14">
        <f>IF(COUNT(B579)=0,"",B579-(INTERCEPT('3. Cleaned Data'!$B$4:$B$1041,'3. Cleaned Data'!$H$4:$H$1041)+SLOPE('3. Cleaned Data'!$B$4:$B$1041,'3. Cleaned Data'!$H$4:$H$1041)*H579))</f>
        <v>0.10003015081369782</v>
      </c>
    </row>
    <row r="580" spans="1:10" x14ac:dyDescent="0.2">
      <c r="A580" s="12">
        <v>43166</v>
      </c>
      <c r="B580" s="13">
        <v>18.885411043200001</v>
      </c>
      <c r="C580" s="13">
        <v>154.46000699999999</v>
      </c>
      <c r="D580" s="13">
        <v>156.929993</v>
      </c>
      <c r="E580" s="15">
        <v>154.46000699999999</v>
      </c>
      <c r="F580" s="13">
        <v>156.740005</v>
      </c>
      <c r="G580" s="13">
        <v>151.15183999999999</v>
      </c>
      <c r="H580" s="13">
        <v>151.15183999999999</v>
      </c>
      <c r="I580" s="14">
        <f t="shared" si="8"/>
        <v>8.8175251449129632E-3</v>
      </c>
      <c r="J580" s="14">
        <f>IF(COUNT(B580)=0,"",B580-(INTERCEPT('3. Cleaned Data'!$B$4:$B$1041,'3. Cleaned Data'!$H$4:$H$1041)+SLOPE('3. Cleaned Data'!$B$4:$B$1041,'3. Cleaned Data'!$H$4:$H$1041)*H580))</f>
        <v>6.733839220515847E-3</v>
      </c>
    </row>
    <row r="581" spans="1:10" x14ac:dyDescent="0.2">
      <c r="A581" s="12">
        <v>43167</v>
      </c>
      <c r="B581" s="13">
        <v>19.7217558432</v>
      </c>
      <c r="C581" s="13">
        <v>156.89999399999999</v>
      </c>
      <c r="D581" s="13">
        <v>157.470001</v>
      </c>
      <c r="E581" s="13">
        <v>155.5</v>
      </c>
      <c r="F581" s="13">
        <v>156.41999799999999</v>
      </c>
      <c r="G581" s="13">
        <v>150.84326200000001</v>
      </c>
      <c r="H581" s="13">
        <v>150.84326200000001</v>
      </c>
      <c r="I581" s="14">
        <f t="shared" ref="I581:I644" si="9">H581/H580-1</f>
        <v>-2.0415100471153913E-3</v>
      </c>
      <c r="J581" s="14">
        <f>IF(COUNT(B581)=0,"",B581-(INTERCEPT('3. Cleaned Data'!$B$4:$B$1041,'3. Cleaned Data'!$H$4:$H$1041)+SLOPE('3. Cleaned Data'!$B$4:$B$1041,'3. Cleaned Data'!$H$4:$H$1041)*H581))</f>
        <v>0.88528977298263811</v>
      </c>
    </row>
    <row r="582" spans="1:10" x14ac:dyDescent="0.2">
      <c r="A582" s="12">
        <v>43168</v>
      </c>
      <c r="B582" s="13">
        <v>19.170085711199999</v>
      </c>
      <c r="C582" s="13">
        <v>157.30999800000001</v>
      </c>
      <c r="D582" s="13">
        <v>159</v>
      </c>
      <c r="E582" s="13">
        <v>156.86999499999999</v>
      </c>
      <c r="F582" s="13">
        <v>158.91999799999999</v>
      </c>
      <c r="G582" s="13">
        <v>153.25410500000001</v>
      </c>
      <c r="H582" s="13">
        <v>153.25410500000001</v>
      </c>
      <c r="I582" s="14">
        <f t="shared" si="9"/>
        <v>1.5982437452194631E-2</v>
      </c>
      <c r="J582" s="14">
        <f>IF(COUNT(B582)=0,"",B582-(INTERCEPT('3. Cleaned Data'!$B$4:$B$1041,'3. Cleaned Data'!$H$4:$H$1041)+SLOPE('3. Cleaned Data'!$B$4:$B$1041,'3. Cleaned Data'!$H$4:$H$1041)*H582))</f>
        <v>3.8345741519414389E-3</v>
      </c>
    </row>
    <row r="583" spans="1:10" x14ac:dyDescent="0.2">
      <c r="A583" s="12">
        <v>43171</v>
      </c>
      <c r="B583" s="13">
        <v>19.888393403999999</v>
      </c>
      <c r="C583" s="13">
        <v>159.25</v>
      </c>
      <c r="D583" s="13">
        <v>159.64999399999999</v>
      </c>
      <c r="E583" s="13">
        <v>158.490005</v>
      </c>
      <c r="F583" s="13">
        <v>159.199997</v>
      </c>
      <c r="G583" s="13">
        <v>153.52410900000001</v>
      </c>
      <c r="H583" s="13">
        <v>153.52410900000001</v>
      </c>
      <c r="I583" s="14">
        <f t="shared" si="9"/>
        <v>1.7618059888184767E-3</v>
      </c>
      <c r="J583" s="14">
        <f>IF(COUNT(B583)=0,"",B583-(INTERCEPT('3. Cleaned Data'!$B$4:$B$1041,'3. Cleaned Data'!$H$4:$H$1041)+SLOPE('3. Cleaned Data'!$B$4:$B$1041,'3. Cleaned Data'!$H$4:$H$1041)*H583))</f>
        <v>0.68520776429683039</v>
      </c>
    </row>
    <row r="584" spans="1:10" x14ac:dyDescent="0.2">
      <c r="A584" s="12">
        <v>43172</v>
      </c>
      <c r="B584" s="13">
        <v>19.458665744400001</v>
      </c>
      <c r="C584" s="13">
        <v>160</v>
      </c>
      <c r="D584" s="13">
        <v>160.300003</v>
      </c>
      <c r="E584" s="13">
        <v>158.13999899999999</v>
      </c>
      <c r="F584" s="13">
        <v>158.46000699999999</v>
      </c>
      <c r="G584" s="13">
        <v>152.81051600000001</v>
      </c>
      <c r="H584" s="13">
        <v>152.81051600000001</v>
      </c>
      <c r="I584" s="14">
        <f t="shared" si="9"/>
        <v>-4.6480842953467993E-3</v>
      </c>
      <c r="J584" s="14">
        <f>IF(COUNT(B584)=0,"",B584-(INTERCEPT('3. Cleaned Data'!$B$4:$B$1041,'3. Cleaned Data'!$H$4:$H$1041)+SLOPE('3. Cleaned Data'!$B$4:$B$1041,'3. Cleaned Data'!$H$4:$H$1041)*H584))</f>
        <v>0.35309422357347131</v>
      </c>
    </row>
    <row r="585" spans="1:10" x14ac:dyDescent="0.2">
      <c r="A585" s="12">
        <v>43173</v>
      </c>
      <c r="B585" s="13">
        <v>19.565585951999999</v>
      </c>
      <c r="C585" s="13">
        <v>159.220001</v>
      </c>
      <c r="D585" s="13">
        <v>159.38999899999999</v>
      </c>
      <c r="E585" s="13">
        <v>157.41000399999999</v>
      </c>
      <c r="F585" s="13">
        <v>157.71000699999999</v>
      </c>
      <c r="G585" s="13">
        <v>152.087265</v>
      </c>
      <c r="H585" s="13">
        <v>152.087265</v>
      </c>
      <c r="I585" s="14">
        <f t="shared" si="9"/>
        <v>-4.7329923288788045E-3</v>
      </c>
      <c r="J585" s="14">
        <f>IF(COUNT(B585)=0,"",B585-(INTERCEPT('3. Cleaned Data'!$B$4:$B$1041,'3. Cleaned Data'!$H$4:$H$1041)+SLOPE('3. Cleaned Data'!$B$4:$B$1041,'3. Cleaned Data'!$H$4:$H$1041)*H585))</f>
        <v>0.55894969131706773</v>
      </c>
    </row>
    <row r="586" spans="1:10" x14ac:dyDescent="0.2">
      <c r="A586" s="12">
        <v>43174</v>
      </c>
      <c r="B586" s="13">
        <v>18.100297987200001</v>
      </c>
      <c r="C586" s="13">
        <v>158.10000600000001</v>
      </c>
      <c r="D586" s="13">
        <v>158.13999899999999</v>
      </c>
      <c r="E586" s="13">
        <v>156.36999499999999</v>
      </c>
      <c r="F586" s="13">
        <v>156.91999799999999</v>
      </c>
      <c r="G586" s="13">
        <v>151.32540900000001</v>
      </c>
      <c r="H586" s="13">
        <v>151.32540900000001</v>
      </c>
      <c r="I586" s="14">
        <f t="shared" si="9"/>
        <v>-5.0093346079962409E-3</v>
      </c>
      <c r="J586" s="14">
        <f>IF(COUNT(B586)=0,"",B586-(INTERCEPT('3. Cleaned Data'!$B$4:$B$1041,'3. Cleaned Data'!$H$4:$H$1041)+SLOPE('3. Cleaned Data'!$B$4:$B$1041,'3. Cleaned Data'!$H$4:$H$1041)*H586))</f>
        <v>-0.80212214166706275</v>
      </c>
    </row>
    <row r="587" spans="1:10" x14ac:dyDescent="0.2">
      <c r="A587" s="12">
        <v>43175</v>
      </c>
      <c r="B587" s="13">
        <v>19.385186270399998</v>
      </c>
      <c r="C587" s="13">
        <v>156.979996</v>
      </c>
      <c r="D587" s="13">
        <v>158.270004</v>
      </c>
      <c r="E587" s="13">
        <v>156.75</v>
      </c>
      <c r="F587" s="13">
        <v>157.800003</v>
      </c>
      <c r="G587" s="13">
        <v>152.17404199999999</v>
      </c>
      <c r="H587" s="13">
        <v>152.17404199999999</v>
      </c>
      <c r="I587" s="14">
        <f t="shared" si="9"/>
        <v>5.6080007026446665E-3</v>
      </c>
      <c r="J587" s="14">
        <f>IF(COUNT(B587)=0,"",B587-(INTERCEPT('3. Cleaned Data'!$B$4:$B$1041,'3. Cleaned Data'!$H$4:$H$1041)+SLOPE('3. Cleaned Data'!$B$4:$B$1041,'3. Cleaned Data'!$H$4:$H$1041)*H587))</f>
        <v>0.3666795732164907</v>
      </c>
    </row>
    <row r="588" spans="1:10" x14ac:dyDescent="0.2">
      <c r="A588" s="12">
        <v>43178</v>
      </c>
      <c r="B588" s="13">
        <v>18.660897284400001</v>
      </c>
      <c r="C588" s="13">
        <v>157.16999799999999</v>
      </c>
      <c r="D588" s="13">
        <v>157.21000699999999</v>
      </c>
      <c r="E588" s="13">
        <v>154.449997</v>
      </c>
      <c r="F588" s="15">
        <v>156.28000499999999</v>
      </c>
      <c r="G588" s="13">
        <v>150.70822100000001</v>
      </c>
      <c r="H588" s="13">
        <v>150.70822100000001</v>
      </c>
      <c r="I588" s="14">
        <f t="shared" si="9"/>
        <v>-9.6325298371188195E-3</v>
      </c>
      <c r="J588" s="14">
        <f>IF(COUNT(B588)=0,"",B588-(INTERCEPT('3. Cleaned Data'!$B$4:$B$1041,'3. Cleaned Data'!$H$4:$H$1041)+SLOPE('3. Cleaned Data'!$B$4:$B$1041,'3. Cleaned Data'!$H$4:$H$1041)*H588))</f>
        <v>-0.15709619958512633</v>
      </c>
    </row>
    <row r="589" spans="1:10" x14ac:dyDescent="0.2">
      <c r="A589" s="12">
        <v>43179</v>
      </c>
      <c r="B589" s="13">
        <v>19.177721244000001</v>
      </c>
      <c r="C589" s="13">
        <v>156.66999799999999</v>
      </c>
      <c r="D589" s="13">
        <v>157.020004</v>
      </c>
      <c r="E589" s="13">
        <v>155.770004</v>
      </c>
      <c r="F589" s="13">
        <v>156.240005</v>
      </c>
      <c r="G589" s="13">
        <v>150.669647</v>
      </c>
      <c r="H589" s="13">
        <v>150.669647</v>
      </c>
      <c r="I589" s="14">
        <f t="shared" si="9"/>
        <v>-2.5595153166868556E-4</v>
      </c>
      <c r="J589" s="14">
        <f>IF(COUNT(B589)=0,"",B589-(INTERCEPT('3. Cleaned Data'!$B$4:$B$1041,'3. Cleaned Data'!$H$4:$H$1041)+SLOPE('3. Cleaned Data'!$B$4:$B$1041,'3. Cleaned Data'!$H$4:$H$1041)*H589))</f>
        <v>0.36500439112188943</v>
      </c>
    </row>
    <row r="590" spans="1:10" x14ac:dyDescent="0.2">
      <c r="A590" s="12">
        <v>43180</v>
      </c>
      <c r="B590" s="13">
        <v>19.0194387984</v>
      </c>
      <c r="C590" s="13">
        <v>156.320007</v>
      </c>
      <c r="D590" s="13">
        <v>158.259995</v>
      </c>
      <c r="E590" s="13">
        <v>156.199997</v>
      </c>
      <c r="F590" s="13">
        <v>157.14999399999999</v>
      </c>
      <c r="G590" s="13">
        <v>151.54724100000001</v>
      </c>
      <c r="H590" s="13">
        <v>151.54724100000001</v>
      </c>
      <c r="I590" s="14">
        <f t="shared" si="9"/>
        <v>5.8246237213259722E-3</v>
      </c>
      <c r="J590" s="14">
        <f>IF(COUNT(B590)=0,"",B590-(INTERCEPT('3. Cleaned Data'!$B$4:$B$1041,'3. Cleaned Data'!$H$4:$H$1041)+SLOPE('3. Cleaned Data'!$B$4:$B$1041,'3. Cleaned Data'!$H$4:$H$1041)*H590))</f>
        <v>8.6673731706131463E-2</v>
      </c>
    </row>
    <row r="591" spans="1:10" x14ac:dyDescent="0.2">
      <c r="A591" s="12">
        <v>43181</v>
      </c>
      <c r="B591" s="13">
        <v>18.89957982</v>
      </c>
      <c r="C591" s="13">
        <v>155.66000399999999</v>
      </c>
      <c r="D591" s="13">
        <v>156.61999499999999</v>
      </c>
      <c r="E591" s="13">
        <v>153.30999800000001</v>
      </c>
      <c r="F591" s="13">
        <v>153.35000600000001</v>
      </c>
      <c r="G591" s="13">
        <v>148.22413599999999</v>
      </c>
      <c r="H591" s="13">
        <v>148.22413599999999</v>
      </c>
      <c r="I591" s="14">
        <f t="shared" si="9"/>
        <v>-2.1927848887727586E-2</v>
      </c>
      <c r="J591" s="14">
        <f>IF(COUNT(B591)=0,"",B591-(INTERCEPT('3. Cleaned Data'!$B$4:$B$1041,'3. Cleaned Data'!$H$4:$H$1041)+SLOPE('3. Cleaned Data'!$B$4:$B$1041,'3. Cleaned Data'!$H$4:$H$1041)*H591))</f>
        <v>0.42139035383691237</v>
      </c>
    </row>
    <row r="592" spans="1:10" x14ac:dyDescent="0.2">
      <c r="A592" s="12">
        <v>43182</v>
      </c>
      <c r="B592" s="13">
        <v>17.775878803200001</v>
      </c>
      <c r="C592" s="13">
        <v>153.55999800000001</v>
      </c>
      <c r="D592" s="13">
        <v>153.94000199999999</v>
      </c>
      <c r="E592" s="13">
        <v>150</v>
      </c>
      <c r="F592" s="13">
        <v>150.050003</v>
      </c>
      <c r="G592" s="13">
        <v>145.03443899999999</v>
      </c>
      <c r="H592" s="13">
        <v>145.03443899999999</v>
      </c>
      <c r="I592" s="14">
        <f t="shared" si="9"/>
        <v>-2.1519417053643686E-2</v>
      </c>
      <c r="J592" s="14">
        <f>IF(COUNT(B592)=0,"",B592-(INTERCEPT('3. Cleaned Data'!$B$4:$B$1041,'3. Cleaned Data'!$H$4:$H$1041)+SLOPE('3. Cleaned Data'!$B$4:$B$1041,'3. Cleaned Data'!$H$4:$H$1041)*H592))</f>
        <v>-0.26598426663007402</v>
      </c>
    </row>
    <row r="593" spans="1:10" x14ac:dyDescent="0.2">
      <c r="A593" s="12">
        <v>43185</v>
      </c>
      <c r="B593" s="13">
        <v>18.0018470736</v>
      </c>
      <c r="C593" s="13">
        <v>152.08999600000001</v>
      </c>
      <c r="D593" s="13">
        <v>153.38000500000001</v>
      </c>
      <c r="E593" s="13">
        <v>150.429993</v>
      </c>
      <c r="F593" s="13">
        <v>153.33000200000001</v>
      </c>
      <c r="G593" s="13">
        <v>148.20478800000001</v>
      </c>
      <c r="H593" s="13">
        <v>148.20478800000001</v>
      </c>
      <c r="I593" s="14">
        <f t="shared" si="9"/>
        <v>2.1859284055975259E-2</v>
      </c>
      <c r="J593" s="14">
        <f>IF(COUNT(B593)=0,"",B593-(INTERCEPT('3. Cleaned Data'!$B$4:$B$1041,'3. Cleaned Data'!$H$4:$H$1041)+SLOPE('3. Cleaned Data'!$B$4:$B$1041,'3. Cleaned Data'!$H$4:$H$1041)*H593))</f>
        <v>-0.47369573267149079</v>
      </c>
    </row>
    <row r="594" spans="1:10" x14ac:dyDescent="0.2">
      <c r="A594" s="12">
        <v>43186</v>
      </c>
      <c r="B594" s="13">
        <v>19.574516807999998</v>
      </c>
      <c r="C594" s="13">
        <v>153.66000399999999</v>
      </c>
      <c r="D594" s="13">
        <v>153.699997</v>
      </c>
      <c r="E594" s="13">
        <v>149.71000699999999</v>
      </c>
      <c r="F594" s="13">
        <v>150.36000100000001</v>
      </c>
      <c r="G594" s="13">
        <v>145.334091</v>
      </c>
      <c r="H594" s="13">
        <v>145.334091</v>
      </c>
      <c r="I594" s="14">
        <f t="shared" si="9"/>
        <v>-1.9369799307698554E-2</v>
      </c>
      <c r="J594" s="14">
        <f>IF(COUNT(B594)=0,"",B594-(INTERCEPT('3. Cleaned Data'!$B$4:$B$1041,'3. Cleaned Data'!$H$4:$H$1041)+SLOPE('3. Cleaned Data'!$B$4:$B$1041,'3. Cleaned Data'!$H$4:$H$1041)*H594))</f>
        <v>1.4916636136176571</v>
      </c>
    </row>
    <row r="595" spans="1:10" x14ac:dyDescent="0.2">
      <c r="A595" s="12">
        <v>43187</v>
      </c>
      <c r="B595" s="13">
        <v>19.009699102799999</v>
      </c>
      <c r="C595" s="13">
        <v>150.740005</v>
      </c>
      <c r="D595" s="13">
        <v>151.35000600000001</v>
      </c>
      <c r="E595" s="13">
        <v>149.38999899999999</v>
      </c>
      <c r="F595" s="13">
        <v>150.30999800000001</v>
      </c>
      <c r="G595" s="13">
        <v>145.28576699999999</v>
      </c>
      <c r="H595" s="13">
        <v>145.28576699999999</v>
      </c>
      <c r="I595" s="14">
        <f t="shared" si="9"/>
        <v>-3.3250285371799748E-4</v>
      </c>
      <c r="J595" s="14">
        <f>IF(COUNT(B595)=0,"",B595-(INTERCEPT('3. Cleaned Data'!$B$4:$B$1041,'3. Cleaned Data'!$H$4:$H$1041)+SLOPE('3. Cleaned Data'!$B$4:$B$1041,'3. Cleaned Data'!$H$4:$H$1041)*H595))</f>
        <v>0.93345626569497853</v>
      </c>
    </row>
    <row r="596" spans="1:10" x14ac:dyDescent="0.2">
      <c r="A596" s="12">
        <v>43188</v>
      </c>
      <c r="B596" s="13">
        <v>18.6832305384</v>
      </c>
      <c r="C596" s="13">
        <v>151.08000200000001</v>
      </c>
      <c r="D596" s="13">
        <v>153.10000600000001</v>
      </c>
      <c r="E596" s="13">
        <v>150.75</v>
      </c>
      <c r="F596" s="13">
        <v>151.83000200000001</v>
      </c>
      <c r="G596" s="13">
        <v>146.754929</v>
      </c>
      <c r="H596" s="13">
        <v>146.754929</v>
      </c>
      <c r="I596" s="14">
        <f t="shared" si="9"/>
        <v>1.0112222486322597E-2</v>
      </c>
      <c r="J596" s="14">
        <f>IF(COUNT(B596)=0,"",B596-(INTERCEPT('3. Cleaned Data'!$B$4:$B$1041,'3. Cleaned Data'!$H$4:$H$1041)+SLOPE('3. Cleaned Data'!$B$4:$B$1041,'3. Cleaned Data'!$H$4:$H$1041)*H596))</f>
        <v>0.40601746459556765</v>
      </c>
    </row>
    <row r="597" spans="1:10" x14ac:dyDescent="0.2">
      <c r="A597" s="12">
        <v>43192</v>
      </c>
      <c r="B597" s="13">
        <v>19.213605388800001</v>
      </c>
      <c r="C597" s="13">
        <v>151.520004</v>
      </c>
      <c r="D597" s="13">
        <v>152.070007</v>
      </c>
      <c r="E597" s="13">
        <v>147.179993</v>
      </c>
      <c r="F597" s="13">
        <v>148.13000500000001</v>
      </c>
      <c r="G597" s="13">
        <v>143.17863500000001</v>
      </c>
      <c r="H597" s="13">
        <v>143.17863500000001</v>
      </c>
      <c r="I597" s="14">
        <f t="shared" si="9"/>
        <v>-2.436915764512404E-2</v>
      </c>
      <c r="J597" s="14">
        <f>IF(COUNT(B597)=0,"",B597-(INTERCEPT('3. Cleaned Data'!$B$4:$B$1041,'3. Cleaned Data'!$H$4:$H$1041)+SLOPE('3. Cleaned Data'!$B$4:$B$1041,'3. Cleaned Data'!$H$4:$H$1041)*H597))</f>
        <v>1.4256022535092825</v>
      </c>
    </row>
    <row r="598" spans="1:10" x14ac:dyDescent="0.2">
      <c r="A598" s="12">
        <v>43193</v>
      </c>
      <c r="B598" s="13">
        <v>19.0766612352</v>
      </c>
      <c r="C598" s="13">
        <v>149.020004</v>
      </c>
      <c r="D598" s="13">
        <v>150.60000600000001</v>
      </c>
      <c r="E598" s="13">
        <v>148.300003</v>
      </c>
      <c r="F598" s="13">
        <v>150.25</v>
      </c>
      <c r="G598" s="13">
        <v>145.227768</v>
      </c>
      <c r="H598" s="13">
        <v>145.227768</v>
      </c>
      <c r="I598" s="14">
        <f t="shared" si="9"/>
        <v>1.4311723253961572E-2</v>
      </c>
      <c r="J598" s="14">
        <f>IF(COUNT(B598)=0,"",B598-(INTERCEPT('3. Cleaned Data'!$B$4:$B$1041,'3. Cleaned Data'!$H$4:$H$1041)+SLOPE('3. Cleaned Data'!$B$4:$B$1041,'3. Cleaned Data'!$H$4:$H$1041)*H598))</f>
        <v>1.0083522221105277</v>
      </c>
    </row>
    <row r="599" spans="1:10" x14ac:dyDescent="0.2">
      <c r="A599" s="12">
        <v>43194</v>
      </c>
      <c r="B599" s="13">
        <v>18.129943187999999</v>
      </c>
      <c r="C599" s="13">
        <v>148.5</v>
      </c>
      <c r="D599" s="13">
        <v>152.58000200000001</v>
      </c>
      <c r="E599" s="13">
        <v>148.270004</v>
      </c>
      <c r="F599" s="13">
        <v>152.16000399999999</v>
      </c>
      <c r="G599" s="13">
        <v>147.073914</v>
      </c>
      <c r="H599" s="13">
        <v>147.073914</v>
      </c>
      <c r="I599" s="14">
        <f t="shared" si="9"/>
        <v>1.2712073079578001E-2</v>
      </c>
      <c r="J599" s="14">
        <f>IF(COUNT(B599)=0,"",B599-(INTERCEPT('3. Cleaned Data'!$B$4:$B$1041,'3. Cleaned Data'!$H$4:$H$1041)+SLOPE('3. Cleaned Data'!$B$4:$B$1041,'3. Cleaned Data'!$H$4:$H$1041)*H599))</f>
        <v>-0.190904618361877</v>
      </c>
    </row>
    <row r="600" spans="1:10" x14ac:dyDescent="0.2">
      <c r="A600" s="12">
        <v>43195</v>
      </c>
      <c r="B600" s="13">
        <v>19.1064434868</v>
      </c>
      <c r="C600" s="13">
        <v>153.03999300000001</v>
      </c>
      <c r="D600" s="13">
        <v>153.61000100000001</v>
      </c>
      <c r="E600" s="13">
        <v>152.320007</v>
      </c>
      <c r="F600" s="13">
        <v>153.41999799999999</v>
      </c>
      <c r="G600" s="13">
        <v>148.29179400000001</v>
      </c>
      <c r="H600" s="13">
        <v>148.29179400000001</v>
      </c>
      <c r="I600" s="14">
        <f t="shared" si="9"/>
        <v>8.2807342707966747E-3</v>
      </c>
      <c r="J600" s="14">
        <f>IF(COUNT(B600)=0,"",B600-(INTERCEPT('3. Cleaned Data'!$B$4:$B$1041,'3. Cleaned Data'!$H$4:$H$1041)+SLOPE('3. Cleaned Data'!$B$4:$B$1041,'3. Cleaned Data'!$H$4:$H$1041)*H600))</f>
        <v>0.61899891856197797</v>
      </c>
    </row>
    <row r="601" spans="1:10" x14ac:dyDescent="0.2">
      <c r="A601" s="12">
        <v>43196</v>
      </c>
      <c r="B601" s="13">
        <v>18.561832209599999</v>
      </c>
      <c r="C601" s="13">
        <v>152.36999499999999</v>
      </c>
      <c r="D601" s="13">
        <v>153.39999399999999</v>
      </c>
      <c r="E601" s="13">
        <v>149.14999399999999</v>
      </c>
      <c r="F601" s="13">
        <v>150.36000100000001</v>
      </c>
      <c r="G601" s="13">
        <v>145.334091</v>
      </c>
      <c r="H601" s="13">
        <v>145.334091</v>
      </c>
      <c r="I601" s="14">
        <f t="shared" si="9"/>
        <v>-1.9945156237033634E-2</v>
      </c>
      <c r="J601" s="14">
        <f>IF(COUNT(B601)=0,"",B601-(INTERCEPT('3. Cleaned Data'!$B$4:$B$1041,'3. Cleaned Data'!$H$4:$H$1041)+SLOPE('3. Cleaned Data'!$B$4:$B$1041,'3. Cleaned Data'!$H$4:$H$1041)*H601))</f>
        <v>0.47897901521765718</v>
      </c>
    </row>
    <row r="602" spans="1:10" x14ac:dyDescent="0.2">
      <c r="A602" s="12">
        <v>43199</v>
      </c>
      <c r="B602" s="13">
        <v>18.399388362</v>
      </c>
      <c r="C602" s="13">
        <v>151.39999399999999</v>
      </c>
      <c r="D602" s="13">
        <v>152.60000600000001</v>
      </c>
      <c r="E602" s="13">
        <v>150.41999799999999</v>
      </c>
      <c r="F602" s="13">
        <v>150.53999300000001</v>
      </c>
      <c r="G602" s="13">
        <v>145.508026</v>
      </c>
      <c r="H602" s="13">
        <v>145.508026</v>
      </c>
      <c r="I602" s="14">
        <f t="shared" si="9"/>
        <v>1.1967942194650583E-3</v>
      </c>
      <c r="J602" s="14">
        <f>IF(COUNT(B602)=0,"",B602-(INTERCEPT('3. Cleaned Data'!$B$4:$B$1041,'3. Cleaned Data'!$H$4:$H$1041)+SLOPE('3. Cleaned Data'!$B$4:$B$1041,'3. Cleaned Data'!$H$4:$H$1041)*H602))</f>
        <v>0.29274217670153746</v>
      </c>
    </row>
    <row r="603" spans="1:10" x14ac:dyDescent="0.2">
      <c r="A603" s="12">
        <v>43200</v>
      </c>
      <c r="B603" s="13">
        <v>19.361885376</v>
      </c>
      <c r="C603" s="13">
        <v>152.13999899999999</v>
      </c>
      <c r="D603" s="13">
        <v>153.949997</v>
      </c>
      <c r="E603" s="13">
        <v>151.66999799999999</v>
      </c>
      <c r="F603" s="13">
        <v>153.38000500000001</v>
      </c>
      <c r="G603" s="13">
        <v>148.253128</v>
      </c>
      <c r="H603" s="13">
        <v>148.253128</v>
      </c>
      <c r="I603" s="14">
        <f t="shared" si="9"/>
        <v>1.8865639755156982E-2</v>
      </c>
      <c r="J603" s="14">
        <f>IF(COUNT(B603)=0,"",B603-(INTERCEPT('3. Cleaned Data'!$B$4:$B$1041,'3. Cleaned Data'!$H$4:$H$1041)+SLOPE('3. Cleaned Data'!$B$4:$B$1041,'3. Cleaned Data'!$H$4:$H$1041)*H603))</f>
        <v>0.87973002377234266</v>
      </c>
    </row>
    <row r="604" spans="1:10" x14ac:dyDescent="0.2">
      <c r="A604" s="12">
        <v>43201</v>
      </c>
      <c r="B604" s="13">
        <v>18.320899484400002</v>
      </c>
      <c r="C604" s="13">
        <v>152.779999</v>
      </c>
      <c r="D604" s="13">
        <v>154.30999800000001</v>
      </c>
      <c r="E604" s="13">
        <v>152.63000500000001</v>
      </c>
      <c r="F604" s="13">
        <v>153.71000699999999</v>
      </c>
      <c r="G604" s="13">
        <v>148.57212799999999</v>
      </c>
      <c r="H604" s="13">
        <v>148.57212799999999</v>
      </c>
      <c r="I604" s="14">
        <f t="shared" si="9"/>
        <v>2.1517252573584056E-3</v>
      </c>
      <c r="J604" s="14">
        <f>IF(COUNT(B604)=0,"",B604-(INTERCEPT('3. Cleaned Data'!$B$4:$B$1041,'3. Cleaned Data'!$H$4:$H$1041)+SLOPE('3. Cleaned Data'!$B$4:$B$1041,'3. Cleaned Data'!$H$4:$H$1041)*H604))</f>
        <v>-0.20489265227151421</v>
      </c>
    </row>
    <row r="605" spans="1:10" x14ac:dyDescent="0.2">
      <c r="A605" s="12">
        <v>43202</v>
      </c>
      <c r="B605" s="13">
        <v>18.944175726000001</v>
      </c>
      <c r="C605" s="13">
        <v>154.429993</v>
      </c>
      <c r="D605" s="13">
        <v>155.41000399999999</v>
      </c>
      <c r="E605" s="13">
        <v>153.929993</v>
      </c>
      <c r="F605" s="13">
        <v>154.759995</v>
      </c>
      <c r="G605" s="13">
        <v>149.58698999999999</v>
      </c>
      <c r="H605" s="13">
        <v>149.58698999999999</v>
      </c>
      <c r="I605" s="14">
        <f t="shared" si="9"/>
        <v>6.8307697659146793E-3</v>
      </c>
      <c r="J605" s="14">
        <f>IF(COUNT(B605)=0,"",B605-(INTERCEPT('3. Cleaned Data'!$B$4:$B$1041,'3. Cleaned Data'!$H$4:$H$1041)+SLOPE('3. Cleaned Data'!$B$4:$B$1041,'3. Cleaned Data'!$H$4:$H$1041)*H605))</f>
        <v>0.27955815254395233</v>
      </c>
    </row>
    <row r="606" spans="1:10" x14ac:dyDescent="0.2">
      <c r="A606" s="12">
        <v>43203</v>
      </c>
      <c r="B606" s="13">
        <v>18.015397320000002</v>
      </c>
      <c r="C606" s="13">
        <v>155.28999300000001</v>
      </c>
      <c r="D606" s="13">
        <v>155.33000200000001</v>
      </c>
      <c r="E606" s="13">
        <v>153.509995</v>
      </c>
      <c r="F606" s="13">
        <v>153.949997</v>
      </c>
      <c r="G606" s="13">
        <v>148.80407700000001</v>
      </c>
      <c r="H606" s="13">
        <v>148.80407700000001</v>
      </c>
      <c r="I606" s="14">
        <f t="shared" si="9"/>
        <v>-5.2338308298066627E-3</v>
      </c>
      <c r="J606" s="14">
        <f>IF(COUNT(B606)=0,"",B606-(INTERCEPT('3. Cleaned Data'!$B$4:$B$1041,'3. Cleaned Data'!$H$4:$H$1041)+SLOPE('3. Cleaned Data'!$B$4:$B$1041,'3. Cleaned Data'!$H$4:$H$1041)*H606))</f>
        <v>-0.54212368348960283</v>
      </c>
    </row>
    <row r="607" spans="1:10" x14ac:dyDescent="0.2">
      <c r="A607" s="12">
        <v>43206</v>
      </c>
      <c r="B607" s="13">
        <v>18.986890236000001</v>
      </c>
      <c r="C607" s="13">
        <v>154.83999600000001</v>
      </c>
      <c r="D607" s="13">
        <v>155.820007</v>
      </c>
      <c r="E607" s="13">
        <v>154.11000100000001</v>
      </c>
      <c r="F607" s="13">
        <v>155.36999499999999</v>
      </c>
      <c r="G607" s="13">
        <v>150.176636</v>
      </c>
      <c r="H607" s="13">
        <v>150.176636</v>
      </c>
      <c r="I607" s="14">
        <f t="shared" si="9"/>
        <v>9.2239340996012054E-3</v>
      </c>
      <c r="J607" s="14">
        <f>IF(COUNT(B607)=0,"",B607-(INTERCEPT('3. Cleaned Data'!$B$4:$B$1041,'3. Cleaned Data'!$H$4:$H$1041)+SLOPE('3. Cleaned Data'!$B$4:$B$1041,'3. Cleaned Data'!$H$4:$H$1041)*H607))</f>
        <v>0.24161355470637957</v>
      </c>
    </row>
    <row r="608" spans="1:10" x14ac:dyDescent="0.2">
      <c r="A608" s="12">
        <v>43207</v>
      </c>
      <c r="B608" s="13">
        <v>18.243197474399999</v>
      </c>
      <c r="C608" s="13">
        <v>156.21000699999999</v>
      </c>
      <c r="D608" s="13">
        <v>157.490005</v>
      </c>
      <c r="E608" s="13">
        <v>155.96000699999999</v>
      </c>
      <c r="F608" s="13">
        <v>157.05999800000001</v>
      </c>
      <c r="G608" s="13">
        <v>151.810135</v>
      </c>
      <c r="H608" s="13">
        <v>151.810135</v>
      </c>
      <c r="I608" s="14">
        <f t="shared" si="9"/>
        <v>1.0877184650746941E-2</v>
      </c>
      <c r="J608" s="14">
        <f>IF(COUNT(B608)=0,"",B608-(INTERCEPT('3. Cleaned Data'!$B$4:$B$1041,'3. Cleaned Data'!$H$4:$H$1041)+SLOPE('3. Cleaned Data'!$B$4:$B$1041,'3. Cleaned Data'!$H$4:$H$1041)*H608))</f>
        <v>-0.72552950078786438</v>
      </c>
    </row>
    <row r="609" spans="1:10" x14ac:dyDescent="0.2">
      <c r="A609" s="12">
        <v>43208</v>
      </c>
      <c r="B609" s="13">
        <v>19.405268496000001</v>
      </c>
      <c r="C609" s="13">
        <v>157.520004</v>
      </c>
      <c r="D609" s="13">
        <v>158.38000500000001</v>
      </c>
      <c r="E609" s="13">
        <v>157.16000399999999</v>
      </c>
      <c r="F609" s="13">
        <v>157.479996</v>
      </c>
      <c r="G609" s="13">
        <v>152.21608000000001</v>
      </c>
      <c r="H609" s="13">
        <v>152.21608000000001</v>
      </c>
      <c r="I609" s="14">
        <f t="shared" si="9"/>
        <v>2.674030953203399E-3</v>
      </c>
      <c r="J609" s="14">
        <f>IF(COUNT(B609)=0,"",B609-(INTERCEPT('3. Cleaned Data'!$B$4:$B$1041,'3. Cleaned Data'!$H$4:$H$1041)+SLOPE('3. Cleaned Data'!$B$4:$B$1041,'3. Cleaned Data'!$H$4:$H$1041)*H609))</f>
        <v>0.38101131873984073</v>
      </c>
    </row>
    <row r="610" spans="1:10" x14ac:dyDescent="0.2">
      <c r="A610" s="12">
        <v>43209</v>
      </c>
      <c r="B610" s="13">
        <v>17.942321759999999</v>
      </c>
      <c r="C610" s="13">
        <v>157.13999899999999</v>
      </c>
      <c r="D610" s="13">
        <v>157.53999300000001</v>
      </c>
      <c r="E610" s="13">
        <v>155.88000500000001</v>
      </c>
      <c r="F610" s="13">
        <v>156.38999899999999</v>
      </c>
      <c r="G610" s="13">
        <v>151.16253699999999</v>
      </c>
      <c r="H610" s="13">
        <v>151.16253699999999</v>
      </c>
      <c r="I610" s="14">
        <f t="shared" si="9"/>
        <v>-6.9213646810508678E-3</v>
      </c>
      <c r="J610" s="14">
        <f>IF(COUNT(B610)=0,"",B610-(INTERCEPT('3. Cleaned Data'!$B$4:$B$1041,'3. Cleaned Data'!$H$4:$H$1041)+SLOPE('3. Cleaned Data'!$B$4:$B$1041,'3. Cleaned Data'!$H$4:$H$1041)*H610))</f>
        <v>-0.93781871257884575</v>
      </c>
    </row>
    <row r="611" spans="1:10" x14ac:dyDescent="0.2">
      <c r="A611" s="12">
        <v>43210</v>
      </c>
      <c r="B611" s="13">
        <v>18.139089420000001</v>
      </c>
      <c r="C611" s="13">
        <v>156.050003</v>
      </c>
      <c r="D611" s="13">
        <v>156.720001</v>
      </c>
      <c r="E611" s="13">
        <v>155.14999399999999</v>
      </c>
      <c r="F611" s="13">
        <v>155.550003</v>
      </c>
      <c r="G611" s="13">
        <v>150.35060100000001</v>
      </c>
      <c r="H611" s="13">
        <v>150.35060100000001</v>
      </c>
      <c r="I611" s="14">
        <f t="shared" si="9"/>
        <v>-5.3712779377338427E-3</v>
      </c>
      <c r="J611" s="14">
        <f>IF(COUNT(B611)=0,"",B611-(INTERCEPT('3. Cleaned Data'!$B$4:$B$1041,'3. Cleaned Data'!$H$4:$H$1041)+SLOPE('3. Cleaned Data'!$B$4:$B$1041,'3. Cleaned Data'!$H$4:$H$1041)*H611))</f>
        <v>-0.62998435598257529</v>
      </c>
    </row>
    <row r="612" spans="1:10" x14ac:dyDescent="0.2">
      <c r="A612" s="12">
        <v>43213</v>
      </c>
      <c r="B612" s="13">
        <v>19.65745386</v>
      </c>
      <c r="C612" s="13">
        <v>155.779999</v>
      </c>
      <c r="D612" s="13">
        <v>156.28999300000001</v>
      </c>
      <c r="E612" s="13">
        <v>154.570007</v>
      </c>
      <c r="F612" s="13">
        <v>155.320007</v>
      </c>
      <c r="G612" s="13">
        <v>150.128311</v>
      </c>
      <c r="H612" s="13">
        <v>150.128311</v>
      </c>
      <c r="I612" s="14">
        <f t="shared" si="9"/>
        <v>-1.478477628433339E-3</v>
      </c>
      <c r="J612" s="14">
        <f>IF(COUNT(B612)=0,"",B612-(INTERCEPT('3. Cleaned Data'!$B$4:$B$1041,'3. Cleaned Data'!$H$4:$H$1041)+SLOPE('3. Cleaned Data'!$B$4:$B$1041,'3. Cleaned Data'!$H$4:$H$1041)*H612))</f>
        <v>0.91878767277612994</v>
      </c>
    </row>
    <row r="613" spans="1:10" x14ac:dyDescent="0.2">
      <c r="A613" s="12">
        <v>43214</v>
      </c>
      <c r="B613" s="13">
        <v>19.731454115999998</v>
      </c>
      <c r="C613" s="13">
        <v>155.89999399999999</v>
      </c>
      <c r="D613" s="13">
        <v>156.63000500000001</v>
      </c>
      <c r="E613" s="13">
        <v>153.19000199999999</v>
      </c>
      <c r="F613" s="13">
        <v>154.429993</v>
      </c>
      <c r="G613" s="13">
        <v>149.26800499999999</v>
      </c>
      <c r="H613" s="13">
        <v>149.26800499999999</v>
      </c>
      <c r="I613" s="14">
        <f t="shared" si="9"/>
        <v>-5.7304714498520593E-3</v>
      </c>
      <c r="J613" s="14">
        <f>IF(COUNT(B613)=0,"",B613-(INTERCEPT('3. Cleaned Data'!$B$4:$B$1041,'3. Cleaned Data'!$H$4:$H$1041)+SLOPE('3. Cleaned Data'!$B$4:$B$1041,'3. Cleaned Data'!$H$4:$H$1041)*H613))</f>
        <v>1.1104712751013963</v>
      </c>
    </row>
    <row r="614" spans="1:10" x14ac:dyDescent="0.2">
      <c r="A614" s="12">
        <v>43215</v>
      </c>
      <c r="B614" s="13">
        <v>18.910668434400002</v>
      </c>
      <c r="C614" s="13">
        <v>154.36000100000001</v>
      </c>
      <c r="D614" s="13">
        <v>154.800003</v>
      </c>
      <c r="E614" s="13">
        <v>152.96000699999999</v>
      </c>
      <c r="F614" s="13">
        <v>154.199997</v>
      </c>
      <c r="G614" s="13">
        <v>149.04573099999999</v>
      </c>
      <c r="H614" s="13">
        <v>149.04573099999999</v>
      </c>
      <c r="I614" s="14">
        <f t="shared" si="9"/>
        <v>-1.489093392787022E-3</v>
      </c>
      <c r="J614" s="14">
        <f>IF(COUNT(B614)=0,"",B614-(INTERCEPT('3. Cleaned Data'!$B$4:$B$1041,'3. Cleaned Data'!$H$4:$H$1041)+SLOPE('3. Cleaned Data'!$B$4:$B$1041,'3. Cleaned Data'!$H$4:$H$1041)*H614))</f>
        <v>0.32009099358125681</v>
      </c>
    </row>
    <row r="615" spans="1:10" x14ac:dyDescent="0.2">
      <c r="A615" s="12">
        <v>43216</v>
      </c>
      <c r="B615" s="13">
        <v>18.6048364812</v>
      </c>
      <c r="C615" s="13">
        <v>154.41999799999999</v>
      </c>
      <c r="D615" s="13">
        <v>155.41000399999999</v>
      </c>
      <c r="E615" s="13">
        <v>153.94000199999999</v>
      </c>
      <c r="F615" s="13">
        <v>154.91000399999999</v>
      </c>
      <c r="G615" s="13">
        <v>149.73201</v>
      </c>
      <c r="H615" s="13">
        <v>149.73201</v>
      </c>
      <c r="I615" s="14">
        <f t="shared" si="9"/>
        <v>4.6044861224505684E-3</v>
      </c>
      <c r="J615" s="14">
        <f>IF(COUNT(B615)=0,"",B615-(INTERCEPT('3. Cleaned Data'!$B$4:$B$1041,'3. Cleaned Data'!$H$4:$H$1041)+SLOPE('3. Cleaned Data'!$B$4:$B$1041,'3. Cleaned Data'!$H$4:$H$1041)*H615))</f>
        <v>-7.9618730124540349E-2</v>
      </c>
    </row>
    <row r="616" spans="1:10" x14ac:dyDescent="0.2">
      <c r="A616" s="12">
        <v>43217</v>
      </c>
      <c r="B616" s="13">
        <v>19.8554983368</v>
      </c>
      <c r="C616" s="13">
        <v>154.88000500000001</v>
      </c>
      <c r="D616" s="13">
        <v>155.36999499999999</v>
      </c>
      <c r="E616" s="13">
        <v>153.779999</v>
      </c>
      <c r="F616" s="13">
        <v>154.69000199999999</v>
      </c>
      <c r="G616" s="13">
        <v>149.51934800000001</v>
      </c>
      <c r="H616" s="13">
        <v>149.51934800000001</v>
      </c>
      <c r="I616" s="14">
        <f t="shared" si="9"/>
        <v>-1.420284146322448E-3</v>
      </c>
      <c r="J616" s="14">
        <f>IF(COUNT(B616)=0,"",B616-(INTERCEPT('3. Cleaned Data'!$B$4:$B$1041,'3. Cleaned Data'!$H$4:$H$1041)+SLOPE('3. Cleaned Data'!$B$4:$B$1041,'3. Cleaned Data'!$H$4:$H$1041)*H616))</f>
        <v>1.2001336767400375</v>
      </c>
    </row>
    <row r="617" spans="1:10" x14ac:dyDescent="0.2">
      <c r="A617" s="12">
        <v>43220</v>
      </c>
      <c r="B617" s="13">
        <v>19.7710479072</v>
      </c>
      <c r="C617" s="13">
        <v>155.020004</v>
      </c>
      <c r="D617" s="13">
        <v>155.64999399999999</v>
      </c>
      <c r="E617" s="13">
        <v>153.28999300000001</v>
      </c>
      <c r="F617" s="13">
        <v>153.320007</v>
      </c>
      <c r="G617" s="13">
        <v>148.19517500000001</v>
      </c>
      <c r="H617" s="13">
        <v>148.19517500000001</v>
      </c>
      <c r="I617" s="14">
        <f t="shared" si="9"/>
        <v>-8.8561983295968316E-3</v>
      </c>
      <c r="J617" s="14">
        <f>IF(COUNT(B617)=0,"",B617-(INTERCEPT('3. Cleaned Data'!$B$4:$B$1041,'3. Cleaned Data'!$H$4:$H$1041)+SLOPE('3. Cleaned Data'!$B$4:$B$1041,'3. Cleaned Data'!$H$4:$H$1041)*H617))</f>
        <v>1.2968200865362149</v>
      </c>
    </row>
    <row r="618" spans="1:10" x14ac:dyDescent="0.2">
      <c r="A618" s="12">
        <v>43221</v>
      </c>
      <c r="B618" s="13">
        <v>19.877526619200001</v>
      </c>
      <c r="C618" s="13">
        <v>153.009995</v>
      </c>
      <c r="D618" s="13">
        <v>154.28999300000001</v>
      </c>
      <c r="E618" s="13">
        <v>151.71000699999999</v>
      </c>
      <c r="F618" s="13">
        <v>154.070007</v>
      </c>
      <c r="G618" s="13">
        <v>148.92010500000001</v>
      </c>
      <c r="H618" s="13">
        <v>148.92010500000001</v>
      </c>
      <c r="I618" s="14">
        <f t="shared" si="9"/>
        <v>4.8917247137094666E-3</v>
      </c>
      <c r="J618" s="14">
        <f>IF(COUNT(B618)=0,"",B618-(INTERCEPT('3. Cleaned Data'!$B$4:$B$1041,'3. Cleaned Data'!$H$4:$H$1041)+SLOPE('3. Cleaned Data'!$B$4:$B$1041,'3. Cleaned Data'!$H$4:$H$1041)*H618))</f>
        <v>1.3041338639064719</v>
      </c>
    </row>
    <row r="619" spans="1:10" x14ac:dyDescent="0.2">
      <c r="A619" s="12">
        <v>43222</v>
      </c>
      <c r="B619" s="13">
        <v>19.243856860800001</v>
      </c>
      <c r="C619" s="13">
        <v>153.779999</v>
      </c>
      <c r="D619" s="13">
        <v>155.779999</v>
      </c>
      <c r="E619" s="13">
        <v>153.679993</v>
      </c>
      <c r="F619" s="13">
        <v>154.64999399999999</v>
      </c>
      <c r="G619" s="13">
        <v>149.48071300000001</v>
      </c>
      <c r="H619" s="13">
        <v>149.48071300000001</v>
      </c>
      <c r="I619" s="14">
        <f t="shared" si="9"/>
        <v>3.7644883476277702E-3</v>
      </c>
      <c r="J619" s="14">
        <f>IF(COUNT(B619)=0,"",B619-(INTERCEPT('3. Cleaned Data'!$B$4:$B$1041,'3. Cleaned Data'!$H$4:$H$1041)+SLOPE('3. Cleaned Data'!$B$4:$B$1041,'3. Cleaned Data'!$H$4:$H$1041)*H619))</f>
        <v>0.59377717618514225</v>
      </c>
    </row>
    <row r="620" spans="1:10" x14ac:dyDescent="0.2">
      <c r="A620" s="12">
        <v>43223</v>
      </c>
      <c r="B620" s="13">
        <v>18.53966496</v>
      </c>
      <c r="C620" s="13">
        <v>154.11000100000001</v>
      </c>
      <c r="D620" s="13">
        <v>154.5</v>
      </c>
      <c r="E620" s="13">
        <v>152.16000399999999</v>
      </c>
      <c r="F620" s="13">
        <v>153.80999800000001</v>
      </c>
      <c r="G620" s="13">
        <v>148.66877700000001</v>
      </c>
      <c r="H620" s="13">
        <v>148.66877700000001</v>
      </c>
      <c r="I620" s="14">
        <f t="shared" si="9"/>
        <v>-5.4317107786340246E-3</v>
      </c>
      <c r="J620" s="14">
        <f>IF(COUNT(B620)=0,"",B620-(INTERCEPT('3. Cleaned Data'!$B$4:$B$1041,'3. Cleaned Data'!$H$4:$H$1041)+SLOPE('3. Cleaned Data'!$B$4:$B$1041,'3. Cleaned Data'!$H$4:$H$1041)*H620))</f>
        <v>6.5197198141220269E-4</v>
      </c>
    </row>
    <row r="621" spans="1:10" x14ac:dyDescent="0.2">
      <c r="A621" s="12">
        <v>43224</v>
      </c>
      <c r="B621" s="13">
        <v>18.8382875472</v>
      </c>
      <c r="C621" s="13">
        <v>153.259995</v>
      </c>
      <c r="D621" s="13">
        <v>156.5</v>
      </c>
      <c r="E621" s="13">
        <v>152.800003</v>
      </c>
      <c r="F621" s="13">
        <v>155.729996</v>
      </c>
      <c r="G621" s="13">
        <v>150.52456699999999</v>
      </c>
      <c r="H621" s="13">
        <v>150.52456699999999</v>
      </c>
      <c r="I621" s="14">
        <f t="shared" si="9"/>
        <v>1.2482715183699922E-2</v>
      </c>
      <c r="J621" s="14">
        <f>IF(COUNT(B621)=0,"",B621-(INTERCEPT('3. Cleaned Data'!$B$4:$B$1041,'3. Cleaned Data'!$H$4:$H$1041)+SLOPE('3. Cleaned Data'!$B$4:$B$1041,'3. Cleaned Data'!$H$4:$H$1041)*H621))</f>
        <v>4.5416539736045536E-2</v>
      </c>
    </row>
    <row r="622" spans="1:10" x14ac:dyDescent="0.2">
      <c r="A622" s="12">
        <v>43227</v>
      </c>
      <c r="B622" s="13">
        <v>20.31963318</v>
      </c>
      <c r="C622" s="13">
        <v>156.19000199999999</v>
      </c>
      <c r="D622" s="13">
        <v>157.86000100000001</v>
      </c>
      <c r="E622" s="13">
        <v>156.10000600000001</v>
      </c>
      <c r="F622" s="13">
        <v>157.050003</v>
      </c>
      <c r="G622" s="13">
        <v>151.80044599999999</v>
      </c>
      <c r="H622" s="13">
        <v>151.80044599999999</v>
      </c>
      <c r="I622" s="14">
        <f t="shared" si="9"/>
        <v>8.4762177060440091E-3</v>
      </c>
      <c r="J622" s="14">
        <f>IF(COUNT(B622)=0,"",B622-(INTERCEPT('3. Cleaned Data'!$B$4:$B$1041,'3. Cleaned Data'!$H$4:$H$1041)+SLOPE('3. Cleaned Data'!$B$4:$B$1041,'3. Cleaned Data'!$H$4:$H$1041)*H622))</f>
        <v>1.3522315866443542</v>
      </c>
    </row>
    <row r="623" spans="1:10" x14ac:dyDescent="0.2">
      <c r="A623" s="12">
        <v>43228</v>
      </c>
      <c r="B623" s="13">
        <v>18.8515821684</v>
      </c>
      <c r="C623" s="13">
        <v>156.91999799999999</v>
      </c>
      <c r="D623" s="13">
        <v>157.83000200000001</v>
      </c>
      <c r="E623" s="13">
        <v>156.75</v>
      </c>
      <c r="F623" s="13">
        <v>157.83000200000001</v>
      </c>
      <c r="G623" s="13">
        <v>152.554382</v>
      </c>
      <c r="H623" s="13">
        <v>152.554382</v>
      </c>
      <c r="I623" s="14">
        <f t="shared" si="9"/>
        <v>4.9666257238796252E-3</v>
      </c>
      <c r="J623" s="14">
        <f>IF(COUNT(B623)=0,"",B623-(INTERCEPT('3. Cleaned Data'!$B$4:$B$1041,'3. Cleaned Data'!$H$4:$H$1041)+SLOPE('3. Cleaned Data'!$B$4:$B$1041,'3. Cleaned Data'!$H$4:$H$1041)*H623))</f>
        <v>-0.21895216074394597</v>
      </c>
    </row>
    <row r="624" spans="1:10" x14ac:dyDescent="0.2">
      <c r="A624" s="12">
        <v>43229</v>
      </c>
      <c r="B624" s="13">
        <v>20.4383342424</v>
      </c>
      <c r="C624" s="13">
        <v>158.009995</v>
      </c>
      <c r="D624" s="13">
        <v>159.10000600000001</v>
      </c>
      <c r="E624" s="13">
        <v>157.38000500000001</v>
      </c>
      <c r="F624" s="13">
        <v>158.679993</v>
      </c>
      <c r="G624" s="13">
        <v>153.37597700000001</v>
      </c>
      <c r="H624" s="13">
        <v>153.37597700000001</v>
      </c>
      <c r="I624" s="14">
        <f t="shared" si="9"/>
        <v>5.3855876784976164E-3</v>
      </c>
      <c r="J624" s="14">
        <f>IF(COUNT(B624)=0,"",B624-(INTERCEPT('3. Cleaned Data'!$B$4:$B$1041,'3. Cleaned Data'!$H$4:$H$1041)+SLOPE('3. Cleaned Data'!$B$4:$B$1041,'3. Cleaned Data'!$H$4:$H$1041)*H624))</f>
        <v>1.2554119386003997</v>
      </c>
    </row>
    <row r="625" spans="1:10" x14ac:dyDescent="0.2">
      <c r="A625" s="12">
        <v>43230</v>
      </c>
      <c r="B625" s="13">
        <v>19.901629447200001</v>
      </c>
      <c r="C625" s="13">
        <v>158.89999399999999</v>
      </c>
      <c r="D625" s="13">
        <v>160.16999799999999</v>
      </c>
      <c r="E625" s="13">
        <v>158.759995</v>
      </c>
      <c r="F625" s="13">
        <v>159.529999</v>
      </c>
      <c r="G625" s="13">
        <v>154.19757100000001</v>
      </c>
      <c r="H625" s="13">
        <v>154.19757100000001</v>
      </c>
      <c r="I625" s="14">
        <f t="shared" si="9"/>
        <v>5.3567319737433117E-3</v>
      </c>
      <c r="J625" s="14">
        <f>IF(COUNT(B625)=0,"",B625-(INTERCEPT('3. Cleaned Data'!$B$4:$B$1041,'3. Cleaned Data'!$H$4:$H$1041)+SLOPE('3. Cleaned Data'!$B$4:$B$1041,'3. Cleaned Data'!$H$4:$H$1041)*H625))</f>
        <v>0.60631930553717339</v>
      </c>
    </row>
    <row r="626" spans="1:10" x14ac:dyDescent="0.2">
      <c r="A626" s="12">
        <v>43231</v>
      </c>
      <c r="B626" s="13">
        <v>19.844196371999999</v>
      </c>
      <c r="C626" s="13">
        <v>159.550003</v>
      </c>
      <c r="D626" s="13">
        <v>160.13000500000001</v>
      </c>
      <c r="E626" s="13">
        <v>159.03999300000001</v>
      </c>
      <c r="F626" s="13">
        <v>159.83999600000001</v>
      </c>
      <c r="G626" s="13">
        <v>154.497208</v>
      </c>
      <c r="H626" s="13">
        <v>154.497208</v>
      </c>
      <c r="I626" s="14">
        <f t="shared" si="9"/>
        <v>1.9432018160647768E-3</v>
      </c>
      <c r="J626" s="14">
        <f>IF(COUNT(B626)=0,"",B626-(INTERCEPT('3. Cleaned Data'!$B$4:$B$1041,'3. Cleaned Data'!$H$4:$H$1041)+SLOPE('3. Cleaned Data'!$B$4:$B$1041,'3. Cleaned Data'!$H$4:$H$1041)*H626))</f>
        <v>0.50789815767132396</v>
      </c>
    </row>
    <row r="627" spans="1:10" x14ac:dyDescent="0.2">
      <c r="A627" s="12">
        <v>43234</v>
      </c>
      <c r="B627" s="13">
        <v>19.1376068328</v>
      </c>
      <c r="C627" s="13">
        <v>160.020004</v>
      </c>
      <c r="D627" s="13">
        <v>160.69000199999999</v>
      </c>
      <c r="E627" s="13">
        <v>159.050003</v>
      </c>
      <c r="F627" s="13">
        <v>159.229996</v>
      </c>
      <c r="G627" s="13">
        <v>153.907578</v>
      </c>
      <c r="H627" s="13">
        <v>153.907578</v>
      </c>
      <c r="I627" s="14">
        <f t="shared" si="9"/>
        <v>-3.8164443722503716E-3</v>
      </c>
      <c r="J627" s="14">
        <f>IF(COUNT(B627)=0,"",B627-(INTERCEPT('3. Cleaned Data'!$B$4:$B$1041,'3. Cleaned Data'!$H$4:$H$1041)+SLOPE('3. Cleaned Data'!$B$4:$B$1041,'3. Cleaned Data'!$H$4:$H$1041)*H627))</f>
        <v>-0.1180344623699483</v>
      </c>
    </row>
    <row r="628" spans="1:10" x14ac:dyDescent="0.2">
      <c r="A628" s="12">
        <v>43235</v>
      </c>
      <c r="B628" s="13">
        <v>18.974589018</v>
      </c>
      <c r="C628" s="13">
        <v>158.71000699999999</v>
      </c>
      <c r="D628" s="13">
        <v>159.58999600000001</v>
      </c>
      <c r="E628" s="13">
        <v>158.16999799999999</v>
      </c>
      <c r="F628" s="13">
        <v>159.259995</v>
      </c>
      <c r="G628" s="13">
        <v>153.93661499999999</v>
      </c>
      <c r="H628" s="13">
        <v>153.93661499999999</v>
      </c>
      <c r="I628" s="14">
        <f t="shared" si="9"/>
        <v>1.8866517410853767E-4</v>
      </c>
      <c r="J628" s="14">
        <f>IF(COUNT(B628)=0,"",B628-(INTERCEPT('3. Cleaned Data'!$B$4:$B$1041,'3. Cleaned Data'!$H$4:$H$1041)+SLOPE('3. Cleaned Data'!$B$4:$B$1041,'3. Cleaned Data'!$H$4:$H$1041)*H628))</f>
        <v>-0.28502431889376112</v>
      </c>
    </row>
    <row r="629" spans="1:10" x14ac:dyDescent="0.2">
      <c r="A629" s="12">
        <v>43236</v>
      </c>
      <c r="B629" s="13">
        <v>20.673047736000001</v>
      </c>
      <c r="C629" s="13">
        <v>159.490005</v>
      </c>
      <c r="D629" s="13">
        <v>161.320007</v>
      </c>
      <c r="E629" s="13">
        <v>159.470001</v>
      </c>
      <c r="F629" s="13">
        <v>160.91999799999999</v>
      </c>
      <c r="G629" s="13">
        <v>155.54110700000001</v>
      </c>
      <c r="H629" s="13">
        <v>155.54110700000001</v>
      </c>
      <c r="I629" s="14">
        <f t="shared" si="9"/>
        <v>1.0423069261332074E-2</v>
      </c>
      <c r="J629" s="14">
        <f>IF(COUNT(B629)=0,"",B629-(INTERCEPT('3. Cleaned Data'!$B$4:$B$1041,'3. Cleaned Data'!$H$4:$H$1041)+SLOPE('3. Cleaned Data'!$B$4:$B$1041,'3. Cleaned Data'!$H$4:$H$1041)*H629))</f>
        <v>1.1939520431629767</v>
      </c>
    </row>
    <row r="630" spans="1:10" x14ac:dyDescent="0.2">
      <c r="A630" s="12">
        <v>43237</v>
      </c>
      <c r="B630" s="13">
        <v>20.448445213199999</v>
      </c>
      <c r="C630" s="13">
        <v>161</v>
      </c>
      <c r="D630" s="13">
        <v>162</v>
      </c>
      <c r="E630" s="13">
        <v>160.75</v>
      </c>
      <c r="F630" s="13">
        <v>161.66000399999999</v>
      </c>
      <c r="G630" s="13">
        <v>156.25637800000001</v>
      </c>
      <c r="H630" s="13">
        <v>156.25637800000001</v>
      </c>
      <c r="I630" s="14">
        <f t="shared" si="9"/>
        <v>4.5985978484774925E-3</v>
      </c>
      <c r="J630" s="14">
        <f>IF(COUNT(B630)=0,"",B630-(INTERCEPT('3. Cleaned Data'!$B$4:$B$1041,'3. Cleaned Data'!$H$4:$H$1041)+SLOPE('3. Cleaned Data'!$B$4:$B$1041,'3. Cleaned Data'!$H$4:$H$1041)*H630))</f>
        <v>0.87150586379261696</v>
      </c>
    </row>
    <row r="631" spans="1:10" x14ac:dyDescent="0.2">
      <c r="A631" s="12">
        <v>43238</v>
      </c>
      <c r="B631" s="13">
        <v>19.483906790399999</v>
      </c>
      <c r="C631" s="13">
        <v>161.949997</v>
      </c>
      <c r="D631" s="13">
        <v>162.320007</v>
      </c>
      <c r="E631" s="13">
        <v>161.550003</v>
      </c>
      <c r="F631" s="13">
        <v>161.86999499999999</v>
      </c>
      <c r="G631" s="13">
        <v>156.459351</v>
      </c>
      <c r="H631" s="13">
        <v>156.459351</v>
      </c>
      <c r="I631" s="14">
        <f t="shared" si="9"/>
        <v>1.2989741769131591E-3</v>
      </c>
      <c r="J631" s="14">
        <f>IF(COUNT(B631)=0,"",B631-(INTERCEPT('3. Cleaned Data'!$B$4:$B$1041,'3. Cleaned Data'!$H$4:$H$1041)+SLOPE('3. Cleaned Data'!$B$4:$B$1041,'3. Cleaned Data'!$H$4:$H$1041)*H631))</f>
        <v>-0.12079772843974723</v>
      </c>
    </row>
    <row r="632" spans="1:10" x14ac:dyDescent="0.2">
      <c r="A632" s="12">
        <v>43241</v>
      </c>
      <c r="B632" s="13">
        <v>19.03145688</v>
      </c>
      <c r="C632" s="13">
        <v>162.36999499999999</v>
      </c>
      <c r="D632" s="13">
        <v>163.240005</v>
      </c>
      <c r="E632" s="13">
        <v>162.36000100000001</v>
      </c>
      <c r="F632" s="13">
        <v>162.94000199999999</v>
      </c>
      <c r="G632" s="13">
        <v>157.49362199999999</v>
      </c>
      <c r="H632" s="13">
        <v>157.49362199999999</v>
      </c>
      <c r="I632" s="14">
        <f t="shared" si="9"/>
        <v>6.6104773756858748E-3</v>
      </c>
      <c r="J632" s="14">
        <f>IF(COUNT(B632)=0,"",B632-(INTERCEPT('3. Cleaned Data'!$B$4:$B$1041,'3. Cleaned Data'!$H$4:$H$1041)+SLOPE('3. Cleaned Data'!$B$4:$B$1041,'3. Cleaned Data'!$H$4:$H$1041)*H632))</f>
        <v>-0.71472807985396614</v>
      </c>
    </row>
    <row r="633" spans="1:10" x14ac:dyDescent="0.2">
      <c r="A633" s="12">
        <v>43242</v>
      </c>
      <c r="B633" s="13">
        <v>19.823487893999999</v>
      </c>
      <c r="C633" s="13">
        <v>163.259995</v>
      </c>
      <c r="D633" s="13">
        <v>163.33000200000001</v>
      </c>
      <c r="E633" s="13">
        <v>161.63000500000001</v>
      </c>
      <c r="F633" s="13">
        <v>161.759995</v>
      </c>
      <c r="G633" s="13">
        <v>156.35299699999999</v>
      </c>
      <c r="H633" s="13">
        <v>156.35299699999999</v>
      </c>
      <c r="I633" s="14">
        <f t="shared" si="9"/>
        <v>-7.2423567730254268E-3</v>
      </c>
      <c r="J633" s="14">
        <f>IF(COUNT(B633)=0,"",B633-(INTERCEPT('3. Cleaned Data'!$B$4:$B$1041,'3. Cleaned Data'!$H$4:$H$1041)+SLOPE('3. Cleaned Data'!$B$4:$B$1041,'3. Cleaned Data'!$H$4:$H$1041)*H633))</f>
        <v>0.23333179701838347</v>
      </c>
    </row>
    <row r="634" spans="1:10" x14ac:dyDescent="0.2">
      <c r="A634" s="12">
        <v>43243</v>
      </c>
      <c r="B634" s="13">
        <v>19.573727982000001</v>
      </c>
      <c r="C634" s="13">
        <v>161.33000200000001</v>
      </c>
      <c r="D634" s="13">
        <v>162.279999</v>
      </c>
      <c r="E634" s="13">
        <v>161.13000500000001</v>
      </c>
      <c r="F634" s="13">
        <v>161.970001</v>
      </c>
      <c r="G634" s="13">
        <v>156.556015</v>
      </c>
      <c r="H634" s="13">
        <v>156.556015</v>
      </c>
      <c r="I634" s="14">
        <f t="shared" si="9"/>
        <v>1.2984592805727058E-3</v>
      </c>
      <c r="J634" s="14">
        <f>IF(COUNT(B634)=0,"",B634-(INTERCEPT('3. Cleaned Data'!$B$4:$B$1041,'3. Cleaned Data'!$H$4:$H$1041)+SLOPE('3. Cleaned Data'!$B$4:$B$1041,'3. Cleaned Data'!$H$4:$H$1041)*H634))</f>
        <v>-4.4199440073228402E-2</v>
      </c>
    </row>
    <row r="635" spans="1:10" x14ac:dyDescent="0.2">
      <c r="A635" s="12">
        <v>43244</v>
      </c>
      <c r="B635" s="13">
        <v>20.250800570399999</v>
      </c>
      <c r="C635" s="13">
        <v>161.91999799999999</v>
      </c>
      <c r="D635" s="13">
        <v>162.35000600000001</v>
      </c>
      <c r="E635" s="13">
        <v>160.61999499999999</v>
      </c>
      <c r="F635" s="13">
        <v>162.029999</v>
      </c>
      <c r="G635" s="13">
        <v>156.61399800000001</v>
      </c>
      <c r="H635" s="13">
        <v>156.61399800000001</v>
      </c>
      <c r="I635" s="14">
        <f t="shared" si="9"/>
        <v>3.7036583998384387E-4</v>
      </c>
      <c r="J635" s="14">
        <f>IF(COUNT(B635)=0,"",B635-(INTERCEPT('3. Cleaned Data'!$B$4:$B$1041,'3. Cleaned Data'!$H$4:$H$1041)+SLOPE('3. Cleaned Data'!$B$4:$B$1041,'3. Cleaned Data'!$H$4:$H$1041)*H635))</f>
        <v>0.62494151299006617</v>
      </c>
    </row>
    <row r="636" spans="1:10" x14ac:dyDescent="0.2">
      <c r="A636" s="12">
        <v>43245</v>
      </c>
      <c r="B636" s="13">
        <v>20.952898172400001</v>
      </c>
      <c r="C636" s="13">
        <v>161.75</v>
      </c>
      <c r="D636" s="13">
        <v>162.16000399999999</v>
      </c>
      <c r="E636" s="13">
        <v>161.470001</v>
      </c>
      <c r="F636" s="13">
        <v>161.740005</v>
      </c>
      <c r="G636" s="13">
        <v>156.33367899999999</v>
      </c>
      <c r="H636" s="13">
        <v>156.33367899999999</v>
      </c>
      <c r="I636" s="14">
        <f t="shared" si="9"/>
        <v>-1.7898719372454464E-3</v>
      </c>
      <c r="J636" s="14">
        <f>IF(COUNT(B636)=0,"",B636-(INTERCEPT('3. Cleaned Data'!$B$4:$B$1041,'3. Cleaned Data'!$H$4:$H$1041)+SLOPE('3. Cleaned Data'!$B$4:$B$1041,'3. Cleaned Data'!$H$4:$H$1041)*H636))</f>
        <v>1.3653846315371503</v>
      </c>
    </row>
    <row r="637" spans="1:10" x14ac:dyDescent="0.2">
      <c r="A637" s="12">
        <v>43249</v>
      </c>
      <c r="B637" s="13">
        <v>21.104608775999999</v>
      </c>
      <c r="C637" s="13">
        <v>160.88000500000001</v>
      </c>
      <c r="D637" s="13">
        <v>162.229996</v>
      </c>
      <c r="E637" s="13">
        <v>160.11000100000001</v>
      </c>
      <c r="F637" s="13">
        <v>161.520004</v>
      </c>
      <c r="G637" s="13">
        <v>156.121048</v>
      </c>
      <c r="H637" s="13">
        <v>156.121048</v>
      </c>
      <c r="I637" s="14">
        <f t="shared" si="9"/>
        <v>-1.3601099990744325E-3</v>
      </c>
      <c r="J637" s="14">
        <f>IF(COUNT(B637)=0,"",B637-(INTERCEPT('3. Cleaned Data'!$B$4:$B$1041,'3. Cleaned Data'!$H$4:$H$1041)+SLOPE('3. Cleaned Data'!$B$4:$B$1041,'3. Cleaned Data'!$H$4:$H$1041)*H637))</f>
        <v>1.5461815458364647</v>
      </c>
    </row>
    <row r="638" spans="1:10" x14ac:dyDescent="0.2">
      <c r="A638" s="12">
        <v>43250</v>
      </c>
      <c r="B638" s="13">
        <v>21.182124743999999</v>
      </c>
      <c r="C638" s="13">
        <v>162.36000100000001</v>
      </c>
      <c r="D638" s="13">
        <v>164.38999899999999</v>
      </c>
      <c r="E638" s="13">
        <v>162.36000100000001</v>
      </c>
      <c r="F638" s="13">
        <v>164.08000200000001</v>
      </c>
      <c r="G638" s="13">
        <v>158.595474</v>
      </c>
      <c r="H638" s="13">
        <v>158.595474</v>
      </c>
      <c r="I638" s="14">
        <f t="shared" si="9"/>
        <v>1.5849406801317301E-2</v>
      </c>
      <c r="J638" s="14">
        <f>IF(COUNT(B638)=0,"",B638-(INTERCEPT('3. Cleaned Data'!$B$4:$B$1041,'3. Cleaned Data'!$H$4:$H$1041)+SLOPE('3. Cleaned Data'!$B$4:$B$1041,'3. Cleaned Data'!$H$4:$H$1041)*H638))</f>
        <v>1.2852147740738147</v>
      </c>
    </row>
    <row r="639" spans="1:10" x14ac:dyDescent="0.2">
      <c r="A639" s="12">
        <v>43251</v>
      </c>
      <c r="B639" s="13">
        <v>21.245921268</v>
      </c>
      <c r="C639" s="13">
        <v>164.08000200000001</v>
      </c>
      <c r="D639" s="13">
        <v>164.38000500000001</v>
      </c>
      <c r="E639" s="13">
        <v>162.33999600000001</v>
      </c>
      <c r="F639" s="13">
        <v>162.770004</v>
      </c>
      <c r="G639" s="13">
        <v>157.32926900000001</v>
      </c>
      <c r="H639" s="13">
        <v>157.32926900000001</v>
      </c>
      <c r="I639" s="14">
        <f t="shared" si="9"/>
        <v>-7.983865920410671E-3</v>
      </c>
      <c r="J639" s="14">
        <f>IF(COUNT(B639)=0,"",B639-(INTERCEPT('3. Cleaned Data'!$B$4:$B$1041,'3. Cleaned Data'!$H$4:$H$1041)+SLOPE('3. Cleaned Data'!$B$4:$B$1041,'3. Cleaned Data'!$H$4:$H$1041)*H639))</f>
        <v>1.5222185540197053</v>
      </c>
    </row>
    <row r="640" spans="1:10" x14ac:dyDescent="0.2">
      <c r="A640" s="12">
        <v>43252</v>
      </c>
      <c r="B640" s="13">
        <v>21.0843808176</v>
      </c>
      <c r="C640" s="13">
        <v>163.83000200000001</v>
      </c>
      <c r="D640" s="13">
        <v>164.38000500000001</v>
      </c>
      <c r="E640" s="13">
        <v>163.279999</v>
      </c>
      <c r="F640" s="13">
        <v>163.83999600000001</v>
      </c>
      <c r="G640" s="13">
        <v>158.363495</v>
      </c>
      <c r="H640" s="13">
        <v>158.363495</v>
      </c>
      <c r="I640" s="14">
        <f t="shared" si="9"/>
        <v>6.5736401533778022E-3</v>
      </c>
      <c r="J640" s="14">
        <f>IF(COUNT(B640)=0,"",B640-(INTERCEPT('3. Cleaned Data'!$B$4:$B$1041,'3. Cleaned Data'!$H$4:$H$1041)+SLOPE('3. Cleaned Data'!$B$4:$B$1041,'3. Cleaned Data'!$H$4:$H$1041)*H640))</f>
        <v>1.2192038182647309</v>
      </c>
    </row>
    <row r="641" spans="1:10" x14ac:dyDescent="0.2">
      <c r="A641" s="12">
        <v>43255</v>
      </c>
      <c r="B641" s="13">
        <v>21.180467020799998</v>
      </c>
      <c r="C641" s="13">
        <v>164.320007</v>
      </c>
      <c r="D641" s="13">
        <v>164.71000699999999</v>
      </c>
      <c r="E641" s="13">
        <v>163.320007</v>
      </c>
      <c r="F641" s="13">
        <v>164.71000699999999</v>
      </c>
      <c r="G641" s="13">
        <v>159.204407</v>
      </c>
      <c r="H641" s="13">
        <v>159.204407</v>
      </c>
      <c r="I641" s="14">
        <f t="shared" si="9"/>
        <v>5.3100116286268761E-3</v>
      </c>
      <c r="J641" s="14">
        <f>IF(COUNT(B641)=0,"",B641-(INTERCEPT('3. Cleaned Data'!$B$4:$B$1041,'3. Cleaned Data'!$H$4:$H$1041)+SLOPE('3. Cleaned Data'!$B$4:$B$1041,'3. Cleaned Data'!$H$4:$H$1041)*H641))</f>
        <v>1.2002596274827368</v>
      </c>
    </row>
    <row r="642" spans="1:10" x14ac:dyDescent="0.2">
      <c r="A642" s="12">
        <v>43256</v>
      </c>
      <c r="B642" s="13">
        <v>19.548617185200001</v>
      </c>
      <c r="C642" s="13">
        <v>164.550003</v>
      </c>
      <c r="D642" s="13">
        <v>165.770004</v>
      </c>
      <c r="E642" s="13">
        <v>164.33999600000001</v>
      </c>
      <c r="F642" s="13">
        <v>165.729996</v>
      </c>
      <c r="G642" s="13">
        <v>160.19035299999999</v>
      </c>
      <c r="H642" s="13">
        <v>160.19035299999999</v>
      </c>
      <c r="I642" s="14">
        <f t="shared" si="9"/>
        <v>6.1929567062799507E-3</v>
      </c>
      <c r="J642" s="14">
        <f>IF(COUNT(B642)=0,"",B642-(INTERCEPT('3. Cleaned Data'!$B$4:$B$1041,'3. Cleaned Data'!$H$4:$H$1041)+SLOPE('3. Cleaned Data'!$B$4:$B$1041,'3. Cleaned Data'!$H$4:$H$1041)*H642))</f>
        <v>-0.56646015506173342</v>
      </c>
    </row>
    <row r="643" spans="1:10" x14ac:dyDescent="0.2">
      <c r="A643" s="12">
        <v>43257</v>
      </c>
      <c r="B643" s="13">
        <v>21.0149595936</v>
      </c>
      <c r="C643" s="13">
        <v>165.71000699999999</v>
      </c>
      <c r="D643" s="13">
        <v>166.929993</v>
      </c>
      <c r="E643" s="13">
        <v>165.58000200000001</v>
      </c>
      <c r="F643" s="13">
        <v>166.929993</v>
      </c>
      <c r="G643" s="13">
        <v>161.35022000000001</v>
      </c>
      <c r="H643" s="13">
        <v>161.35022000000001</v>
      </c>
      <c r="I643" s="14">
        <f t="shared" si="9"/>
        <v>7.2405546169189705E-3</v>
      </c>
      <c r="J643" s="14">
        <f>IF(COUNT(B643)=0,"",B643-(INTERCEPT('3. Cleaned Data'!$B$4:$B$1041,'3. Cleaned Data'!$H$4:$H$1041)+SLOPE('3. Cleaned Data'!$B$4:$B$1041,'3. Cleaned Data'!$H$4:$H$1041)*H643))</f>
        <v>0.74122123057165368</v>
      </c>
    </row>
    <row r="644" spans="1:10" x14ac:dyDescent="0.2">
      <c r="A644" s="12">
        <v>43258</v>
      </c>
      <c r="B644" s="13">
        <v>21.215861369999999</v>
      </c>
      <c r="C644" s="13">
        <v>167.11000100000001</v>
      </c>
      <c r="D644" s="13">
        <v>167.229996</v>
      </c>
      <c r="E644" s="13">
        <v>165.229996</v>
      </c>
      <c r="F644" s="13">
        <v>166.020004</v>
      </c>
      <c r="G644" s="13">
        <v>160.470642</v>
      </c>
      <c r="H644" s="13">
        <v>160.470642</v>
      </c>
      <c r="I644" s="14">
        <f t="shared" si="9"/>
        <v>-5.4513591614564483E-3</v>
      </c>
      <c r="J644" s="14">
        <f>IF(COUNT(B644)=0,"",B644-(INTERCEPT('3. Cleaned Data'!$B$4:$B$1041,'3. Cleaned Data'!$H$4:$H$1041)+SLOPE('3. Cleaned Data'!$B$4:$B$1041,'3. Cleaned Data'!$H$4:$H$1041)*H644))</f>
        <v>1.0624426169640131</v>
      </c>
    </row>
    <row r="645" spans="1:10" x14ac:dyDescent="0.2">
      <c r="A645" s="12">
        <v>43259</v>
      </c>
      <c r="B645" s="13">
        <v>21.120186369599999</v>
      </c>
      <c r="C645" s="13">
        <v>166.05999800000001</v>
      </c>
      <c r="D645" s="13">
        <v>166.61000100000001</v>
      </c>
      <c r="E645" s="13">
        <v>165.759995</v>
      </c>
      <c r="F645" s="13">
        <v>166.520004</v>
      </c>
      <c r="G645" s="13">
        <v>160.95394899999999</v>
      </c>
      <c r="H645" s="13">
        <v>160.95394899999999</v>
      </c>
      <c r="I645" s="14">
        <f t="shared" ref="I645:I708" si="10">H645/H644-1</f>
        <v>3.01180947478219E-3</v>
      </c>
      <c r="J645" s="14">
        <f>IF(COUNT(B645)=0,"",B645-(INTERCEPT('3. Cleaned Data'!$B$4:$B$1041,'3. Cleaned Data'!$H$4:$H$1041)+SLOPE('3. Cleaned Data'!$B$4:$B$1041,'3. Cleaned Data'!$H$4:$H$1041)*H645))</f>
        <v>0.90065487869815541</v>
      </c>
    </row>
    <row r="646" spans="1:10" x14ac:dyDescent="0.2">
      <c r="A646" s="12">
        <v>43262</v>
      </c>
      <c r="B646" s="13">
        <v>20.925867378</v>
      </c>
      <c r="C646" s="13">
        <v>166.63999899999999</v>
      </c>
      <c r="D646" s="13">
        <v>167.11000100000001</v>
      </c>
      <c r="E646" s="13">
        <v>166.28999300000001</v>
      </c>
      <c r="F646" s="13">
        <v>166.770004</v>
      </c>
      <c r="G646" s="13">
        <v>161.195572</v>
      </c>
      <c r="H646" s="13">
        <v>161.195572</v>
      </c>
      <c r="I646" s="14">
        <f t="shared" si="10"/>
        <v>1.5011933630779684E-3</v>
      </c>
      <c r="J646" s="14">
        <f>IF(COUNT(B646)=0,"",B646-(INTERCEPT('3. Cleaned Data'!$B$4:$B$1041,'3. Cleaned Data'!$H$4:$H$1041)+SLOPE('3. Cleaned Data'!$B$4:$B$1041,'3. Cleaned Data'!$H$4:$H$1041)*H646))</f>
        <v>0.67328369033426938</v>
      </c>
    </row>
    <row r="647" spans="1:10" x14ac:dyDescent="0.2">
      <c r="A647" s="12">
        <v>43263</v>
      </c>
      <c r="B647" s="13">
        <v>19.911775168799998</v>
      </c>
      <c r="C647" s="13">
        <v>166.91999799999999</v>
      </c>
      <c r="D647" s="13">
        <v>167.94000199999999</v>
      </c>
      <c r="E647" s="13">
        <v>166.729996</v>
      </c>
      <c r="F647" s="13">
        <v>167.529999</v>
      </c>
      <c r="G647" s="13">
        <v>161.93017599999999</v>
      </c>
      <c r="H647" s="13">
        <v>161.93017599999999</v>
      </c>
      <c r="I647" s="14">
        <f t="shared" si="10"/>
        <v>4.5572219564442573E-3</v>
      </c>
      <c r="J647" s="14">
        <f>IF(COUNT(B647)=0,"",B647-(INTERCEPT('3. Cleaned Data'!$B$4:$B$1041,'3. Cleaned Data'!$H$4:$H$1041)+SLOPE('3. Cleaned Data'!$B$4:$B$1041,'3. Cleaned Data'!$H$4:$H$1041)*H647))</f>
        <v>-0.44129678344127399</v>
      </c>
    </row>
    <row r="648" spans="1:10" x14ac:dyDescent="0.2">
      <c r="A648" s="12">
        <v>43264</v>
      </c>
      <c r="B648" s="13">
        <v>21.483231660000001</v>
      </c>
      <c r="C648" s="13">
        <v>167.770004</v>
      </c>
      <c r="D648" s="13">
        <v>167.86999499999999</v>
      </c>
      <c r="E648" s="13">
        <v>166.61999499999999</v>
      </c>
      <c r="F648" s="13">
        <v>166.86999499999999</v>
      </c>
      <c r="G648" s="13">
        <v>161.29222100000001</v>
      </c>
      <c r="H648" s="13">
        <v>161.29222100000001</v>
      </c>
      <c r="I648" s="14">
        <f t="shared" si="10"/>
        <v>-3.9396918830001404E-3</v>
      </c>
      <c r="J648" s="14">
        <f>IF(COUNT(B648)=0,"",B648-(INTERCEPT('3. Cleaned Data'!$B$4:$B$1041,'3. Cleaned Data'!$H$4:$H$1041)+SLOPE('3. Cleaned Data'!$B$4:$B$1041,'3. Cleaned Data'!$H$4:$H$1041)*H648))</f>
        <v>1.2174271209872032</v>
      </c>
    </row>
    <row r="649" spans="1:10" x14ac:dyDescent="0.2">
      <c r="A649" s="12">
        <v>43265</v>
      </c>
      <c r="B649" s="13">
        <v>19.465257600000001</v>
      </c>
      <c r="C649" s="13">
        <v>167.490005</v>
      </c>
      <c r="D649" s="13">
        <v>167.83999600000001</v>
      </c>
      <c r="E649" s="13">
        <v>166.61000100000001</v>
      </c>
      <c r="F649" s="13">
        <v>167.759995</v>
      </c>
      <c r="G649" s="13">
        <v>162.152466</v>
      </c>
      <c r="H649" s="13">
        <v>162.152466</v>
      </c>
      <c r="I649" s="14">
        <f t="shared" si="10"/>
        <v>5.3334562241535988E-3</v>
      </c>
      <c r="J649" s="14">
        <f>IF(COUNT(B649)=0,"",B649-(INTERCEPT('3. Cleaned Data'!$B$4:$B$1041,'3. Cleaned Data'!$H$4:$H$1041)+SLOPE('3. Cleaned Data'!$B$4:$B$1041,'3. Cleaned Data'!$H$4:$H$1041)*H649))</f>
        <v>-0.9182219409999739</v>
      </c>
    </row>
    <row r="650" spans="1:10" x14ac:dyDescent="0.2">
      <c r="A650" s="12">
        <v>43266</v>
      </c>
      <c r="B650" s="13">
        <v>20.296291742400001</v>
      </c>
      <c r="C650" s="13">
        <v>167.240005</v>
      </c>
      <c r="D650" s="13">
        <v>167.86999499999999</v>
      </c>
      <c r="E650" s="13">
        <v>166.529999</v>
      </c>
      <c r="F650" s="13">
        <v>167.80999800000001</v>
      </c>
      <c r="G650" s="13">
        <v>162.20077499999999</v>
      </c>
      <c r="H650" s="13">
        <v>162.20077499999999</v>
      </c>
      <c r="I650" s="14">
        <f t="shared" si="10"/>
        <v>2.9792331372857639E-4</v>
      </c>
      <c r="J650" s="14">
        <f>IF(COUNT(B650)=0,"",B650-(INTERCEPT('3. Cleaned Data'!$B$4:$B$1041,'3. Cleaned Data'!$H$4:$H$1041)+SLOPE('3. Cleaned Data'!$B$4:$B$1041,'3. Cleaned Data'!$H$4:$H$1041)*H650))</f>
        <v>-9.3796103990875679E-2</v>
      </c>
    </row>
    <row r="651" spans="1:10" x14ac:dyDescent="0.2">
      <c r="A651" s="12">
        <v>43269</v>
      </c>
      <c r="B651" s="13">
        <v>20.029145011200001</v>
      </c>
      <c r="C651" s="13">
        <v>166.970001</v>
      </c>
      <c r="D651" s="13">
        <v>168.61000100000001</v>
      </c>
      <c r="E651" s="13">
        <v>166.729996</v>
      </c>
      <c r="F651" s="13">
        <v>168.60000600000001</v>
      </c>
      <c r="G651" s="13">
        <v>162.96440100000001</v>
      </c>
      <c r="H651" s="13">
        <v>162.96440100000001</v>
      </c>
      <c r="I651" s="14">
        <f t="shared" si="10"/>
        <v>4.7079059887353836E-3</v>
      </c>
      <c r="J651" s="14">
        <f>IF(COUNT(B651)=0,"",B651-(INTERCEPT('3. Cleaned Data'!$B$4:$B$1041,'3. Cleaned Data'!$H$4:$H$1041)+SLOPE('3. Cleaned Data'!$B$4:$B$1041,'3. Cleaned Data'!$H$4:$H$1041)*H651))</f>
        <v>-0.46540108960381943</v>
      </c>
    </row>
    <row r="652" spans="1:10" x14ac:dyDescent="0.2">
      <c r="A652" s="12">
        <v>43270</v>
      </c>
      <c r="B652" s="13">
        <v>19.1397669228</v>
      </c>
      <c r="C652" s="13">
        <v>167.550003</v>
      </c>
      <c r="D652" s="13">
        <v>168.770004</v>
      </c>
      <c r="E652" s="13">
        <v>166.53999300000001</v>
      </c>
      <c r="F652" s="13">
        <v>168.61000100000001</v>
      </c>
      <c r="G652" s="13">
        <v>162.97404499999999</v>
      </c>
      <c r="H652" s="13">
        <v>162.97404499999999</v>
      </c>
      <c r="I652" s="14">
        <f t="shared" si="10"/>
        <v>5.917856869852578E-5</v>
      </c>
      <c r="J652" s="14">
        <f>IF(COUNT(B652)=0,"",B652-(INTERCEPT('3. Cleaned Data'!$B$4:$B$1041,'3. Cleaned Data'!$H$4:$H$1041)+SLOPE('3. Cleaned Data'!$B$4:$B$1041,'3. Cleaned Data'!$H$4:$H$1041)*H652))</f>
        <v>-1.3560984041767874</v>
      </c>
    </row>
    <row r="653" spans="1:10" x14ac:dyDescent="0.2">
      <c r="A653" s="12">
        <v>43271</v>
      </c>
      <c r="B653" s="13">
        <v>20.719002658800001</v>
      </c>
      <c r="C653" s="13">
        <v>169.449997</v>
      </c>
      <c r="D653" s="13">
        <v>170.199997</v>
      </c>
      <c r="E653" s="13">
        <v>168.949997</v>
      </c>
      <c r="F653" s="13">
        <v>169.970001</v>
      </c>
      <c r="G653" s="13">
        <v>164.28857400000001</v>
      </c>
      <c r="H653" s="13">
        <v>164.28857400000001</v>
      </c>
      <c r="I653" s="14">
        <f t="shared" si="10"/>
        <v>8.065879447245905E-3</v>
      </c>
      <c r="J653" s="14">
        <f>IF(COUNT(B653)=0,"",B653-(INTERCEPT('3. Cleaned Data'!$B$4:$B$1041,'3. Cleaned Data'!$H$4:$H$1041)+SLOPE('3. Cleaned Data'!$B$4:$B$1041,'3. Cleaned Data'!$H$4:$H$1041)*H653))</f>
        <v>4.3319718599999391E-2</v>
      </c>
    </row>
    <row r="654" spans="1:10" x14ac:dyDescent="0.2">
      <c r="A654" s="12">
        <v>43272</v>
      </c>
      <c r="B654" s="13">
        <v>18.99550236</v>
      </c>
      <c r="C654" s="13">
        <v>169.979996</v>
      </c>
      <c r="D654" s="13">
        <v>170.08000200000001</v>
      </c>
      <c r="E654" s="13">
        <v>167.770004</v>
      </c>
      <c r="F654" s="13">
        <v>168.38000500000001</v>
      </c>
      <c r="G654" s="13">
        <v>162.751755</v>
      </c>
      <c r="H654" s="13">
        <v>162.751755</v>
      </c>
      <c r="I654" s="14">
        <f t="shared" si="10"/>
        <v>-9.354387603364378E-3</v>
      </c>
      <c r="J654" s="14">
        <f>IF(COUNT(B654)=0,"",B654-(INTERCEPT('3. Cleaned Data'!$B$4:$B$1041,'3. Cleaned Data'!$H$4:$H$1041)+SLOPE('3. Cleaned Data'!$B$4:$B$1041,'3. Cleaned Data'!$H$4:$H$1041)*H654))</f>
        <v>-1.469955378218085</v>
      </c>
    </row>
    <row r="655" spans="1:10" x14ac:dyDescent="0.2">
      <c r="A655" s="12">
        <v>43273</v>
      </c>
      <c r="B655" s="13">
        <v>20.274163394399999</v>
      </c>
      <c r="C655" s="13">
        <v>169.009995</v>
      </c>
      <c r="D655" s="13">
        <v>169.199997</v>
      </c>
      <c r="E655" s="13">
        <v>167.30999800000001</v>
      </c>
      <c r="F655" s="13">
        <v>167.820007</v>
      </c>
      <c r="G655" s="13">
        <v>162.21047999999999</v>
      </c>
      <c r="H655" s="13">
        <v>162.21047999999999</v>
      </c>
      <c r="I655" s="14">
        <f t="shared" si="10"/>
        <v>-3.3257705884647271E-3</v>
      </c>
      <c r="J655" s="14">
        <f>IF(COUNT(B655)=0,"",B655-(INTERCEPT('3. Cleaned Data'!$B$4:$B$1041,'3. Cleaned Data'!$H$4:$H$1041)+SLOPE('3. Cleaned Data'!$B$4:$B$1041,'3. Cleaned Data'!$H$4:$H$1041)*H655))</f>
        <v>-0.11725202250193689</v>
      </c>
    </row>
    <row r="656" spans="1:10" x14ac:dyDescent="0.2">
      <c r="A656" s="12">
        <v>43276</v>
      </c>
      <c r="B656" s="13">
        <v>21.123095796000001</v>
      </c>
      <c r="C656" s="13">
        <v>167.240005</v>
      </c>
      <c r="D656" s="13">
        <v>167.36999499999999</v>
      </c>
      <c r="E656" s="13">
        <v>164.13999899999999</v>
      </c>
      <c r="F656" s="13">
        <v>165.08000200000001</v>
      </c>
      <c r="G656" s="13">
        <v>159.56204199999999</v>
      </c>
      <c r="H656" s="13">
        <v>159.56204199999999</v>
      </c>
      <c r="I656" s="14">
        <f t="shared" si="10"/>
        <v>-1.6327169489912086E-2</v>
      </c>
      <c r="J656" s="14">
        <f>IF(COUNT(B656)=0,"",B656-(INTERCEPT('3. Cleaned Data'!$B$4:$B$1041,'3. Cleaned Data'!$H$4:$H$1041)+SLOPE('3. Cleaned Data'!$B$4:$B$1041,'3. Cleaned Data'!$H$4:$H$1041)*H656))</f>
        <v>1.0939666427937738</v>
      </c>
    </row>
    <row r="657" spans="1:10" x14ac:dyDescent="0.2">
      <c r="A657" s="12">
        <v>43277</v>
      </c>
      <c r="B657" s="13">
        <v>20.198530310399999</v>
      </c>
      <c r="C657" s="13">
        <v>165.229996</v>
      </c>
      <c r="D657" s="13">
        <v>166.66000399999999</v>
      </c>
      <c r="E657" s="13">
        <v>164.85000600000001</v>
      </c>
      <c r="F657" s="13">
        <v>166.03999300000001</v>
      </c>
      <c r="G657" s="13">
        <v>160.48994400000001</v>
      </c>
      <c r="H657" s="13">
        <v>160.48994400000001</v>
      </c>
      <c r="I657" s="14">
        <f t="shared" si="10"/>
        <v>5.8153053719380843E-3</v>
      </c>
      <c r="J657" s="14">
        <f>IF(COUNT(B657)=0,"",B657-(INTERCEPT('3. Cleaned Data'!$B$4:$B$1041,'3. Cleaned Data'!$H$4:$H$1041)+SLOPE('3. Cleaned Data'!$B$4:$B$1041,'3. Cleaned Data'!$H$4:$H$1041)*H657))</f>
        <v>4.2471189924089714E-2</v>
      </c>
    </row>
    <row r="658" spans="1:10" x14ac:dyDescent="0.2">
      <c r="A658" s="12">
        <v>43278</v>
      </c>
      <c r="B658" s="13">
        <v>21.544381584</v>
      </c>
      <c r="C658" s="13">
        <v>166.21000699999999</v>
      </c>
      <c r="D658" s="13">
        <v>166.509995</v>
      </c>
      <c r="E658" s="13">
        <v>163.30999800000001</v>
      </c>
      <c r="F658" s="13">
        <v>163.38000500000001</v>
      </c>
      <c r="G658" s="13">
        <v>157.918869</v>
      </c>
      <c r="H658" s="13">
        <v>157.918869</v>
      </c>
      <c r="I658" s="14">
        <f t="shared" si="10"/>
        <v>-1.602016260906669E-2</v>
      </c>
      <c r="J658" s="14">
        <f>IF(COUNT(B658)=0,"",B658-(INTERCEPT('3. Cleaned Data'!$B$4:$B$1041,'3. Cleaned Data'!$H$4:$H$1041)+SLOPE('3. Cleaned Data'!$B$4:$B$1041,'3. Cleaned Data'!$H$4:$H$1041)*H658))</f>
        <v>1.7400260546338124</v>
      </c>
    </row>
    <row r="659" spans="1:10" x14ac:dyDescent="0.2">
      <c r="A659" s="12">
        <v>43279</v>
      </c>
      <c r="B659" s="13">
        <v>20.103378206399999</v>
      </c>
      <c r="C659" s="13">
        <v>163.229996</v>
      </c>
      <c r="D659" s="13">
        <v>164.220001</v>
      </c>
      <c r="E659" s="13">
        <v>162.259995</v>
      </c>
      <c r="F659" s="13">
        <v>163.88000500000001</v>
      </c>
      <c r="G659" s="13">
        <v>158.40216100000001</v>
      </c>
      <c r="H659" s="13">
        <v>158.40216100000001</v>
      </c>
      <c r="I659" s="14">
        <f t="shared" si="10"/>
        <v>3.0603815937917389E-3</v>
      </c>
      <c r="J659" s="14">
        <f>IF(COUNT(B659)=0,"",B659-(INTERCEPT('3. Cleaned Data'!$B$4:$B$1041,'3. Cleaned Data'!$H$4:$H$1041)+SLOPE('3. Cleaned Data'!$B$4:$B$1041,'3. Cleaned Data'!$H$4:$H$1041)*H659))</f>
        <v>0.23291199105436533</v>
      </c>
    </row>
    <row r="660" spans="1:10" x14ac:dyDescent="0.2">
      <c r="A660" s="12">
        <v>43280</v>
      </c>
      <c r="B660" s="13">
        <v>21.581518595999999</v>
      </c>
      <c r="C660" s="13">
        <v>164.30999800000001</v>
      </c>
      <c r="D660" s="13">
        <v>165.050003</v>
      </c>
      <c r="E660" s="13">
        <v>163.61000100000001</v>
      </c>
      <c r="F660" s="13">
        <v>163.770004</v>
      </c>
      <c r="G660" s="13">
        <v>158.29585299999999</v>
      </c>
      <c r="H660" s="13">
        <v>158.29585299999999</v>
      </c>
      <c r="I660" s="14">
        <f t="shared" si="10"/>
        <v>-6.7112720766493439E-4</v>
      </c>
      <c r="J660" s="14">
        <f>IF(COUNT(B660)=0,"",B660-(INTERCEPT('3. Cleaned Data'!$B$4:$B$1041,'3. Cleaned Data'!$H$4:$H$1041)+SLOPE('3. Cleaned Data'!$B$4:$B$1041,'3. Cleaned Data'!$H$4:$H$1041)*H660))</f>
        <v>1.7255945100608194</v>
      </c>
    </row>
    <row r="661" spans="1:10" x14ac:dyDescent="0.2">
      <c r="A661" s="12">
        <v>43283</v>
      </c>
      <c r="B661" s="13">
        <v>19.6476248592</v>
      </c>
      <c r="C661" s="13">
        <v>162.759995</v>
      </c>
      <c r="D661" s="13">
        <v>164.96000699999999</v>
      </c>
      <c r="E661" s="13">
        <v>162.479996</v>
      </c>
      <c r="F661" s="13">
        <v>164.89999399999999</v>
      </c>
      <c r="G661" s="13">
        <v>159.38807700000001</v>
      </c>
      <c r="H661" s="13">
        <v>159.38807700000001</v>
      </c>
      <c r="I661" s="14">
        <f t="shared" si="10"/>
        <v>6.8998901695802584E-3</v>
      </c>
      <c r="J661" s="14">
        <f>IF(COUNT(B661)=0,"",B661-(INTERCEPT('3. Cleaned Data'!$B$4:$B$1041,'3. Cleaned Data'!$H$4:$H$1041)+SLOPE('3. Cleaned Data'!$B$4:$B$1041,'3. Cleaned Data'!$H$4:$H$1041)*H661))</f>
        <v>-0.35770719931727513</v>
      </c>
    </row>
    <row r="662" spans="1:10" x14ac:dyDescent="0.2">
      <c r="A662" s="12">
        <v>43284</v>
      </c>
      <c r="B662" s="13">
        <v>20.720228990399999</v>
      </c>
      <c r="C662" s="13">
        <v>164.75</v>
      </c>
      <c r="D662" s="13">
        <v>165.699997</v>
      </c>
      <c r="E662" s="13">
        <v>164.699997</v>
      </c>
      <c r="F662" s="13">
        <v>164.96000699999999</v>
      </c>
      <c r="G662" s="13">
        <v>160.02345299999999</v>
      </c>
      <c r="H662" s="13">
        <v>160.02345299999999</v>
      </c>
      <c r="I662" s="14">
        <f t="shared" si="10"/>
        <v>3.9863458544642238E-3</v>
      </c>
      <c r="J662" s="14">
        <f>IF(COUNT(B662)=0,"",B662-(INTERCEPT('3. Cleaned Data'!$B$4:$B$1041,'3. Cleaned Data'!$H$4:$H$1041)+SLOPE('3. Cleaned Data'!$B$4:$B$1041,'3. Cleaned Data'!$H$4:$H$1041)*H662))</f>
        <v>0.62798230632535024</v>
      </c>
    </row>
    <row r="663" spans="1:10" x14ac:dyDescent="0.2">
      <c r="A663" s="12">
        <v>43286</v>
      </c>
      <c r="B663" s="13">
        <v>21.438098352000001</v>
      </c>
      <c r="C663" s="13">
        <v>165.86000100000001</v>
      </c>
      <c r="D663" s="13">
        <v>166.86999499999999</v>
      </c>
      <c r="E663" s="13">
        <v>164.83000200000001</v>
      </c>
      <c r="F663" s="13">
        <v>166.83999600000001</v>
      </c>
      <c r="G663" s="13">
        <v>161.84719799999999</v>
      </c>
      <c r="H663" s="13">
        <v>161.84719799999999</v>
      </c>
      <c r="I663" s="14">
        <f t="shared" si="10"/>
        <v>1.1396735702234873E-2</v>
      </c>
      <c r="J663" s="14">
        <f>IF(COUNT(B663)=0,"",B663-(INTERCEPT('3. Cleaned Data'!$B$4:$B$1041,'3. Cleaned Data'!$H$4:$H$1041)+SLOPE('3. Cleaned Data'!$B$4:$B$1041,'3. Cleaned Data'!$H$4:$H$1041)*H663))</f>
        <v>1.0963771618263856</v>
      </c>
    </row>
    <row r="664" spans="1:10" x14ac:dyDescent="0.2">
      <c r="A664" s="12">
        <v>43287</v>
      </c>
      <c r="B664" s="13">
        <v>19.41351744</v>
      </c>
      <c r="C664" s="13">
        <v>166.970001</v>
      </c>
      <c r="D664" s="13">
        <v>168.44000199999999</v>
      </c>
      <c r="E664" s="13">
        <v>166.520004</v>
      </c>
      <c r="F664" s="13">
        <v>168.25</v>
      </c>
      <c r="G664" s="13">
        <v>163.215012</v>
      </c>
      <c r="H664" s="13">
        <v>163.215012</v>
      </c>
      <c r="I664" s="14">
        <f t="shared" si="10"/>
        <v>8.4512677198156361E-3</v>
      </c>
      <c r="J664" s="14">
        <f>IF(COUNT(B664)=0,"",B664-(INTERCEPT('3. Cleaned Data'!$B$4:$B$1041,'3. Cleaned Data'!$H$4:$H$1041)+SLOPE('3. Cleaned Data'!$B$4:$B$1041,'3. Cleaned Data'!$H$4:$H$1041)*H664))</f>
        <v>-1.1153103479080855</v>
      </c>
    </row>
    <row r="665" spans="1:10" x14ac:dyDescent="0.2">
      <c r="A665" s="12">
        <v>43290</v>
      </c>
      <c r="B665" s="13">
        <v>20.669637098399999</v>
      </c>
      <c r="C665" s="13">
        <v>169.009995</v>
      </c>
      <c r="D665" s="13">
        <v>169.33000200000001</v>
      </c>
      <c r="E665" s="13">
        <v>168.38999899999999</v>
      </c>
      <c r="F665" s="13">
        <v>169.30999800000001</v>
      </c>
      <c r="G665" s="13">
        <v>164.24328600000001</v>
      </c>
      <c r="H665" s="13">
        <v>164.24328600000001</v>
      </c>
      <c r="I665" s="14">
        <f t="shared" si="10"/>
        <v>6.3001190111116046E-3</v>
      </c>
      <c r="J665" s="14">
        <f>IF(COUNT(B665)=0,"",B665-(INTERCEPT('3. Cleaned Data'!$B$4:$B$1041,'3. Cleaned Data'!$H$4:$H$1041)+SLOPE('3. Cleaned Data'!$B$4:$B$1041,'3. Cleaned Data'!$H$4:$H$1041)*H665))</f>
        <v>1.4921366674869319E-4</v>
      </c>
    </row>
    <row r="666" spans="1:10" x14ac:dyDescent="0.2">
      <c r="A666" s="12">
        <v>43291</v>
      </c>
      <c r="B666" s="13">
        <v>20.532087954000001</v>
      </c>
      <c r="C666" s="13">
        <v>169.58000200000001</v>
      </c>
      <c r="D666" s="13">
        <v>169.86999499999999</v>
      </c>
      <c r="E666" s="13">
        <v>167.570007</v>
      </c>
      <c r="F666" s="13">
        <v>168.53999300000001</v>
      </c>
      <c r="G666" s="13">
        <v>163.496353</v>
      </c>
      <c r="H666" s="13">
        <v>163.496353</v>
      </c>
      <c r="I666" s="14">
        <f t="shared" si="10"/>
        <v>-4.5477231866879464E-3</v>
      </c>
      <c r="J666" s="14">
        <f>IF(COUNT(B666)=0,"",B666-(INTERCEPT('3. Cleaned Data'!$B$4:$B$1041,'3. Cleaned Data'!$H$4:$H$1041)+SLOPE('3. Cleaned Data'!$B$4:$B$1041,'3. Cleaned Data'!$H$4:$H$1041)*H666))</f>
        <v>-3.522515231629697E-2</v>
      </c>
    </row>
    <row r="667" spans="1:10" x14ac:dyDescent="0.2">
      <c r="A667" s="12">
        <v>43292</v>
      </c>
      <c r="B667" s="13">
        <v>21.268327852799999</v>
      </c>
      <c r="C667" s="13">
        <v>167.61999499999999</v>
      </c>
      <c r="D667" s="13">
        <v>168.61000100000001</v>
      </c>
      <c r="E667" s="13">
        <v>167.050003</v>
      </c>
      <c r="F667" s="13">
        <v>167.11000100000001</v>
      </c>
      <c r="G667" s="13">
        <v>162.109116</v>
      </c>
      <c r="H667" s="13">
        <v>162.109116</v>
      </c>
      <c r="I667" s="14">
        <f t="shared" si="10"/>
        <v>-8.4848192301879566E-3</v>
      </c>
      <c r="J667" s="14">
        <f>IF(COUNT(B667)=0,"",B667-(INTERCEPT('3. Cleaned Data'!$B$4:$B$1041,'3. Cleaned Data'!$H$4:$H$1041)+SLOPE('3. Cleaned Data'!$B$4:$B$1041,'3. Cleaned Data'!$H$4:$H$1041)*H667))</f>
        <v>0.89077826354184708</v>
      </c>
    </row>
    <row r="668" spans="1:10" x14ac:dyDescent="0.2">
      <c r="A668" s="12">
        <v>43293</v>
      </c>
      <c r="B668" s="13">
        <v>20.2009523736</v>
      </c>
      <c r="C668" s="13">
        <v>168.070007</v>
      </c>
      <c r="D668" s="13">
        <v>168.25</v>
      </c>
      <c r="E668" s="13">
        <v>166.63999899999999</v>
      </c>
      <c r="F668" s="13">
        <v>167.91999799999999</v>
      </c>
      <c r="G668" s="13">
        <v>162.894882</v>
      </c>
      <c r="H668" s="13">
        <v>162.894882</v>
      </c>
      <c r="I668" s="14">
        <f t="shared" si="10"/>
        <v>4.8471425875888929E-3</v>
      </c>
      <c r="J668" s="14">
        <f>IF(COUNT(B668)=0,"",B668-(INTERCEPT('3. Cleaned Data'!$B$4:$B$1041,'3. Cleaned Data'!$H$4:$H$1041)+SLOPE('3. Cleaned Data'!$B$4:$B$1041,'3. Cleaned Data'!$H$4:$H$1041)*H668))</f>
        <v>-0.28408405442089446</v>
      </c>
    </row>
    <row r="669" spans="1:10" x14ac:dyDescent="0.2">
      <c r="A669" s="12">
        <v>43294</v>
      </c>
      <c r="B669" s="13">
        <v>19.637023320000001</v>
      </c>
      <c r="C669" s="13">
        <v>167.85000600000001</v>
      </c>
      <c r="D669" s="13">
        <v>168.729996</v>
      </c>
      <c r="E669" s="13">
        <v>167.41999799999999</v>
      </c>
      <c r="F669" s="13">
        <v>167.41999799999999</v>
      </c>
      <c r="G669" s="13">
        <v>162.40983600000001</v>
      </c>
      <c r="H669" s="13">
        <v>162.40983600000001</v>
      </c>
      <c r="I669" s="14">
        <f t="shared" si="10"/>
        <v>-2.9776626131199357E-3</v>
      </c>
      <c r="J669" s="14">
        <f>IF(COUNT(B669)=0,"",B669-(INTERCEPT('3. Cleaned Data'!$B$4:$B$1041,'3. Cleaned Data'!$H$4:$H$1041)+SLOPE('3. Cleaned Data'!$B$4:$B$1041,'3. Cleaned Data'!$H$4:$H$1041)*H669))</f>
        <v>-0.78166248812322436</v>
      </c>
    </row>
    <row r="670" spans="1:10" x14ac:dyDescent="0.2">
      <c r="A670" s="12">
        <v>43297</v>
      </c>
      <c r="B670" s="13">
        <v>20.010313093200001</v>
      </c>
      <c r="C670" s="13">
        <v>167.759995</v>
      </c>
      <c r="D670" s="13">
        <v>168.029999</v>
      </c>
      <c r="E670" s="15">
        <v>166.770004</v>
      </c>
      <c r="F670" s="13">
        <v>166.770004</v>
      </c>
      <c r="G670" s="13">
        <v>161.779312</v>
      </c>
      <c r="H670" s="13">
        <v>161.779312</v>
      </c>
      <c r="I670" s="14">
        <f t="shared" si="10"/>
        <v>-3.8823018083707916E-3</v>
      </c>
      <c r="J670" s="14">
        <f>IF(COUNT(B670)=0,"",B670-(INTERCEPT('3. Cleaned Data'!$B$4:$B$1041,'3. Cleaned Data'!$H$4:$H$1041)+SLOPE('3. Cleaned Data'!$B$4:$B$1041,'3. Cleaned Data'!$H$4:$H$1041)*H670))</f>
        <v>-0.32212180622516584</v>
      </c>
    </row>
    <row r="671" spans="1:10" x14ac:dyDescent="0.2">
      <c r="A671" s="12">
        <v>43298</v>
      </c>
      <c r="B671" s="13">
        <v>21.448342344</v>
      </c>
      <c r="C671" s="13">
        <v>166.75</v>
      </c>
      <c r="D671" s="13">
        <v>168</v>
      </c>
      <c r="E671" s="13">
        <v>166.58999600000001</v>
      </c>
      <c r="F671" s="13">
        <v>167.509995</v>
      </c>
      <c r="G671" s="13">
        <v>162.49714700000001</v>
      </c>
      <c r="H671" s="13">
        <v>162.49714700000001</v>
      </c>
      <c r="I671" s="14">
        <f t="shared" si="10"/>
        <v>4.43712481605818E-3</v>
      </c>
      <c r="J671" s="14">
        <f>IF(COUNT(B671)=0,"",B671-(INTERCEPT('3. Cleaned Data'!$B$4:$B$1041,'3. Cleaned Data'!$H$4:$H$1041)+SLOPE('3. Cleaned Data'!$B$4:$B$1041,'3. Cleaned Data'!$H$4:$H$1041)*H671))</f>
        <v>1.0177130522197899</v>
      </c>
    </row>
    <row r="672" spans="1:10" x14ac:dyDescent="0.2">
      <c r="A672" s="12">
        <v>43299</v>
      </c>
      <c r="B672" s="13">
        <v>20.387394768</v>
      </c>
      <c r="C672" s="13">
        <v>167.36000100000001</v>
      </c>
      <c r="D672" s="13">
        <v>168.05999800000001</v>
      </c>
      <c r="E672" s="13">
        <v>166.570007</v>
      </c>
      <c r="F672" s="13">
        <v>167.979996</v>
      </c>
      <c r="G672" s="13">
        <v>162.953079</v>
      </c>
      <c r="H672" s="13">
        <v>162.953079</v>
      </c>
      <c r="I672" s="14">
        <f t="shared" si="10"/>
        <v>2.8057846455604718E-3</v>
      </c>
      <c r="J672" s="14">
        <f>IF(COUNT(B672)=0,"",B672-(INTERCEPT('3. Cleaned Data'!$B$4:$B$1041,'3. Cleaned Data'!$H$4:$H$1041)+SLOPE('3. Cleaned Data'!$B$4:$B$1041,'3. Cleaned Data'!$H$4:$H$1041)*H672))</f>
        <v>-0.10560256893713316</v>
      </c>
    </row>
    <row r="673" spans="1:10" x14ac:dyDescent="0.2">
      <c r="A673" s="12">
        <v>43300</v>
      </c>
      <c r="B673" s="13">
        <v>20.3920023648</v>
      </c>
      <c r="C673" s="13">
        <v>167.770004</v>
      </c>
      <c r="D673" s="13">
        <v>169.25</v>
      </c>
      <c r="E673" s="13">
        <v>167.259995</v>
      </c>
      <c r="F673" s="13">
        <v>169.16999799999999</v>
      </c>
      <c r="G673" s="13">
        <v>164.10746800000001</v>
      </c>
      <c r="H673" s="13">
        <v>164.10746800000001</v>
      </c>
      <c r="I673" s="14">
        <f t="shared" si="10"/>
        <v>7.0841803486265675E-3</v>
      </c>
      <c r="J673" s="14">
        <f>IF(COUNT(B673)=0,"",B673-(INTERCEPT('3. Cleaned Data'!$B$4:$B$1041,'3. Cleaned Data'!$H$4:$H$1041)+SLOPE('3. Cleaned Data'!$B$4:$B$1041,'3. Cleaned Data'!$H$4:$H$1041)*H673))</f>
        <v>-0.25890664598467339</v>
      </c>
    </row>
    <row r="674" spans="1:10" x14ac:dyDescent="0.2">
      <c r="A674" s="12">
        <v>43301</v>
      </c>
      <c r="B674" s="13">
        <v>20.261205784800001</v>
      </c>
      <c r="C674" s="13">
        <v>168.800003</v>
      </c>
      <c r="D674" s="13">
        <v>169.30999800000001</v>
      </c>
      <c r="E674" s="13">
        <v>168.35000600000001</v>
      </c>
      <c r="F674" s="13">
        <v>168.479996</v>
      </c>
      <c r="G674" s="13">
        <v>163.43812600000001</v>
      </c>
      <c r="H674" s="13">
        <v>163.43812600000001</v>
      </c>
      <c r="I674" s="14">
        <f t="shared" si="10"/>
        <v>-4.0786809287679526E-3</v>
      </c>
      <c r="J674" s="14">
        <f>IF(COUNT(B674)=0,"",B674-(INTERCEPT('3. Cleaned Data'!$B$4:$B$1041,'3. Cleaned Data'!$H$4:$H$1041)+SLOPE('3. Cleaned Data'!$B$4:$B$1041,'3. Cleaned Data'!$H$4:$H$1041)*H674))</f>
        <v>-0.29814230882723081</v>
      </c>
    </row>
    <row r="675" spans="1:10" x14ac:dyDescent="0.2">
      <c r="A675" s="12">
        <v>43304</v>
      </c>
      <c r="B675" s="13">
        <v>20.27418561</v>
      </c>
      <c r="C675" s="13">
        <v>168.300003</v>
      </c>
      <c r="D675" s="13">
        <v>169.14999399999999</v>
      </c>
      <c r="E675" s="13">
        <v>167.80999800000001</v>
      </c>
      <c r="F675" s="13">
        <v>168.69000199999999</v>
      </c>
      <c r="G675" s="13">
        <v>163.64186100000001</v>
      </c>
      <c r="H675" s="13">
        <v>163.64186100000001</v>
      </c>
      <c r="I675" s="14">
        <f t="shared" si="10"/>
        <v>1.2465573669144803E-3</v>
      </c>
      <c r="J675" s="14">
        <f>IF(COUNT(B675)=0,"",B675-(INTERCEPT('3. Cleaned Data'!$B$4:$B$1041,'3. Cleaned Data'!$H$4:$H$1041)+SLOPE('3. Cleaned Data'!$B$4:$B$1041,'3. Cleaned Data'!$H$4:$H$1041)*H675))</f>
        <v>-0.31303188888951894</v>
      </c>
    </row>
    <row r="676" spans="1:10" x14ac:dyDescent="0.2">
      <c r="A676" s="12">
        <v>43305</v>
      </c>
      <c r="B676" s="13">
        <v>20.839617144000002</v>
      </c>
      <c r="C676" s="13">
        <v>169.449997</v>
      </c>
      <c r="D676" s="13">
        <v>169.759995</v>
      </c>
      <c r="E676" s="13">
        <v>166.220001</v>
      </c>
      <c r="F676" s="13">
        <v>166.88999899999999</v>
      </c>
      <c r="G676" s="13">
        <v>161.895737</v>
      </c>
      <c r="H676" s="13">
        <v>161.895737</v>
      </c>
      <c r="I676" s="14">
        <f t="shared" si="10"/>
        <v>-1.0670399305713119E-2</v>
      </c>
      <c r="J676" s="14">
        <f>IF(COUNT(B676)=0,"",B676-(INTERCEPT('3. Cleaned Data'!$B$4:$B$1041,'3. Cleaned Data'!$H$4:$H$1041)+SLOPE('3. Cleaned Data'!$B$4:$B$1041,'3. Cleaned Data'!$H$4:$H$1041)*H676))</f>
        <v>0.49125618617710742</v>
      </c>
    </row>
    <row r="677" spans="1:10" x14ac:dyDescent="0.2">
      <c r="A677" s="12">
        <v>43306</v>
      </c>
      <c r="B677" s="13">
        <v>20.214269337600001</v>
      </c>
      <c r="C677" s="13">
        <v>166.94000199999999</v>
      </c>
      <c r="D677" s="13">
        <v>167.5</v>
      </c>
      <c r="E677" s="13">
        <v>166.13999899999999</v>
      </c>
      <c r="F677" s="13">
        <v>167.5</v>
      </c>
      <c r="G677" s="13">
        <v>162.48744199999999</v>
      </c>
      <c r="H677" s="13">
        <v>162.48744199999999</v>
      </c>
      <c r="I677" s="14">
        <f t="shared" si="10"/>
        <v>3.6548522584012311E-3</v>
      </c>
      <c r="J677" s="14">
        <f>IF(COUNT(B677)=0,"",B677-(INTERCEPT('3. Cleaned Data'!$B$4:$B$1041,'3. Cleaned Data'!$H$4:$H$1041)+SLOPE('3. Cleaned Data'!$B$4:$B$1041,'3. Cleaned Data'!$H$4:$H$1041)*H677))</f>
        <v>-0.21503238366914701</v>
      </c>
    </row>
    <row r="678" spans="1:10" x14ac:dyDescent="0.2">
      <c r="A678" s="12">
        <v>43307</v>
      </c>
      <c r="B678" s="13">
        <v>20.725128743999999</v>
      </c>
      <c r="C678" s="13">
        <v>167.66000399999999</v>
      </c>
      <c r="D678" s="13">
        <v>169.36999499999999</v>
      </c>
      <c r="E678" s="13">
        <v>167.509995</v>
      </c>
      <c r="F678" s="13">
        <v>168.39999399999999</v>
      </c>
      <c r="G678" s="13">
        <v>163.360535</v>
      </c>
      <c r="H678" s="13">
        <v>163.360535</v>
      </c>
      <c r="I678" s="14">
        <f t="shared" si="10"/>
        <v>5.3732952482568042E-3</v>
      </c>
      <c r="J678" s="14">
        <f>IF(COUNT(B678)=0,"",B678-(INTERCEPT('3. Cleaned Data'!$B$4:$B$1041,'3. Cleaned Data'!$H$4:$H$1041)+SLOPE('3. Cleaned Data'!$B$4:$B$1041,'3. Cleaned Data'!$H$4:$H$1041)*H678))</f>
        <v>0.17639451163227804</v>
      </c>
    </row>
    <row r="679" spans="1:10" x14ac:dyDescent="0.2">
      <c r="A679" s="12">
        <v>43308</v>
      </c>
      <c r="B679" s="13">
        <v>20.6461965552</v>
      </c>
      <c r="C679" s="13">
        <v>168.5</v>
      </c>
      <c r="D679" s="13">
        <v>168.720001</v>
      </c>
      <c r="E679" s="13">
        <v>164.78999300000001</v>
      </c>
      <c r="F679" s="13">
        <v>165.259995</v>
      </c>
      <c r="G679" s="13">
        <v>160.31448399999999</v>
      </c>
      <c r="H679" s="13">
        <v>160.31448399999999</v>
      </c>
      <c r="I679" s="14">
        <f t="shared" si="10"/>
        <v>-1.8646186485616001E-2</v>
      </c>
      <c r="J679" s="14">
        <f>IF(COUNT(B679)=0,"",B679-(INTERCEPT('3. Cleaned Data'!$B$4:$B$1041,'3. Cleaned Data'!$H$4:$H$1041)+SLOPE('3. Cleaned Data'!$B$4:$B$1041,'3. Cleaned Data'!$H$4:$H$1041)*H679))</f>
        <v>0.51413903409249428</v>
      </c>
    </row>
    <row r="680" spans="1:10" x14ac:dyDescent="0.2">
      <c r="A680" s="12">
        <v>43311</v>
      </c>
      <c r="B680" s="13">
        <v>21.086032363200001</v>
      </c>
      <c r="C680" s="13">
        <v>165.25</v>
      </c>
      <c r="D680" s="13">
        <v>166.020004</v>
      </c>
      <c r="E680" s="13">
        <v>164.070007</v>
      </c>
      <c r="F680" s="13">
        <v>164.199997</v>
      </c>
      <c r="G680" s="13">
        <v>159.28620900000001</v>
      </c>
      <c r="H680" s="13">
        <v>159.28620900000001</v>
      </c>
      <c r="I680" s="14">
        <f t="shared" si="10"/>
        <v>-6.4141116531927223E-3</v>
      </c>
      <c r="J680" s="14">
        <f>IF(COUNT(B680)=0,"",B680-(INTERCEPT('3. Cleaned Data'!$B$4:$B$1041,'3. Cleaned Data'!$H$4:$H$1041)+SLOPE('3. Cleaned Data'!$B$4:$B$1041,'3. Cleaned Data'!$H$4:$H$1041)*H680))</f>
        <v>1.0946350757100838</v>
      </c>
    </row>
    <row r="681" spans="1:10" x14ac:dyDescent="0.2">
      <c r="A681" s="12">
        <v>43312</v>
      </c>
      <c r="B681" s="13">
        <v>19.701709510800001</v>
      </c>
      <c r="C681" s="13">
        <v>164.529999</v>
      </c>
      <c r="D681" s="13">
        <v>166.61999499999999</v>
      </c>
      <c r="E681" s="13">
        <v>164.38999899999999</v>
      </c>
      <c r="F681" s="13">
        <v>165.86999499999999</v>
      </c>
      <c r="G681" s="13">
        <v>160.90623500000001</v>
      </c>
      <c r="H681" s="13">
        <v>160.90623500000001</v>
      </c>
      <c r="I681" s="14">
        <f t="shared" si="10"/>
        <v>1.0170535228194222E-2</v>
      </c>
      <c r="J681" s="14">
        <f>IF(COUNT(B681)=0,"",B681-(INTERCEPT('3. Cleaned Data'!$B$4:$B$1041,'3. Cleaned Data'!$H$4:$H$1041)+SLOPE('3. Cleaned Data'!$B$4:$B$1041,'3. Cleaned Data'!$H$4:$H$1041)*H681))</f>
        <v>-0.51129506620543808</v>
      </c>
    </row>
    <row r="682" spans="1:10" x14ac:dyDescent="0.2">
      <c r="A682" s="12">
        <v>43313</v>
      </c>
      <c r="B682" s="13">
        <v>20.925671439599999</v>
      </c>
      <c r="C682" s="13">
        <v>165.699997</v>
      </c>
      <c r="D682" s="13">
        <v>166.240005</v>
      </c>
      <c r="E682" s="13">
        <v>164.5</v>
      </c>
      <c r="F682" s="13">
        <v>165.759995</v>
      </c>
      <c r="G682" s="13">
        <v>160.79951500000001</v>
      </c>
      <c r="H682" s="13">
        <v>160.79951500000001</v>
      </c>
      <c r="I682" s="14">
        <f t="shared" si="10"/>
        <v>-6.6324341005175036E-4</v>
      </c>
      <c r="J682" s="14">
        <f>IF(COUNT(B682)=0,"",B682-(INTERCEPT('3. Cleaned Data'!$B$4:$B$1041,'3. Cleaned Data'!$H$4:$H$1041)+SLOPE('3. Cleaned Data'!$B$4:$B$1041,'3. Cleaned Data'!$H$4:$H$1041)*H682))</f>
        <v>0.72726535048123253</v>
      </c>
    </row>
    <row r="683" spans="1:10" x14ac:dyDescent="0.2">
      <c r="A683" s="12">
        <v>43314</v>
      </c>
      <c r="B683" s="13">
        <v>21.257165524800001</v>
      </c>
      <c r="C683" s="13">
        <v>164.96000699999999</v>
      </c>
      <c r="D683" s="13">
        <v>167.21000699999999</v>
      </c>
      <c r="E683" s="13">
        <v>164.94000199999999</v>
      </c>
      <c r="F683" s="13">
        <v>166.970001</v>
      </c>
      <c r="G683" s="13">
        <v>161.97331199999999</v>
      </c>
      <c r="H683" s="13">
        <v>161.97331199999999</v>
      </c>
      <c r="I683" s="14">
        <f t="shared" si="10"/>
        <v>7.2997546043591655E-3</v>
      </c>
      <c r="J683" s="14">
        <f>IF(COUNT(B683)=0,"",B683-(INTERCEPT('3. Cleaned Data'!$B$4:$B$1041,'3. Cleaned Data'!$H$4:$H$1041)+SLOPE('3. Cleaned Data'!$B$4:$B$1041,'3. Cleaned Data'!$H$4:$H$1041)*H683))</f>
        <v>0.89819289439644123</v>
      </c>
    </row>
    <row r="684" spans="1:10" x14ac:dyDescent="0.2">
      <c r="A684" s="12">
        <v>43315</v>
      </c>
      <c r="B684" s="13">
        <v>21.132816057599999</v>
      </c>
      <c r="C684" s="13">
        <v>167.14999399999999</v>
      </c>
      <c r="D684" s="13">
        <v>167.679993</v>
      </c>
      <c r="E684" s="13">
        <v>165.61000100000001</v>
      </c>
      <c r="F684" s="13">
        <v>166.38999899999999</v>
      </c>
      <c r="G684" s="13">
        <v>161.41066000000001</v>
      </c>
      <c r="H684" s="13">
        <v>161.41066000000001</v>
      </c>
      <c r="I684" s="14">
        <f t="shared" si="10"/>
        <v>-3.4737327591349842E-3</v>
      </c>
      <c r="J684" s="14">
        <f>IF(COUNT(B684)=0,"",B684-(INTERCEPT('3. Cleaned Data'!$B$4:$B$1041,'3. Cleaned Data'!$H$4:$H$1041)+SLOPE('3. Cleaned Data'!$B$4:$B$1041,'3. Cleaned Data'!$H$4:$H$1041)*H684))</f>
        <v>0.85080996024003142</v>
      </c>
    </row>
    <row r="685" spans="1:10" x14ac:dyDescent="0.2">
      <c r="A685" s="12">
        <v>43318</v>
      </c>
      <c r="B685" s="13">
        <v>19.971581925599999</v>
      </c>
      <c r="C685" s="13">
        <v>166.270004</v>
      </c>
      <c r="D685" s="13">
        <v>167.509995</v>
      </c>
      <c r="E685" s="13">
        <v>165.89999399999999</v>
      </c>
      <c r="F685" s="13">
        <v>167.320007</v>
      </c>
      <c r="G685" s="13">
        <v>162.31286600000001</v>
      </c>
      <c r="H685" s="13">
        <v>162.31286600000001</v>
      </c>
      <c r="I685" s="14">
        <f t="shared" si="10"/>
        <v>5.5895069136078224E-3</v>
      </c>
      <c r="J685" s="14">
        <f>IF(COUNT(B685)=0,"",B685-(INTERCEPT('3. Cleaned Data'!$B$4:$B$1041,'3. Cleaned Data'!$H$4:$H$1041)+SLOPE('3. Cleaned Data'!$B$4:$B$1041,'3. Cleaned Data'!$H$4:$H$1041)*H685))</f>
        <v>-0.4338391208068586</v>
      </c>
    </row>
    <row r="686" spans="1:10" x14ac:dyDescent="0.2">
      <c r="A686" s="12">
        <v>43319</v>
      </c>
      <c r="B686" s="13">
        <v>21.074449435199998</v>
      </c>
      <c r="C686" s="13">
        <v>167.88999899999999</v>
      </c>
      <c r="D686" s="13">
        <v>168.490005</v>
      </c>
      <c r="E686" s="13">
        <v>167.60000600000001</v>
      </c>
      <c r="F686" s="13">
        <v>167.720001</v>
      </c>
      <c r="G686" s="13">
        <v>162.70086699999999</v>
      </c>
      <c r="H686" s="13">
        <v>162.70086699999999</v>
      </c>
      <c r="I686" s="14">
        <f t="shared" si="10"/>
        <v>2.3904512905339459E-3</v>
      </c>
      <c r="J686" s="14">
        <f>IF(COUNT(B686)=0,"",B686-(INTERCEPT('3. Cleaned Data'!$B$4:$B$1041,'3. Cleaned Data'!$H$4:$H$1041)+SLOPE('3. Cleaned Data'!$B$4:$B$1041,'3. Cleaned Data'!$H$4:$H$1041)*H686))</f>
        <v>0.61595279004391656</v>
      </c>
    </row>
    <row r="687" spans="1:10" x14ac:dyDescent="0.2">
      <c r="A687" s="12">
        <v>43320</v>
      </c>
      <c r="B687" s="13">
        <v>20.489309945999999</v>
      </c>
      <c r="C687" s="13">
        <v>167.720001</v>
      </c>
      <c r="D687" s="13">
        <v>167.990005</v>
      </c>
      <c r="E687" s="13">
        <v>166.490005</v>
      </c>
      <c r="F687" s="13">
        <v>167.570007</v>
      </c>
      <c r="G687" s="13">
        <v>162.55535900000001</v>
      </c>
      <c r="H687" s="13">
        <v>162.55535900000001</v>
      </c>
      <c r="I687" s="14">
        <f t="shared" si="10"/>
        <v>-8.9432836273684035E-4</v>
      </c>
      <c r="J687" s="14">
        <f>IF(COUNT(B687)=0,"",B687-(INTERCEPT('3. Cleaned Data'!$B$4:$B$1041,'3. Cleaned Data'!$H$4:$H$1041)+SLOPE('3. Cleaned Data'!$B$4:$B$1041,'3. Cleaned Data'!$H$4:$H$1041)*H687))</f>
        <v>5.071769341713761E-2</v>
      </c>
    </row>
    <row r="688" spans="1:10" x14ac:dyDescent="0.2">
      <c r="A688" s="12">
        <v>43321</v>
      </c>
      <c r="B688" s="13">
        <v>21.557183471999998</v>
      </c>
      <c r="C688" s="13">
        <v>167.64999399999999</v>
      </c>
      <c r="D688" s="13">
        <v>168.71000699999999</v>
      </c>
      <c r="E688" s="13">
        <v>167.550003</v>
      </c>
      <c r="F688" s="13">
        <v>168</v>
      </c>
      <c r="G688" s="13">
        <v>162.97251900000001</v>
      </c>
      <c r="H688" s="13">
        <v>162.97251900000001</v>
      </c>
      <c r="I688" s="14">
        <f t="shared" si="10"/>
        <v>2.5662642103359001E-3</v>
      </c>
      <c r="J688" s="14">
        <f>IF(COUNT(B688)=0,"",B688-(INTERCEPT('3. Cleaned Data'!$B$4:$B$1041,'3. Cleaned Data'!$H$4:$H$1041)+SLOPE('3. Cleaned Data'!$B$4:$B$1041,'3. Cleaned Data'!$H$4:$H$1041)*H688))</f>
        <v>1.0615268902679169</v>
      </c>
    </row>
    <row r="689" spans="1:10" x14ac:dyDescent="0.2">
      <c r="A689" s="12">
        <v>43322</v>
      </c>
      <c r="B689" s="13">
        <v>20.831286420000001</v>
      </c>
      <c r="C689" s="13">
        <v>167.050003</v>
      </c>
      <c r="D689" s="13">
        <v>168.66999799999999</v>
      </c>
      <c r="E689" s="13">
        <v>166.96000699999999</v>
      </c>
      <c r="F689" s="13">
        <v>167.529999</v>
      </c>
      <c r="G689" s="13">
        <v>162.51655600000001</v>
      </c>
      <c r="H689" s="13">
        <v>162.51655600000001</v>
      </c>
      <c r="I689" s="14">
        <f t="shared" si="10"/>
        <v>-2.7977907121874424E-3</v>
      </c>
      <c r="J689" s="14">
        <f>IF(COUNT(B689)=0,"",B689-(INTERCEPT('3. Cleaned Data'!$B$4:$B$1041,'3. Cleaned Data'!$H$4:$H$1041)+SLOPE('3. Cleaned Data'!$B$4:$B$1041,'3. Cleaned Data'!$H$4:$H$1041)*H689))</f>
        <v>0.39800212399010348</v>
      </c>
    </row>
    <row r="690" spans="1:10" x14ac:dyDescent="0.2">
      <c r="A690" s="12">
        <v>43325</v>
      </c>
      <c r="B690" s="13">
        <v>20.871887652000002</v>
      </c>
      <c r="C690" s="13">
        <v>167.740005</v>
      </c>
      <c r="D690" s="13">
        <v>168.050003</v>
      </c>
      <c r="E690" s="13">
        <v>165.88000500000001</v>
      </c>
      <c r="F690" s="13">
        <v>166.550003</v>
      </c>
      <c r="G690" s="13">
        <v>161.56587200000001</v>
      </c>
      <c r="H690" s="13">
        <v>161.56587200000001</v>
      </c>
      <c r="I690" s="14">
        <f t="shared" si="10"/>
        <v>-5.8497670846532346E-3</v>
      </c>
      <c r="J690" s="14">
        <f>IF(COUNT(B690)=0,"",B690-(INTERCEPT('3. Cleaned Data'!$B$4:$B$1041,'3. Cleaned Data'!$H$4:$H$1041)+SLOPE('3. Cleaned Data'!$B$4:$B$1041,'3. Cleaned Data'!$H$4:$H$1041)*H690))</f>
        <v>0.56864972834818417</v>
      </c>
    </row>
    <row r="691" spans="1:10" x14ac:dyDescent="0.2">
      <c r="A691" s="12">
        <v>43326</v>
      </c>
      <c r="B691" s="13">
        <v>21.122490086399999</v>
      </c>
      <c r="C691" s="13">
        <v>166.91000399999999</v>
      </c>
      <c r="D691" s="13">
        <v>168.60000600000001</v>
      </c>
      <c r="E691" s="13">
        <v>166.88999899999999</v>
      </c>
      <c r="F691" s="13">
        <v>168.199997</v>
      </c>
      <c r="G691" s="13">
        <v>163.16651899999999</v>
      </c>
      <c r="H691" s="13">
        <v>163.16651899999999</v>
      </c>
      <c r="I691" s="14">
        <f t="shared" si="10"/>
        <v>9.9070860707513031E-3</v>
      </c>
      <c r="J691" s="14">
        <f>IF(COUNT(B691)=0,"",B691-(INTERCEPT('3. Cleaned Data'!$B$4:$B$1041,'3. Cleaned Data'!$H$4:$H$1041)+SLOPE('3. Cleaned Data'!$B$4:$B$1041,'3. Cleaned Data'!$H$4:$H$1041)*H691))</f>
        <v>0.60029577368952047</v>
      </c>
    </row>
    <row r="692" spans="1:10" x14ac:dyDescent="0.2">
      <c r="A692" s="12">
        <v>43327</v>
      </c>
      <c r="B692" s="13">
        <v>20.462338687199999</v>
      </c>
      <c r="C692" s="13">
        <v>167.699997</v>
      </c>
      <c r="D692" s="13">
        <v>167.820007</v>
      </c>
      <c r="E692" s="13">
        <v>165.14999399999999</v>
      </c>
      <c r="F692" s="13">
        <v>166.08999600000001</v>
      </c>
      <c r="G692" s="13">
        <v>161.11964399999999</v>
      </c>
      <c r="H692" s="13">
        <v>161.11964399999999</v>
      </c>
      <c r="I692" s="14">
        <f t="shared" si="10"/>
        <v>-1.2544699810627225E-2</v>
      </c>
      <c r="J692" s="14">
        <f>IF(COUNT(B692)=0,"",B692-(INTERCEPT('3. Cleaned Data'!$B$4:$B$1041,'3. Cleaned Data'!$H$4:$H$1041)+SLOPE('3. Cleaned Data'!$B$4:$B$1041,'3. Cleaned Data'!$H$4:$H$1041)*H692))</f>
        <v>0.22014137498647557</v>
      </c>
    </row>
    <row r="693" spans="1:10" x14ac:dyDescent="0.2">
      <c r="A693" s="12">
        <v>43328</v>
      </c>
      <c r="B693" s="13">
        <v>20.573843932799999</v>
      </c>
      <c r="C693" s="13">
        <v>166.86000100000001</v>
      </c>
      <c r="D693" s="13">
        <v>168.16999799999999</v>
      </c>
      <c r="E693" s="13">
        <v>166.69000199999999</v>
      </c>
      <c r="F693" s="13">
        <v>167.63000500000001</v>
      </c>
      <c r="G693" s="13">
        <v>162.61357100000001</v>
      </c>
      <c r="H693" s="13">
        <v>162.61357100000001</v>
      </c>
      <c r="I693" s="14">
        <f t="shared" si="10"/>
        <v>9.2721592656945795E-3</v>
      </c>
      <c r="J693" s="14">
        <f>IF(COUNT(B693)=0,"",B693-(INTERCEPT('3. Cleaned Data'!$B$4:$B$1041,'3. Cleaned Data'!$H$4:$H$1041)+SLOPE('3. Cleaned Data'!$B$4:$B$1041,'3. Cleaned Data'!$H$4:$H$1041)*H693))</f>
        <v>0.12728871941448361</v>
      </c>
    </row>
    <row r="694" spans="1:10" x14ac:dyDescent="0.2">
      <c r="A694" s="12">
        <v>43329</v>
      </c>
      <c r="B694" s="13">
        <v>21.604009089600002</v>
      </c>
      <c r="C694" s="13">
        <v>167.470001</v>
      </c>
      <c r="D694" s="13">
        <v>168.470001</v>
      </c>
      <c r="E694" s="13">
        <v>166.929993</v>
      </c>
      <c r="F694" s="13">
        <v>168.35000600000001</v>
      </c>
      <c r="G694" s="13">
        <v>163.31199599999999</v>
      </c>
      <c r="H694" s="13">
        <v>163.31199599999999</v>
      </c>
      <c r="I694" s="14">
        <f t="shared" si="10"/>
        <v>4.294998232343028E-3</v>
      </c>
      <c r="J694" s="14">
        <f>IF(COUNT(B694)=0,"",B694-(INTERCEPT('3. Cleaned Data'!$B$4:$B$1041,'3. Cleaned Data'!$H$4:$H$1041)+SLOPE('3. Cleaned Data'!$B$4:$B$1041,'3. Cleaned Data'!$H$4:$H$1041)*H694))</f>
        <v>1.0619146248815632</v>
      </c>
    </row>
    <row r="695" spans="1:10" x14ac:dyDescent="0.2">
      <c r="A695" s="12">
        <v>43332</v>
      </c>
      <c r="B695" s="13">
        <v>21.023450658000002</v>
      </c>
      <c r="C695" s="13">
        <v>168.80999800000001</v>
      </c>
      <c r="D695" s="13">
        <v>169.179993</v>
      </c>
      <c r="E695" s="13">
        <v>167.83000200000001</v>
      </c>
      <c r="F695" s="13">
        <v>168.820007</v>
      </c>
      <c r="G695" s="13">
        <v>163.76797500000001</v>
      </c>
      <c r="H695" s="13">
        <v>163.76797500000001</v>
      </c>
      <c r="I695" s="14">
        <f t="shared" si="10"/>
        <v>2.7920729105535003E-3</v>
      </c>
      <c r="J695" s="14">
        <f>IF(COUNT(B695)=0,"",B695-(INTERCEPT('3. Cleaned Data'!$B$4:$B$1041,'3. Cleaned Data'!$H$4:$H$1041)+SLOPE('3. Cleaned Data'!$B$4:$B$1041,'3. Cleaned Data'!$H$4:$H$1041)*H695))</f>
        <v>0.41898171888053426</v>
      </c>
    </row>
    <row r="696" spans="1:10" x14ac:dyDescent="0.2">
      <c r="A696" s="12">
        <v>43333</v>
      </c>
      <c r="B696" s="13">
        <v>20.883759187199999</v>
      </c>
      <c r="C696" s="13">
        <v>169.13999899999999</v>
      </c>
      <c r="D696" s="13">
        <v>171.36000100000001</v>
      </c>
      <c r="E696" s="13">
        <v>169.11999499999999</v>
      </c>
      <c r="F696" s="13">
        <v>170.759995</v>
      </c>
      <c r="G696" s="13">
        <v>165.649902</v>
      </c>
      <c r="H696" s="13">
        <v>165.649902</v>
      </c>
      <c r="I696" s="14">
        <f t="shared" si="10"/>
        <v>1.149142254460922E-2</v>
      </c>
      <c r="J696" s="14">
        <f>IF(COUNT(B696)=0,"",B696-(INTERCEPT('3. Cleaned Data'!$B$4:$B$1041,'3. Cleaned Data'!$H$4:$H$1041)+SLOPE('3. Cleaned Data'!$B$4:$B$1041,'3. Cleaned Data'!$H$4:$H$1041)*H696))</f>
        <v>2.1856884951748867E-2</v>
      </c>
    </row>
    <row r="697" spans="1:10" x14ac:dyDescent="0.2">
      <c r="A697" s="12">
        <v>43334</v>
      </c>
      <c r="B697" s="13">
        <v>21.067455276</v>
      </c>
      <c r="C697" s="13">
        <v>170.58999600000001</v>
      </c>
      <c r="D697" s="13">
        <v>171.490005</v>
      </c>
      <c r="E697" s="13">
        <v>170.41999799999999</v>
      </c>
      <c r="F697" s="13">
        <v>171.179993</v>
      </c>
      <c r="G697" s="13">
        <v>166.057312</v>
      </c>
      <c r="H697" s="13">
        <v>166.057312</v>
      </c>
      <c r="I697" s="14">
        <f t="shared" si="10"/>
        <v>2.4594641776485293E-3</v>
      </c>
      <c r="J697" s="14">
        <f>IF(COUNT(B697)=0,"",B697-(INTERCEPT('3. Cleaned Data'!$B$4:$B$1041,'3. Cleaned Data'!$H$4:$H$1041)+SLOPE('3. Cleaned Data'!$B$4:$B$1041,'3. Cleaned Data'!$H$4:$H$1041)*H697))</f>
        <v>0.149822370772835</v>
      </c>
    </row>
    <row r="698" spans="1:10" x14ac:dyDescent="0.2">
      <c r="A698" s="12">
        <v>43335</v>
      </c>
      <c r="B698" s="13">
        <v>20.463683123999999</v>
      </c>
      <c r="C698" s="13">
        <v>171.08999600000001</v>
      </c>
      <c r="D698" s="13">
        <v>171.520004</v>
      </c>
      <c r="E698" s="13">
        <v>170.179993</v>
      </c>
      <c r="F698" s="13">
        <v>170.66000399999999</v>
      </c>
      <c r="G698" s="13">
        <v>165.55290199999999</v>
      </c>
      <c r="H698" s="13">
        <v>165.55290199999999</v>
      </c>
      <c r="I698" s="14">
        <f t="shared" si="10"/>
        <v>-3.0375657291140667E-3</v>
      </c>
      <c r="J698" s="14">
        <f>IF(COUNT(B698)=0,"",B698-(INTERCEPT('3. Cleaned Data'!$B$4:$B$1041,'3. Cleaned Data'!$H$4:$H$1041)+SLOPE('3. Cleaned Data'!$B$4:$B$1041,'3. Cleaned Data'!$H$4:$H$1041)*H698))</f>
        <v>-0.38495031275905234</v>
      </c>
    </row>
    <row r="699" spans="1:10" x14ac:dyDescent="0.2">
      <c r="A699" s="12">
        <v>43336</v>
      </c>
      <c r="B699" s="13">
        <v>21.6555516576</v>
      </c>
      <c r="C699" s="13">
        <v>171.14999399999999</v>
      </c>
      <c r="D699" s="13">
        <v>171.779999</v>
      </c>
      <c r="E699" s="13">
        <v>171.020004</v>
      </c>
      <c r="F699" s="13">
        <v>171.58999600000001</v>
      </c>
      <c r="G699" s="13">
        <v>166.45504800000001</v>
      </c>
      <c r="H699" s="13">
        <v>166.45504800000001</v>
      </c>
      <c r="I699" s="14">
        <f t="shared" si="10"/>
        <v>5.4492913691117639E-3</v>
      </c>
      <c r="J699" s="14">
        <f>IF(COUNT(B699)=0,"",B699-(INTERCEPT('3. Cleaned Data'!$B$4:$B$1041,'3. Cleaned Data'!$H$4:$H$1041)+SLOPE('3. Cleaned Data'!$B$4:$B$1041,'3. Cleaned Data'!$H$4:$H$1041)*H699))</f>
        <v>0.68351147933971745</v>
      </c>
    </row>
    <row r="700" spans="1:10" x14ac:dyDescent="0.2">
      <c r="A700" s="12">
        <v>43339</v>
      </c>
      <c r="B700" s="13">
        <v>20.197864617600001</v>
      </c>
      <c r="C700" s="13">
        <v>172.11000100000001</v>
      </c>
      <c r="D700" s="13">
        <v>172.94000199999999</v>
      </c>
      <c r="E700" s="13">
        <v>171.61999499999999</v>
      </c>
      <c r="F700" s="13">
        <v>171.83999600000001</v>
      </c>
      <c r="G700" s="13">
        <v>166.69760099999999</v>
      </c>
      <c r="H700" s="13">
        <v>166.69760099999999</v>
      </c>
      <c r="I700" s="14">
        <f t="shared" si="10"/>
        <v>1.4571681839290473E-3</v>
      </c>
      <c r="J700" s="14">
        <f>IF(COUNT(B700)=0,"",B700-(INTERCEPT('3. Cleaned Data'!$B$4:$B$1041,'3. Cleaned Data'!$H$4:$H$1041)+SLOPE('3. Cleaned Data'!$B$4:$B$1041,'3. Cleaned Data'!$H$4:$H$1041)*H700))</f>
        <v>-0.8073549743819477</v>
      </c>
    </row>
    <row r="701" spans="1:10" x14ac:dyDescent="0.2">
      <c r="A701" s="12">
        <v>43340</v>
      </c>
      <c r="B701" s="13">
        <v>19.862856480000001</v>
      </c>
      <c r="C701" s="13">
        <v>172.16000399999999</v>
      </c>
      <c r="D701" s="13">
        <v>172.479996</v>
      </c>
      <c r="E701" s="13">
        <v>171.10000600000001</v>
      </c>
      <c r="F701" s="13">
        <v>172</v>
      </c>
      <c r="G701" s="13">
        <v>166.85278299999999</v>
      </c>
      <c r="H701" s="13">
        <v>166.85278299999999</v>
      </c>
      <c r="I701" s="14">
        <f t="shared" si="10"/>
        <v>9.3091921580801262E-4</v>
      </c>
      <c r="J701" s="14">
        <f>IF(COUNT(B701)=0,"",B701-(INTERCEPT('3. Cleaned Data'!$B$4:$B$1041,'3. Cleaned Data'!$H$4:$H$1041)+SLOPE('3. Cleaned Data'!$B$4:$B$1041,'3. Cleaned Data'!$H$4:$H$1041)*H701))</f>
        <v>-1.1635908345009653</v>
      </c>
    </row>
    <row r="702" spans="1:10" x14ac:dyDescent="0.2">
      <c r="A702" s="12">
        <v>43341</v>
      </c>
      <c r="B702" s="13">
        <v>21.440569492800002</v>
      </c>
      <c r="C702" s="13">
        <v>172.020004</v>
      </c>
      <c r="D702" s="13">
        <v>172.770004</v>
      </c>
      <c r="E702" s="13">
        <v>171.46000699999999</v>
      </c>
      <c r="F702" s="13">
        <v>172.5</v>
      </c>
      <c r="G702" s="13">
        <v>167.33781400000001</v>
      </c>
      <c r="H702" s="13">
        <v>167.33781400000001</v>
      </c>
      <c r="I702" s="14">
        <f t="shared" si="10"/>
        <v>2.906939826110122E-3</v>
      </c>
      <c r="J702" s="14">
        <f>IF(COUNT(B702)=0,"",B702-(INTERCEPT('3. Cleaned Data'!$B$4:$B$1041,'3. Cleaned Data'!$H$4:$H$1041)+SLOPE('3. Cleaned Data'!$B$4:$B$1041,'3. Cleaned Data'!$H$4:$H$1041)*H702))</f>
        <v>0.34777361028777776</v>
      </c>
    </row>
    <row r="703" spans="1:10" x14ac:dyDescent="0.2">
      <c r="A703" s="12">
        <v>43342</v>
      </c>
      <c r="B703" s="13">
        <v>20.870662931999998</v>
      </c>
      <c r="C703" s="13">
        <v>172.16999799999999</v>
      </c>
      <c r="D703" s="13">
        <v>173.229996</v>
      </c>
      <c r="E703" s="13">
        <v>171.820007</v>
      </c>
      <c r="F703" s="13">
        <v>172.36000100000001</v>
      </c>
      <c r="G703" s="13">
        <v>167.20202599999999</v>
      </c>
      <c r="H703" s="13">
        <v>167.20202599999999</v>
      </c>
      <c r="I703" s="14">
        <f t="shared" si="10"/>
        <v>-8.1146034332690853E-4</v>
      </c>
      <c r="J703" s="14">
        <f>IF(COUNT(B703)=0,"",B703-(INTERCEPT('3. Cleaned Data'!$B$4:$B$1041,'3. Cleaned Data'!$H$4:$H$1041)+SLOPE('3. Cleaned Data'!$B$4:$B$1041,'3. Cleaned Data'!$H$4:$H$1041)*H703))</f>
        <v>-0.20355818033647566</v>
      </c>
    </row>
    <row r="704" spans="1:10" x14ac:dyDescent="0.2">
      <c r="A704" s="12">
        <v>43343</v>
      </c>
      <c r="B704" s="13">
        <v>20.705795011199999</v>
      </c>
      <c r="C704" s="13">
        <v>171.96000699999999</v>
      </c>
      <c r="D704" s="13">
        <v>173.38999899999999</v>
      </c>
      <c r="E704" s="13">
        <v>171.949997</v>
      </c>
      <c r="F704" s="13">
        <v>172.020004</v>
      </c>
      <c r="G704" s="13">
        <v>168.84227000000001</v>
      </c>
      <c r="H704" s="13">
        <v>168.84227000000001</v>
      </c>
      <c r="I704" s="14">
        <f t="shared" si="10"/>
        <v>9.8099529009296749E-3</v>
      </c>
      <c r="J704" s="14">
        <f>IF(COUNT(B704)=0,"",B704-(INTERCEPT('3. Cleaned Data'!$B$4:$B$1041,'3. Cleaned Data'!$H$4:$H$1041)+SLOPE('3. Cleaned Data'!$B$4:$B$1041,'3. Cleaned Data'!$H$4:$H$1041)*H704))</f>
        <v>-0.59279905995571625</v>
      </c>
    </row>
    <row r="705" spans="1:10" x14ac:dyDescent="0.2">
      <c r="A705" s="12">
        <v>43347</v>
      </c>
      <c r="B705" s="13">
        <v>20.457542636399999</v>
      </c>
      <c r="C705" s="13">
        <v>172.78999300000001</v>
      </c>
      <c r="D705" s="13">
        <v>173.11999499999999</v>
      </c>
      <c r="E705" s="13">
        <v>171.11999499999999</v>
      </c>
      <c r="F705" s="13">
        <v>172.25</v>
      </c>
      <c r="G705" s="13">
        <v>167.09530599999999</v>
      </c>
      <c r="H705" s="13">
        <v>167.09530599999999</v>
      </c>
      <c r="I705" s="14">
        <f t="shared" si="10"/>
        <v>-1.0346721825050254E-2</v>
      </c>
      <c r="J705" s="14">
        <f>IF(COUNT(B705)=0,"",B705-(INTERCEPT('3. Cleaned Data'!$B$4:$B$1041,'3. Cleaned Data'!$H$4:$H$1041)+SLOPE('3. Cleaned Data'!$B$4:$B$1041,'3. Cleaned Data'!$H$4:$H$1041)*H705))</f>
        <v>-0.60207998804980178</v>
      </c>
    </row>
    <row r="706" spans="1:10" x14ac:dyDescent="0.2">
      <c r="A706" s="12">
        <v>43348</v>
      </c>
      <c r="B706" s="13">
        <v>21.455656099199999</v>
      </c>
      <c r="C706" s="13">
        <v>172.179993</v>
      </c>
      <c r="D706" s="13">
        <v>172.229996</v>
      </c>
      <c r="E706" s="13">
        <v>170.36000100000001</v>
      </c>
      <c r="F706" s="13">
        <v>171.78999300000001</v>
      </c>
      <c r="G706" s="13">
        <v>166.64904799999999</v>
      </c>
      <c r="H706" s="13">
        <v>166.64904799999999</v>
      </c>
      <c r="I706" s="14">
        <f t="shared" si="10"/>
        <v>-2.6706794504448572E-3</v>
      </c>
      <c r="J706" s="14">
        <f>IF(COUNT(B706)=0,"",B706-(INTERCEPT('3. Cleaned Data'!$B$4:$B$1041,'3. Cleaned Data'!$H$4:$H$1041)+SLOPE('3. Cleaned Data'!$B$4:$B$1041,'3. Cleaned Data'!$H$4:$H$1041)*H706))</f>
        <v>0.45707818996131877</v>
      </c>
    </row>
    <row r="707" spans="1:10" x14ac:dyDescent="0.2">
      <c r="A707" s="12">
        <v>43349</v>
      </c>
      <c r="B707" s="13">
        <v>21.346674367199999</v>
      </c>
      <c r="C707" s="13">
        <v>172.16999799999999</v>
      </c>
      <c r="D707" s="13">
        <v>172.479996</v>
      </c>
      <c r="E707" s="13">
        <v>170.41999799999999</v>
      </c>
      <c r="F707" s="13">
        <v>170.63000500000001</v>
      </c>
      <c r="G707" s="13">
        <v>165.52380400000001</v>
      </c>
      <c r="H707" s="13">
        <v>165.52380400000001</v>
      </c>
      <c r="I707" s="14">
        <f t="shared" si="10"/>
        <v>-6.752177786218061E-3</v>
      </c>
      <c r="J707" s="14">
        <f>IF(COUNT(B707)=0,"",B707-(INTERCEPT('3. Cleaned Data'!$B$4:$B$1041,'3. Cleaned Data'!$H$4:$H$1041)+SLOPE('3. Cleaned Data'!$B$4:$B$1041,'3. Cleaned Data'!$H$4:$H$1041)*H707))</f>
        <v>0.50202131650284798</v>
      </c>
    </row>
    <row r="708" spans="1:10" x14ac:dyDescent="0.2">
      <c r="A708" s="12">
        <v>43350</v>
      </c>
      <c r="B708" s="13">
        <v>21.712124807999999</v>
      </c>
      <c r="C708" s="13">
        <v>170.21000699999999</v>
      </c>
      <c r="D708" s="13">
        <v>171.449997</v>
      </c>
      <c r="E708" s="13">
        <v>169.66000399999999</v>
      </c>
      <c r="F708" s="13">
        <v>170.53999300000001</v>
      </c>
      <c r="G708" s="13">
        <v>165.43649300000001</v>
      </c>
      <c r="H708" s="13">
        <v>165.43649300000001</v>
      </c>
      <c r="I708" s="14">
        <f t="shared" si="10"/>
        <v>-5.2748304407024271E-4</v>
      </c>
      <c r="J708" s="14">
        <f>IF(COUNT(B708)=0,"",B708-(INTERCEPT('3. Cleaned Data'!$B$4:$B$1041,'3. Cleaned Data'!$H$4:$H$1041)+SLOPE('3. Cleaned Data'!$B$4:$B$1041,'3. Cleaned Data'!$H$4:$H$1041)*H708))</f>
        <v>0.87941524095983326</v>
      </c>
    </row>
    <row r="709" spans="1:10" x14ac:dyDescent="0.2">
      <c r="A709" s="12">
        <v>43353</v>
      </c>
      <c r="B709" s="13">
        <v>20.217368102399998</v>
      </c>
      <c r="C709" s="13">
        <v>171.25</v>
      </c>
      <c r="D709" s="13">
        <v>171.679993</v>
      </c>
      <c r="E709" s="13">
        <v>170.38999899999999</v>
      </c>
      <c r="F709" s="13">
        <v>170.75</v>
      </c>
      <c r="G709" s="13">
        <v>165.64018200000001</v>
      </c>
      <c r="H709" s="13">
        <v>165.64018200000001</v>
      </c>
      <c r="I709" s="14">
        <f t="shared" ref="I709:I772" si="11">H709/H708-1</f>
        <v>1.2312216990721936E-3</v>
      </c>
      <c r="J709" s="14">
        <f>IF(COUNT(B709)=0,"",B709-(INTERCEPT('3. Cleaned Data'!$B$4:$B$1041,'3. Cleaned Data'!$H$4:$H$1041)+SLOPE('3. Cleaned Data'!$B$4:$B$1041,'3. Cleaned Data'!$H$4:$H$1041)*H709))</f>
        <v>-0.6432045774507813</v>
      </c>
    </row>
    <row r="710" spans="1:10" x14ac:dyDescent="0.2">
      <c r="A710" s="12">
        <v>43354</v>
      </c>
      <c r="B710" s="13">
        <v>21.328676351999999</v>
      </c>
      <c r="C710" s="13">
        <v>170.60000600000001</v>
      </c>
      <c r="D710" s="13">
        <v>171.60000600000001</v>
      </c>
      <c r="E710" s="13">
        <v>170</v>
      </c>
      <c r="F710" s="13">
        <v>171.029999</v>
      </c>
      <c r="G710" s="13">
        <v>165.91181900000001</v>
      </c>
      <c r="H710" s="13">
        <v>165.91181900000001</v>
      </c>
      <c r="I710" s="14">
        <f t="shared" si="11"/>
        <v>1.6399221295229083E-3</v>
      </c>
      <c r="J710" s="14">
        <f>IF(COUNT(B710)=0,"",B710-(INTERCEPT('3. Cleaned Data'!$B$4:$B$1041,'3. Cleaned Data'!$H$4:$H$1041)+SLOPE('3. Cleaned Data'!$B$4:$B$1041,'3. Cleaned Data'!$H$4:$H$1041)*H710))</f>
        <v>0.43094578745963474</v>
      </c>
    </row>
    <row r="711" spans="1:10" x14ac:dyDescent="0.2">
      <c r="A711" s="12">
        <v>43355</v>
      </c>
      <c r="B711" s="13">
        <v>21.526058448000001</v>
      </c>
      <c r="C711" s="13">
        <v>170.78999300000001</v>
      </c>
      <c r="D711" s="13">
        <v>171.08999600000001</v>
      </c>
      <c r="E711" s="13">
        <v>169.33000200000001</v>
      </c>
      <c r="F711" s="13">
        <v>170.61999499999999</v>
      </c>
      <c r="G711" s="13">
        <v>165.51409899999999</v>
      </c>
      <c r="H711" s="13">
        <v>165.51409899999999</v>
      </c>
      <c r="I711" s="14">
        <f t="shared" si="11"/>
        <v>-2.397177020884933E-3</v>
      </c>
      <c r="J711" s="14">
        <f>IF(COUNT(B711)=0,"",B711-(INTERCEPT('3. Cleaned Data'!$B$4:$B$1041,'3. Cleaned Data'!$H$4:$H$1041)+SLOPE('3. Cleaned Data'!$B$4:$B$1041,'3. Cleaned Data'!$H$4:$H$1041)*H711))</f>
        <v>0.68273296781391224</v>
      </c>
    </row>
    <row r="712" spans="1:10" x14ac:dyDescent="0.2">
      <c r="A712" s="12">
        <v>43356</v>
      </c>
      <c r="B712" s="13">
        <v>19.836077280000001</v>
      </c>
      <c r="C712" s="13">
        <v>171.279999</v>
      </c>
      <c r="D712" s="13">
        <v>171.53999300000001</v>
      </c>
      <c r="E712" s="13">
        <v>170.259995</v>
      </c>
      <c r="F712" s="13">
        <v>170.66000399999999</v>
      </c>
      <c r="G712" s="13">
        <v>165.55290199999999</v>
      </c>
      <c r="H712" s="13">
        <v>165.55290199999999</v>
      </c>
      <c r="I712" s="14">
        <f t="shared" si="11"/>
        <v>2.3443924254462623E-4</v>
      </c>
      <c r="J712" s="14">
        <f>IF(COUNT(B712)=0,"",B712-(INTERCEPT('3. Cleaned Data'!$B$4:$B$1041,'3. Cleaned Data'!$H$4:$H$1041)+SLOPE('3. Cleaned Data'!$B$4:$B$1041,'3. Cleaned Data'!$H$4:$H$1041)*H712))</f>
        <v>-1.0125561567590502</v>
      </c>
    </row>
    <row r="713" spans="1:10" x14ac:dyDescent="0.2">
      <c r="A713" s="12">
        <v>43357</v>
      </c>
      <c r="B713" s="13">
        <v>20.750880653999999</v>
      </c>
      <c r="C713" s="13">
        <v>170.770004</v>
      </c>
      <c r="D713" s="13">
        <v>171.929993</v>
      </c>
      <c r="E713" s="13">
        <v>170.39999399999999</v>
      </c>
      <c r="F713" s="13">
        <v>171.38000500000001</v>
      </c>
      <c r="G713" s="13">
        <v>166.25135800000001</v>
      </c>
      <c r="H713" s="13">
        <v>166.25135800000001</v>
      </c>
      <c r="I713" s="14">
        <f t="shared" si="11"/>
        <v>4.218929366759383E-3</v>
      </c>
      <c r="J713" s="14">
        <f>IF(COUNT(B713)=0,"",B713-(INTERCEPT('3. Cleaned Data'!$B$4:$B$1041,'3. Cleaned Data'!$H$4:$H$1041)+SLOPE('3. Cleaned Data'!$B$4:$B$1041,'3. Cleaned Data'!$H$4:$H$1041)*H713))</f>
        <v>-0.19329627465724286</v>
      </c>
    </row>
    <row r="714" spans="1:10" x14ac:dyDescent="0.2">
      <c r="A714" s="12">
        <v>43360</v>
      </c>
      <c r="B714" s="13">
        <v>21.376451707200001</v>
      </c>
      <c r="C714" s="13">
        <v>171.41999799999999</v>
      </c>
      <c r="D714" s="13">
        <v>171.53999300000001</v>
      </c>
      <c r="E714" s="13">
        <v>169.35000600000001</v>
      </c>
      <c r="F714" s="13">
        <v>169.55999800000001</v>
      </c>
      <c r="G714" s="13">
        <v>164.485794</v>
      </c>
      <c r="H714" s="13">
        <v>164.485794</v>
      </c>
      <c r="I714" s="14">
        <f t="shared" si="11"/>
        <v>-1.0619847087203982E-2</v>
      </c>
      <c r="J714" s="14">
        <f>IF(COUNT(B714)=0,"",B714-(INTERCEPT('3. Cleaned Data'!$B$4:$B$1041,'3. Cleaned Data'!$H$4:$H$1041)+SLOPE('3. Cleaned Data'!$B$4:$B$1041,'3. Cleaned Data'!$H$4:$H$1041)*H714))</f>
        <v>0.67379056440433516</v>
      </c>
    </row>
    <row r="715" spans="1:10" x14ac:dyDescent="0.2">
      <c r="A715" s="12">
        <v>43361</v>
      </c>
      <c r="B715" s="13">
        <v>21.181064932799998</v>
      </c>
      <c r="C715" s="13">
        <v>169.800003</v>
      </c>
      <c r="D715" s="13">
        <v>170.71000699999999</v>
      </c>
      <c r="E715" s="13">
        <v>169.63000500000001</v>
      </c>
      <c r="F715" s="13">
        <v>170.270004</v>
      </c>
      <c r="G715" s="13">
        <v>165.174576</v>
      </c>
      <c r="H715" s="13">
        <v>165.174576</v>
      </c>
      <c r="I715" s="14">
        <f t="shared" si="11"/>
        <v>4.187486245772698E-3</v>
      </c>
      <c r="J715" s="14">
        <f>IF(COUNT(B715)=0,"",B715-(INTERCEPT('3. Cleaned Data'!$B$4:$B$1041,'3. Cleaned Data'!$H$4:$H$1041)+SLOPE('3. Cleaned Data'!$B$4:$B$1041,'3. Cleaned Data'!$H$4:$H$1041)*H715))</f>
        <v>0.38418362805194306</v>
      </c>
    </row>
    <row r="716" spans="1:10" x14ac:dyDescent="0.2">
      <c r="A716" s="12">
        <v>43362</v>
      </c>
      <c r="B716" s="13">
        <v>21.574587936</v>
      </c>
      <c r="C716" s="13">
        <v>170.279999</v>
      </c>
      <c r="D716" s="13">
        <v>171.070007</v>
      </c>
      <c r="E716" s="13">
        <v>169.070007</v>
      </c>
      <c r="F716" s="13">
        <v>169.64999399999999</v>
      </c>
      <c r="G716" s="13">
        <v>164.57311999999999</v>
      </c>
      <c r="H716" s="13">
        <v>164.57311999999999</v>
      </c>
      <c r="I716" s="14">
        <f t="shared" si="11"/>
        <v>-3.6413352137196764E-3</v>
      </c>
      <c r="J716" s="14">
        <f>IF(COUNT(B716)=0,"",B716-(INTERCEPT('3. Cleaned Data'!$B$4:$B$1041,'3. Cleaned Data'!$H$4:$H$1041)+SLOPE('3. Cleaned Data'!$B$4:$B$1041,'3. Cleaned Data'!$H$4:$H$1041)*H716))</f>
        <v>0.85998125766093381</v>
      </c>
    </row>
    <row r="717" spans="1:10" x14ac:dyDescent="0.2">
      <c r="A717" s="12">
        <v>43363</v>
      </c>
      <c r="B717" s="13">
        <v>19.672792919999999</v>
      </c>
      <c r="C717" s="13">
        <v>170.36999499999999</v>
      </c>
      <c r="D717" s="13">
        <v>171.300003</v>
      </c>
      <c r="E717" s="13">
        <v>169.80999800000001</v>
      </c>
      <c r="F717" s="13">
        <v>171.220001</v>
      </c>
      <c r="G717" s="13">
        <v>166.09612999999999</v>
      </c>
      <c r="H717" s="13">
        <v>166.09612999999999</v>
      </c>
      <c r="I717" s="14">
        <f t="shared" si="11"/>
        <v>9.2543059279668327E-3</v>
      </c>
      <c r="J717" s="14">
        <f>IF(COUNT(B717)=0,"",B717-(INTERCEPT('3. Cleaned Data'!$B$4:$B$1041,'3. Cleaned Data'!$H$4:$H$1041)+SLOPE('3. Cleaned Data'!$B$4:$B$1041,'3. Cleaned Data'!$H$4:$H$1041)*H717))</f>
        <v>-1.250149993686545</v>
      </c>
    </row>
    <row r="718" spans="1:10" x14ac:dyDescent="0.2">
      <c r="A718" s="12">
        <v>43364</v>
      </c>
      <c r="B718" s="13">
        <v>21.355042367999999</v>
      </c>
      <c r="C718" s="13">
        <v>171.75</v>
      </c>
      <c r="D718" s="13">
        <v>171.820007</v>
      </c>
      <c r="E718" s="13">
        <v>170.220001</v>
      </c>
      <c r="F718" s="13">
        <v>170.39999399999999</v>
      </c>
      <c r="G718" s="13">
        <v>165.30064400000001</v>
      </c>
      <c r="H718" s="13">
        <v>165.30064400000001</v>
      </c>
      <c r="I718" s="14">
        <f t="shared" si="11"/>
        <v>-4.7893108647383276E-3</v>
      </c>
      <c r="J718" s="14">
        <f>IF(COUNT(B718)=0,"",B718-(INTERCEPT('3. Cleaned Data'!$B$4:$B$1041,'3. Cleaned Data'!$H$4:$H$1041)+SLOPE('3. Cleaned Data'!$B$4:$B$1041,'3. Cleaned Data'!$H$4:$H$1041)*H718))</f>
        <v>0.54091591547367202</v>
      </c>
    </row>
    <row r="719" spans="1:10" x14ac:dyDescent="0.2">
      <c r="A719" s="12">
        <v>43367</v>
      </c>
      <c r="B719" s="13">
        <v>19.971728649599999</v>
      </c>
      <c r="C719" s="13">
        <v>170.259995</v>
      </c>
      <c r="D719" s="13">
        <v>170.5</v>
      </c>
      <c r="E719" s="13">
        <v>168.759995</v>
      </c>
      <c r="F719" s="13">
        <v>169.770004</v>
      </c>
      <c r="G719" s="13">
        <v>164.68952899999999</v>
      </c>
      <c r="H719" s="13">
        <v>164.68952899999999</v>
      </c>
      <c r="I719" s="14">
        <f t="shared" si="11"/>
        <v>-3.6969910413658935E-3</v>
      </c>
      <c r="J719" s="14">
        <f>IF(COUNT(B719)=0,"",B719-(INTERCEPT('3. Cleaned Data'!$B$4:$B$1041,'3. Cleaned Data'!$H$4:$H$1041)+SLOPE('3. Cleaned Data'!$B$4:$B$1041,'3. Cleaned Data'!$H$4:$H$1041)*H719))</f>
        <v>-0.75880189845795698</v>
      </c>
    </row>
    <row r="720" spans="1:10" x14ac:dyDescent="0.2">
      <c r="A720" s="12">
        <v>43368</v>
      </c>
      <c r="B720" s="13">
        <v>20.533957183199998</v>
      </c>
      <c r="C720" s="13">
        <v>170.050003</v>
      </c>
      <c r="D720" s="13">
        <v>170.520004</v>
      </c>
      <c r="E720" s="13">
        <v>169.85000600000001</v>
      </c>
      <c r="F720" s="13">
        <v>170.029999</v>
      </c>
      <c r="G720" s="13">
        <v>164.941757</v>
      </c>
      <c r="H720" s="13">
        <v>164.941757</v>
      </c>
      <c r="I720" s="14">
        <f t="shared" si="11"/>
        <v>1.531536349223428E-3</v>
      </c>
      <c r="J720" s="14">
        <f>IF(COUNT(B720)=0,"",B720-(INTERCEPT('3. Cleaned Data'!$B$4:$B$1041,'3. Cleaned Data'!$H$4:$H$1041)+SLOPE('3. Cleaned Data'!$B$4:$B$1041,'3. Cleaned Data'!$H$4:$H$1041)*H720))</f>
        <v>-0.2310762453178512</v>
      </c>
    </row>
    <row r="721" spans="1:10" x14ac:dyDescent="0.2">
      <c r="A721" s="12">
        <v>43369</v>
      </c>
      <c r="B721" s="13">
        <v>19.290702858</v>
      </c>
      <c r="C721" s="13">
        <v>169.929993</v>
      </c>
      <c r="D721" s="13">
        <v>170.029999</v>
      </c>
      <c r="E721" s="13">
        <v>167.779999</v>
      </c>
      <c r="F721" s="13">
        <v>168.029999</v>
      </c>
      <c r="G721" s="13">
        <v>163.43414300000001</v>
      </c>
      <c r="H721" s="13">
        <v>163.43414300000001</v>
      </c>
      <c r="I721" s="14">
        <f t="shared" si="11"/>
        <v>-9.1402809538398966E-3</v>
      </c>
      <c r="J721" s="14">
        <f>IF(COUNT(B721)=0,"",B721-(INTERCEPT('3. Cleaned Data'!$B$4:$B$1041,'3. Cleaned Data'!$H$4:$H$1041)+SLOPE('3. Cleaned Data'!$B$4:$B$1041,'3. Cleaned Data'!$H$4:$H$1041)*H721))</f>
        <v>-1.268100391387609</v>
      </c>
    </row>
    <row r="722" spans="1:10" x14ac:dyDescent="0.2">
      <c r="A722" s="12">
        <v>43370</v>
      </c>
      <c r="B722" s="13">
        <v>18.926964120000001</v>
      </c>
      <c r="C722" s="13">
        <v>168.36999499999999</v>
      </c>
      <c r="D722" s="13">
        <v>168.699997</v>
      </c>
      <c r="E722" s="13">
        <v>167.759995</v>
      </c>
      <c r="F722" s="13">
        <v>168.03999300000001</v>
      </c>
      <c r="G722" s="13">
        <v>163.443848</v>
      </c>
      <c r="H722" s="13">
        <v>163.443848</v>
      </c>
      <c r="I722" s="14">
        <f t="shared" si="11"/>
        <v>5.938171683017579E-5</v>
      </c>
      <c r="J722" s="14">
        <f>IF(COUNT(B722)=0,"",B722-(INTERCEPT('3. Cleaned Data'!$B$4:$B$1041,'3. Cleaned Data'!$H$4:$H$1041)+SLOPE('3. Cleaned Data'!$B$4:$B$1041,'3. Cleaned Data'!$H$4:$H$1041)*H722))</f>
        <v>-1.6331666998986663</v>
      </c>
    </row>
    <row r="723" spans="1:10" x14ac:dyDescent="0.2">
      <c r="A723" s="12">
        <v>43371</v>
      </c>
      <c r="B723" s="13">
        <v>19.2650233968</v>
      </c>
      <c r="C723" s="13">
        <v>167.449997</v>
      </c>
      <c r="D723" s="13">
        <v>169</v>
      </c>
      <c r="E723" s="13">
        <v>167.449997</v>
      </c>
      <c r="F723" s="13">
        <v>168.550003</v>
      </c>
      <c r="G723" s="13">
        <v>163.939941</v>
      </c>
      <c r="H723" s="13">
        <v>163.939941</v>
      </c>
      <c r="I723" s="14">
        <f t="shared" si="11"/>
        <v>3.0352503692889776E-3</v>
      </c>
      <c r="J723" s="14">
        <f>IF(COUNT(B723)=0,"",B723-(INTERCEPT('3. Cleaned Data'!$B$4:$B$1041,'3. Cleaned Data'!$H$4:$H$1041)+SLOPE('3. Cleaned Data'!$B$4:$B$1041,'3. Cleaned Data'!$H$4:$H$1041)*H723))</f>
        <v>-1.362969188945403</v>
      </c>
    </row>
    <row r="724" spans="1:10" x14ac:dyDescent="0.2">
      <c r="A724" s="12">
        <v>43374</v>
      </c>
      <c r="B724" s="13">
        <v>19.378158668400001</v>
      </c>
      <c r="C724" s="13">
        <v>169.28999300000001</v>
      </c>
      <c r="D724" s="13">
        <v>169.320007</v>
      </c>
      <c r="E724" s="13">
        <v>165.770004</v>
      </c>
      <c r="F724" s="13">
        <v>166.33000200000001</v>
      </c>
      <c r="G724" s="13">
        <v>161.78062399999999</v>
      </c>
      <c r="H724" s="13">
        <v>161.78062399999999</v>
      </c>
      <c r="I724" s="14">
        <f t="shared" si="11"/>
        <v>-1.3171390613102685E-2</v>
      </c>
      <c r="J724" s="14">
        <f>IF(COUNT(B724)=0,"",B724-(INTERCEPT('3. Cleaned Data'!$B$4:$B$1041,'3. Cleaned Data'!$H$4:$H$1041)+SLOPE('3. Cleaned Data'!$B$4:$B$1041,'3. Cleaned Data'!$H$4:$H$1041)*H724))</f>
        <v>-0.95445570269033553</v>
      </c>
    </row>
    <row r="725" spans="1:10" x14ac:dyDescent="0.2">
      <c r="A725" s="12">
        <v>43375</v>
      </c>
      <c r="B725" s="13">
        <v>19.735208971199999</v>
      </c>
      <c r="C725" s="13">
        <v>166.179993</v>
      </c>
      <c r="D725" s="13">
        <v>166.529999</v>
      </c>
      <c r="E725" s="13">
        <v>164.179993</v>
      </c>
      <c r="F725" s="13">
        <v>164.529999</v>
      </c>
      <c r="G725" s="13">
        <v>160.029877</v>
      </c>
      <c r="H725" s="13">
        <v>160.029877</v>
      </c>
      <c r="I725" s="14">
        <f t="shared" si="11"/>
        <v>-1.0821734746183087E-2</v>
      </c>
      <c r="J725" s="14">
        <f>IF(COUNT(B725)=0,"",B725-(INTERCEPT('3. Cleaned Data'!$B$4:$B$1041,'3. Cleaned Data'!$H$4:$H$1041)+SLOPE('3. Cleaned Data'!$B$4:$B$1041,'3. Cleaned Data'!$H$4:$H$1041)*H725))</f>
        <v>-0.35791646743034988</v>
      </c>
    </row>
    <row r="726" spans="1:10" x14ac:dyDescent="0.2">
      <c r="A726" s="12">
        <v>43376</v>
      </c>
      <c r="B726" s="13">
        <v>18.282842589600001</v>
      </c>
      <c r="C726" s="13">
        <v>165.179993</v>
      </c>
      <c r="D726" s="13">
        <v>166.729996</v>
      </c>
      <c r="E726" s="13">
        <v>164.509995</v>
      </c>
      <c r="F726" s="13">
        <v>165.970001</v>
      </c>
      <c r="G726" s="13">
        <v>161.43048099999999</v>
      </c>
      <c r="H726" s="13">
        <v>161.43048099999999</v>
      </c>
      <c r="I726" s="14">
        <f t="shared" si="11"/>
        <v>8.7521407018265052E-3</v>
      </c>
      <c r="J726" s="14">
        <f>IF(COUNT(B726)=0,"",B726-(INTERCEPT('3. Cleaned Data'!$B$4:$B$1041,'3. Cleaned Data'!$H$4:$H$1041)+SLOPE('3. Cleaned Data'!$B$4:$B$1041,'3. Cleaned Data'!$H$4:$H$1041)*H726))</f>
        <v>-2.001874870469873</v>
      </c>
    </row>
    <row r="727" spans="1:10" x14ac:dyDescent="0.2">
      <c r="A727" s="12">
        <v>43377</v>
      </c>
      <c r="B727" s="13">
        <v>19.720644107999998</v>
      </c>
      <c r="C727" s="13">
        <v>165.44000199999999</v>
      </c>
      <c r="D727" s="13">
        <v>165.64999399999999</v>
      </c>
      <c r="E727" s="13">
        <v>163.13000500000001</v>
      </c>
      <c r="F727" s="13">
        <v>163.63999899999999</v>
      </c>
      <c r="G727" s="13">
        <v>159.16421500000001</v>
      </c>
      <c r="H727" s="13">
        <v>159.16421500000001</v>
      </c>
      <c r="I727" s="14">
        <f t="shared" si="11"/>
        <v>-1.4038649863156727E-2</v>
      </c>
      <c r="J727" s="14">
        <f>IF(COUNT(B727)=0,"",B727-(INTERCEPT('3. Cleaned Data'!$B$4:$B$1041,'3. Cleaned Data'!$H$4:$H$1041)+SLOPE('3. Cleaned Data'!$B$4:$B$1041,'3. Cleaned Data'!$H$4:$H$1041)*H727))</f>
        <v>-0.2540653240621964</v>
      </c>
    </row>
    <row r="728" spans="1:10" x14ac:dyDescent="0.2">
      <c r="A728" s="12">
        <v>43378</v>
      </c>
      <c r="B728" s="13">
        <v>18.354275596800001</v>
      </c>
      <c r="C728" s="13">
        <v>163.75</v>
      </c>
      <c r="D728" s="13">
        <v>164.16000399999999</v>
      </c>
      <c r="E728" s="13">
        <v>160.66000399999999</v>
      </c>
      <c r="F728" s="13">
        <v>162.16000399999999</v>
      </c>
      <c r="G728" s="13">
        <v>157.72470100000001</v>
      </c>
      <c r="H728" s="13">
        <v>157.72470100000001</v>
      </c>
      <c r="I728" s="14">
        <f t="shared" si="11"/>
        <v>-9.0442063248953319E-3</v>
      </c>
      <c r="J728" s="14">
        <f>IF(COUNT(B728)=0,"",B728-(INTERCEPT('3. Cleaned Data'!$B$4:$B$1041,'3. Cleaned Data'!$H$4:$H$1041)+SLOPE('3. Cleaned Data'!$B$4:$B$1041,'3. Cleaned Data'!$H$4:$H$1041)*H728))</f>
        <v>-1.4235192204599336</v>
      </c>
    </row>
    <row r="729" spans="1:10" x14ac:dyDescent="0.2">
      <c r="A729" s="12">
        <v>43381</v>
      </c>
      <c r="B729" s="13">
        <v>20.367731339999999</v>
      </c>
      <c r="C729" s="13">
        <v>161.770004</v>
      </c>
      <c r="D729" s="13">
        <v>162.39999399999999</v>
      </c>
      <c r="E729" s="13">
        <v>160.550003</v>
      </c>
      <c r="F729" s="13">
        <v>161.820007</v>
      </c>
      <c r="G729" s="13">
        <v>157.39398199999999</v>
      </c>
      <c r="H729" s="13">
        <v>157.39398199999999</v>
      </c>
      <c r="I729" s="14">
        <f t="shared" si="11"/>
        <v>-2.0968117099173789E-3</v>
      </c>
      <c r="J729" s="14">
        <f>IF(COUNT(B729)=0,"",B729-(INTERCEPT('3. Cleaned Data'!$B$4:$B$1041,'3. Cleaned Data'!$H$4:$H$1041)+SLOPE('3. Cleaned Data'!$B$4:$B$1041,'3. Cleaned Data'!$H$4:$H$1041)*H729))</f>
        <v>0.6351763776444237</v>
      </c>
    </row>
    <row r="730" spans="1:10" x14ac:dyDescent="0.2">
      <c r="A730" s="12">
        <v>43382</v>
      </c>
      <c r="B730" s="13">
        <v>26.12487282288</v>
      </c>
      <c r="C730" s="13">
        <v>161.61999499999999</v>
      </c>
      <c r="D730" s="13">
        <v>162.740005</v>
      </c>
      <c r="E730" s="13">
        <v>160.979996</v>
      </c>
      <c r="F730" s="13">
        <v>161.19000199999999</v>
      </c>
      <c r="G730" s="13">
        <v>156.78121899999999</v>
      </c>
      <c r="H730" s="13">
        <v>156.78121899999999</v>
      </c>
      <c r="I730" s="14">
        <f t="shared" si="11"/>
        <v>-3.8931793465902809E-3</v>
      </c>
      <c r="J730" s="14">
        <f>IF(COUNT(B730)=0,"",B730-(INTERCEPT('3. Cleaned Data'!$B$4:$B$1041,'3. Cleaned Data'!$H$4:$H$1041)+SLOPE('3. Cleaned Data'!$B$4:$B$1041,'3. Cleaned Data'!$H$4:$H$1041)*H730))</f>
        <v>6.4761391989136818</v>
      </c>
    </row>
    <row r="731" spans="1:10" x14ac:dyDescent="0.2">
      <c r="A731" s="12">
        <v>43383</v>
      </c>
      <c r="B731" s="13">
        <v>19.719477193199999</v>
      </c>
      <c r="C731" s="13">
        <v>160.820007</v>
      </c>
      <c r="D731" s="13">
        <v>160.990005</v>
      </c>
      <c r="E731" s="13">
        <v>156.36000100000001</v>
      </c>
      <c r="F731" s="13">
        <v>156.55999800000001</v>
      </c>
      <c r="G731" s="15">
        <v>152.27784700000001</v>
      </c>
      <c r="H731" s="13">
        <v>152.27784700000001</v>
      </c>
      <c r="I731" s="14">
        <f t="shared" si="11"/>
        <v>-2.8723925153305463E-2</v>
      </c>
      <c r="J731" s="14">
        <f>IF(COUNT(B731)=0,"",B731-(INTERCEPT('3. Cleaned Data'!$B$4:$B$1041,'3. Cleaned Data'!$H$4:$H$1041)+SLOPE('3. Cleaned Data'!$B$4:$B$1041,'3. Cleaned Data'!$H$4:$H$1041)*H731))</f>
        <v>0.68677075805662824</v>
      </c>
    </row>
    <row r="732" spans="1:10" x14ac:dyDescent="0.2">
      <c r="A732" s="12">
        <v>43384</v>
      </c>
      <c r="B732" s="13">
        <v>18.794839140000001</v>
      </c>
      <c r="C732" s="13">
        <v>155.80999800000001</v>
      </c>
      <c r="D732" s="13">
        <v>157.320007</v>
      </c>
      <c r="E732" s="13">
        <v>153.509995</v>
      </c>
      <c r="F732" s="13">
        <v>153.570007</v>
      </c>
      <c r="G732" s="13">
        <v>149.369629</v>
      </c>
      <c r="H732" s="13">
        <v>149.369629</v>
      </c>
      <c r="I732" s="14">
        <f t="shared" si="11"/>
        <v>-1.9098102956499052E-2</v>
      </c>
      <c r="J732" s="14">
        <f>IF(COUNT(B732)=0,"",B732-(INTERCEPT('3. Cleaned Data'!$B$4:$B$1041,'3. Cleaned Data'!$H$4:$H$1041)+SLOPE('3. Cleaned Data'!$B$4:$B$1041,'3. Cleaned Data'!$H$4:$H$1041)*H732))</f>
        <v>0.15995490542640312</v>
      </c>
    </row>
    <row r="733" spans="1:10" x14ac:dyDescent="0.2">
      <c r="A733" s="12">
        <v>43385</v>
      </c>
      <c r="B733" s="13">
        <v>18.218555294400002</v>
      </c>
      <c r="C733" s="13">
        <v>155.55999800000001</v>
      </c>
      <c r="D733" s="13">
        <v>155.759995</v>
      </c>
      <c r="E733" s="13">
        <v>151.88999899999999</v>
      </c>
      <c r="F733" s="13">
        <v>153.60000600000001</v>
      </c>
      <c r="G733" s="13">
        <v>149.398819</v>
      </c>
      <c r="H733" s="13">
        <v>149.398819</v>
      </c>
      <c r="I733" s="14">
        <f t="shared" si="11"/>
        <v>1.9542125260274545E-4</v>
      </c>
      <c r="J733" s="14">
        <f>IF(COUNT(B733)=0,"",B733-(INTERCEPT('3. Cleaned Data'!$B$4:$B$1041,'3. Cleaned Data'!$H$4:$H$1041)+SLOPE('3. Cleaned Data'!$B$4:$B$1041,'3. Cleaned Data'!$H$4:$H$1041)*H733))</f>
        <v>-0.42032191113885276</v>
      </c>
    </row>
    <row r="734" spans="1:10" x14ac:dyDescent="0.2">
      <c r="A734" s="12">
        <v>43388</v>
      </c>
      <c r="B734" s="13">
        <v>18.2324692332</v>
      </c>
      <c r="C734" s="13">
        <v>153.36000100000001</v>
      </c>
      <c r="D734" s="13">
        <v>155.28999300000001</v>
      </c>
      <c r="E734" s="13">
        <v>152.53999300000001</v>
      </c>
      <c r="F734" s="13">
        <v>154.16999799999999</v>
      </c>
      <c r="G734" s="13">
        <v>149.95323200000001</v>
      </c>
      <c r="H734" s="13">
        <v>149.95323200000001</v>
      </c>
      <c r="I734" s="14">
        <f t="shared" si="11"/>
        <v>3.710959723182361E-3</v>
      </c>
      <c r="J734" s="14">
        <f>IF(COUNT(B734)=0,"",B734-(INTERCEPT('3. Cleaned Data'!$B$4:$B$1041,'3. Cleaned Data'!$H$4:$H$1041)+SLOPE('3. Cleaned Data'!$B$4:$B$1041,'3. Cleaned Data'!$H$4:$H$1041)*H734))</f>
        <v>-0.48224747257043532</v>
      </c>
    </row>
    <row r="735" spans="1:10" x14ac:dyDescent="0.2">
      <c r="A735" s="12">
        <v>43389</v>
      </c>
      <c r="B735" s="13">
        <v>18.738463127999999</v>
      </c>
      <c r="C735" s="13">
        <v>155.279999</v>
      </c>
      <c r="D735" s="13">
        <v>158.86000100000001</v>
      </c>
      <c r="E735" s="13">
        <v>154.03999300000001</v>
      </c>
      <c r="F735" s="13">
        <v>158.63999899999999</v>
      </c>
      <c r="G735" s="13">
        <v>154.300995</v>
      </c>
      <c r="H735" s="13">
        <v>154.300995</v>
      </c>
      <c r="I735" s="14">
        <f t="shared" si="11"/>
        <v>2.8994126648767216E-2</v>
      </c>
      <c r="J735" s="14">
        <f>IF(COUNT(B735)=0,"",B735-(INTERCEPT('3. Cleaned Data'!$B$4:$B$1041,'3. Cleaned Data'!$H$4:$H$1041)+SLOPE('3. Cleaned Data'!$B$4:$B$1041,'3. Cleaned Data'!$H$4:$H$1041)*H735))</f>
        <v>-0.57099463370772341</v>
      </c>
    </row>
    <row r="736" spans="1:10" x14ac:dyDescent="0.2">
      <c r="A736" s="12">
        <v>43390</v>
      </c>
      <c r="B736" s="13">
        <v>19.144173311999999</v>
      </c>
      <c r="C736" s="13">
        <v>158.179993</v>
      </c>
      <c r="D736" s="13">
        <v>158.220001</v>
      </c>
      <c r="E736" s="13">
        <v>155.88999899999999</v>
      </c>
      <c r="F736" s="13">
        <v>157.96000699999999</v>
      </c>
      <c r="G736" s="13">
        <v>153.63957199999999</v>
      </c>
      <c r="H736" s="13">
        <v>153.63957199999999</v>
      </c>
      <c r="I736" s="14">
        <f t="shared" si="11"/>
        <v>-4.2865763762574005E-3</v>
      </c>
      <c r="J736" s="14">
        <f>IF(COUNT(B736)=0,"",B736-(INTERCEPT('3. Cleaned Data'!$B$4:$B$1041,'3. Cleaned Data'!$H$4:$H$1041)+SLOPE('3. Cleaned Data'!$B$4:$B$1041,'3. Cleaned Data'!$H$4:$H$1041)*H736))</f>
        <v>-7.4806791785427151E-2</v>
      </c>
    </row>
    <row r="737" spans="1:10" x14ac:dyDescent="0.2">
      <c r="A737" s="12">
        <v>43391</v>
      </c>
      <c r="B737" s="13">
        <v>17.729951926799998</v>
      </c>
      <c r="C737" s="13">
        <v>157.41000399999999</v>
      </c>
      <c r="D737" s="13">
        <v>157.63000500000001</v>
      </c>
      <c r="E737" s="13">
        <v>154.36999499999999</v>
      </c>
      <c r="F737" s="13">
        <v>155</v>
      </c>
      <c r="G737" s="13">
        <v>150.76052899999999</v>
      </c>
      <c r="H737" s="13">
        <v>150.76052899999999</v>
      </c>
      <c r="I737" s="14">
        <f t="shared" si="11"/>
        <v>-1.8738941813766563E-2</v>
      </c>
      <c r="J737" s="14">
        <f>IF(COUNT(B737)=0,"",B737-(INTERCEPT('3. Cleaned Data'!$B$4:$B$1041,'3. Cleaned Data'!$H$4:$H$1041)+SLOPE('3. Cleaned Data'!$B$4:$B$1041,'3. Cleaned Data'!$H$4:$H$1041)*H737))</f>
        <v>-1.0951968954944959</v>
      </c>
    </row>
    <row r="738" spans="1:10" x14ac:dyDescent="0.2">
      <c r="A738" s="12">
        <v>43392</v>
      </c>
      <c r="B738" s="13">
        <v>17.4613846104</v>
      </c>
      <c r="C738" s="13">
        <v>155.470001</v>
      </c>
      <c r="D738" s="13">
        <v>156.36000100000001</v>
      </c>
      <c r="E738" s="15">
        <v>153.36000100000001</v>
      </c>
      <c r="F738" s="13">
        <v>153.36000100000001</v>
      </c>
      <c r="G738" s="13">
        <v>149.16539</v>
      </c>
      <c r="H738" s="13">
        <v>149.16539</v>
      </c>
      <c r="I738" s="14">
        <f t="shared" si="11"/>
        <v>-1.0580614240216613E-2</v>
      </c>
      <c r="J738" s="14">
        <f>IF(COUNT(B738)=0,"",B738-(INTERCEPT('3. Cleaned Data'!$B$4:$B$1041,'3. Cleaned Data'!$H$4:$H$1041)+SLOPE('3. Cleaned Data'!$B$4:$B$1041,'3. Cleaned Data'!$H$4:$H$1041)*H738))</f>
        <v>-1.1455612755277365</v>
      </c>
    </row>
    <row r="739" spans="1:10" x14ac:dyDescent="0.2">
      <c r="A739" s="12">
        <v>43395</v>
      </c>
      <c r="B739" s="13">
        <v>17.476160879999998</v>
      </c>
      <c r="C739" s="13">
        <v>153.91999799999999</v>
      </c>
      <c r="D739" s="13">
        <v>154.449997</v>
      </c>
      <c r="E739" s="13">
        <v>152.520004</v>
      </c>
      <c r="F739" s="13">
        <v>153.029999</v>
      </c>
      <c r="G739" s="13">
        <v>148.84440599999999</v>
      </c>
      <c r="H739" s="13">
        <v>148.84440599999999</v>
      </c>
      <c r="I739" s="14">
        <f t="shared" si="11"/>
        <v>-2.1518664617845573E-3</v>
      </c>
      <c r="J739" s="14">
        <f>IF(COUNT(B739)=0,"",B739-(INTERCEPT('3. Cleaned Data'!$B$4:$B$1041,'3. Cleaned Data'!$H$4:$H$1041)+SLOPE('3. Cleaned Data'!$B$4:$B$1041,'3. Cleaned Data'!$H$4:$H$1041)*H739))</f>
        <v>-1.0868768253072716</v>
      </c>
    </row>
    <row r="740" spans="1:10" x14ac:dyDescent="0.2">
      <c r="A740" s="12">
        <v>43396</v>
      </c>
      <c r="B740" s="13">
        <v>18.036509590800001</v>
      </c>
      <c r="C740" s="13">
        <v>150.929993</v>
      </c>
      <c r="D740" s="13">
        <v>152.88999899999999</v>
      </c>
      <c r="E740" s="13">
        <v>148.91999799999999</v>
      </c>
      <c r="F740" s="13">
        <v>151.66000399999999</v>
      </c>
      <c r="G740" s="13">
        <v>147.511887</v>
      </c>
      <c r="H740" s="13">
        <v>147.511887</v>
      </c>
      <c r="I740" s="14">
        <f t="shared" si="11"/>
        <v>-8.9524291561214886E-3</v>
      </c>
      <c r="J740" s="14">
        <f>IF(COUNT(B740)=0,"",B740-(INTERCEPT('3. Cleaned Data'!$B$4:$B$1041,'3. Cleaned Data'!$H$4:$H$1041)+SLOPE('3. Cleaned Data'!$B$4:$B$1041,'3. Cleaned Data'!$H$4:$H$1041)*H740))</f>
        <v>-0.34424960550930805</v>
      </c>
    </row>
    <row r="741" spans="1:10" x14ac:dyDescent="0.2">
      <c r="A741" s="12">
        <v>43397</v>
      </c>
      <c r="B741" s="13">
        <v>18.273317421600002</v>
      </c>
      <c r="C741" s="13">
        <v>151.429993</v>
      </c>
      <c r="D741" s="13">
        <v>151.979996</v>
      </c>
      <c r="E741" s="13">
        <v>145.820007</v>
      </c>
      <c r="F741" s="13">
        <v>145.949997</v>
      </c>
      <c r="G741" s="13">
        <v>141.958054</v>
      </c>
      <c r="H741" s="13">
        <v>141.958054</v>
      </c>
      <c r="I741" s="14">
        <f t="shared" si="11"/>
        <v>-3.765007087191552E-2</v>
      </c>
      <c r="J741" s="14">
        <f>IF(COUNT(B741)=0,"",B741-(INTERCEPT('3. Cleaned Data'!$B$4:$B$1041,'3. Cleaned Data'!$H$4:$H$1041)+SLOPE('3. Cleaned Data'!$B$4:$B$1041,'3. Cleaned Data'!$H$4:$H$1041)*H741))</f>
        <v>0.65228052453270635</v>
      </c>
    </row>
    <row r="742" spans="1:10" x14ac:dyDescent="0.2">
      <c r="A742" s="12">
        <v>43398</v>
      </c>
      <c r="B742" s="13">
        <v>19.771999103999999</v>
      </c>
      <c r="C742" s="13">
        <v>146.729996</v>
      </c>
      <c r="D742" s="13">
        <v>149.820007</v>
      </c>
      <c r="E742" s="13">
        <v>146.41000399999999</v>
      </c>
      <c r="F742" s="13">
        <v>149.11000100000001</v>
      </c>
      <c r="G742" s="13">
        <v>145.03161600000001</v>
      </c>
      <c r="H742" s="13">
        <v>145.03161600000001</v>
      </c>
      <c r="I742" s="14">
        <f t="shared" si="11"/>
        <v>2.1651198458947585E-2</v>
      </c>
      <c r="J742" s="14">
        <f>IF(COUNT(B742)=0,"",B742-(INTERCEPT('3. Cleaned Data'!$B$4:$B$1041,'3. Cleaned Data'!$H$4:$H$1041)+SLOPE('3. Cleaned Data'!$B$4:$B$1041,'3. Cleaned Data'!$H$4:$H$1041)*H742))</f>
        <v>1.7305221991933841</v>
      </c>
    </row>
    <row r="743" spans="1:10" x14ac:dyDescent="0.2">
      <c r="A743" s="12">
        <v>43399</v>
      </c>
      <c r="B743" s="13">
        <v>18.319749739199999</v>
      </c>
      <c r="C743" s="13">
        <v>147.53999300000001</v>
      </c>
      <c r="D743" s="13">
        <v>149.41999799999999</v>
      </c>
      <c r="E743" s="13">
        <v>144.699997</v>
      </c>
      <c r="F743" s="13">
        <v>147.479996</v>
      </c>
      <c r="G743" s="13">
        <v>143.446213</v>
      </c>
      <c r="H743" s="13">
        <v>143.446213</v>
      </c>
      <c r="I743" s="14">
        <f t="shared" si="11"/>
        <v>-1.0931430288965482E-2</v>
      </c>
      <c r="J743" s="14">
        <f>IF(COUNT(B743)=0,"",B743-(INTERCEPT('3. Cleaned Data'!$B$4:$B$1041,'3. Cleaned Data'!$H$4:$H$1041)+SLOPE('3. Cleaned Data'!$B$4:$B$1041,'3. Cleaned Data'!$H$4:$H$1041)*H743))</f>
        <v>0.4951439596838263</v>
      </c>
    </row>
    <row r="744" spans="1:10" x14ac:dyDescent="0.2">
      <c r="A744" s="12">
        <v>43402</v>
      </c>
      <c r="B744" s="13">
        <v>19.673674433999999</v>
      </c>
      <c r="C744" s="13">
        <v>149.13000500000001</v>
      </c>
      <c r="D744" s="13">
        <v>150.63000500000001</v>
      </c>
      <c r="E744" s="13">
        <v>145.070007</v>
      </c>
      <c r="F744" s="13">
        <v>146.66999799999999</v>
      </c>
      <c r="G744" s="13">
        <v>142.65837099999999</v>
      </c>
      <c r="H744" s="13">
        <v>142.65837099999999</v>
      </c>
      <c r="I744" s="14">
        <f t="shared" si="11"/>
        <v>-5.492246769874698E-3</v>
      </c>
      <c r="J744" s="14">
        <f>IF(COUNT(B744)=0,"",B744-(INTERCEPT('3. Cleaned Data'!$B$4:$B$1041,'3. Cleaned Data'!$H$4:$H$1041)+SLOPE('3. Cleaned Data'!$B$4:$B$1041,'3. Cleaned Data'!$H$4:$H$1041)*H744))</f>
        <v>1.9568394743265252</v>
      </c>
    </row>
    <row r="745" spans="1:10" x14ac:dyDescent="0.2">
      <c r="A745" s="12">
        <v>43403</v>
      </c>
      <c r="B745" s="13">
        <v>20.209811160000001</v>
      </c>
      <c r="C745" s="13">
        <v>146.85000600000001</v>
      </c>
      <c r="D745" s="13">
        <v>149.88999899999999</v>
      </c>
      <c r="E745" s="13">
        <v>146.55999800000001</v>
      </c>
      <c r="F745" s="13">
        <v>149.729996</v>
      </c>
      <c r="G745" s="13">
        <v>145.63467399999999</v>
      </c>
      <c r="H745" s="13">
        <v>145.63467399999999</v>
      </c>
      <c r="I745" s="14">
        <f t="shared" si="11"/>
        <v>2.0863150049568402E-2</v>
      </c>
      <c r="J745" s="14">
        <f>IF(COUNT(B745)=0,"",B745-(INTERCEPT('3. Cleaned Data'!$B$4:$B$1041,'3. Cleaned Data'!$H$4:$H$1041)+SLOPE('3. Cleaned Data'!$B$4:$B$1041,'3. Cleaned Data'!$H$4:$H$1041)*H745))</f>
        <v>2.0858404873151883</v>
      </c>
    </row>
    <row r="746" spans="1:10" x14ac:dyDescent="0.2">
      <c r="A746" s="12">
        <v>43404</v>
      </c>
      <c r="B746" s="13">
        <v>19.056472156800002</v>
      </c>
      <c r="C746" s="13">
        <v>151.259995</v>
      </c>
      <c r="D746" s="13">
        <v>151.86000100000001</v>
      </c>
      <c r="E746" s="13">
        <v>150.029999</v>
      </c>
      <c r="F746" s="13">
        <v>150.029999</v>
      </c>
      <c r="G746" s="13">
        <v>145.92645300000001</v>
      </c>
      <c r="H746" s="13">
        <v>145.92645300000001</v>
      </c>
      <c r="I746" s="14">
        <f t="shared" si="11"/>
        <v>2.0034995237467879E-3</v>
      </c>
      <c r="J746" s="14">
        <f>IF(COUNT(B746)=0,"",B746-(INTERCEPT('3. Cleaned Data'!$B$4:$B$1041,'3. Cleaned Data'!$H$4:$H$1041)+SLOPE('3. Cleaned Data'!$B$4:$B$1041,'3. Cleaned Data'!$H$4:$H$1041)*H746))</f>
        <v>0.89258832634639163</v>
      </c>
    </row>
    <row r="747" spans="1:10" x14ac:dyDescent="0.2">
      <c r="A747" s="12">
        <v>43405</v>
      </c>
      <c r="B747" s="13">
        <v>18.703236489599998</v>
      </c>
      <c r="C747" s="13">
        <v>150.88999899999999</v>
      </c>
      <c r="D747" s="13">
        <v>153.770004</v>
      </c>
      <c r="E747" s="13">
        <v>150.80999800000001</v>
      </c>
      <c r="F747" s="13">
        <v>153.490005</v>
      </c>
      <c r="G747" s="13">
        <v>149.291809</v>
      </c>
      <c r="H747" s="13">
        <v>149.291809</v>
      </c>
      <c r="I747" s="14">
        <f t="shared" si="11"/>
        <v>2.3062000965650808E-2</v>
      </c>
      <c r="J747" s="14">
        <f>IF(COUNT(B747)=0,"",B747-(INTERCEPT('3. Cleaned Data'!$B$4:$B$1041,'3. Cleaned Data'!$H$4:$H$1041)+SLOPE('3. Cleaned Data'!$B$4:$B$1041,'3. Cleaned Data'!$H$4:$H$1041)*H747))</f>
        <v>7.8997441751859299E-2</v>
      </c>
    </row>
    <row r="748" spans="1:10" x14ac:dyDescent="0.2">
      <c r="A748" s="12">
        <v>43406</v>
      </c>
      <c r="B748" s="13">
        <v>17.722106524800001</v>
      </c>
      <c r="C748" s="13">
        <v>154.05999800000001</v>
      </c>
      <c r="D748" s="13">
        <v>154.88999899999999</v>
      </c>
      <c r="E748" s="13">
        <v>152.44000199999999</v>
      </c>
      <c r="F748" s="13">
        <v>154</v>
      </c>
      <c r="G748" s="13">
        <v>149.78787199999999</v>
      </c>
      <c r="H748" s="13">
        <v>149.78787199999999</v>
      </c>
      <c r="I748" s="14">
        <f t="shared" si="11"/>
        <v>3.322774392799932E-3</v>
      </c>
      <c r="J748" s="14">
        <f>IF(COUNT(B748)=0,"",B748-(INTERCEPT('3. Cleaned Data'!$B$4:$B$1041,'3. Cleaned Data'!$H$4:$H$1041)+SLOPE('3. Cleaned Data'!$B$4:$B$1041,'3. Cleaned Data'!$H$4:$H$1041)*H748))</f>
        <v>-0.96999018512203961</v>
      </c>
    </row>
    <row r="749" spans="1:10" x14ac:dyDescent="0.2">
      <c r="A749" s="12">
        <v>43409</v>
      </c>
      <c r="B749" s="13">
        <v>17.7212191104</v>
      </c>
      <c r="C749" s="13">
        <v>154.03999300000001</v>
      </c>
      <c r="D749" s="13">
        <v>154.66000399999999</v>
      </c>
      <c r="E749" s="13">
        <v>152.35000600000001</v>
      </c>
      <c r="F749" s="13">
        <v>153.88000500000001</v>
      </c>
      <c r="G749" s="13">
        <v>149.67115799999999</v>
      </c>
      <c r="H749" s="13">
        <v>149.67115799999999</v>
      </c>
      <c r="I749" s="14">
        <f t="shared" si="11"/>
        <v>-7.7919526088199298E-4</v>
      </c>
      <c r="J749" s="14">
        <f>IF(COUNT(B749)=0,"",B749-(INTERCEPT('3. Cleaned Data'!$B$4:$B$1041,'3. Cleaned Data'!$H$4:$H$1041)+SLOPE('3. Cleaned Data'!$B$4:$B$1041,'3. Cleaned Data'!$H$4:$H$1041)*H749))</f>
        <v>-0.9549120081126965</v>
      </c>
    </row>
    <row r="750" spans="1:10" x14ac:dyDescent="0.2">
      <c r="A750" s="12">
        <v>43410</v>
      </c>
      <c r="B750" s="13">
        <v>17.968850140800001</v>
      </c>
      <c r="C750" s="13">
        <v>153.64999399999999</v>
      </c>
      <c r="D750" s="13">
        <v>155.11000100000001</v>
      </c>
      <c r="E750" s="13">
        <v>153.520004</v>
      </c>
      <c r="F750" s="13">
        <v>154.63999899999999</v>
      </c>
      <c r="G750" s="13">
        <v>150.41035500000001</v>
      </c>
      <c r="H750" s="13">
        <v>150.41035500000001</v>
      </c>
      <c r="I750" s="14">
        <f t="shared" si="11"/>
        <v>4.9388072483544931E-3</v>
      </c>
      <c r="J750" s="14">
        <f>IF(COUNT(B750)=0,"",B750-(INTERCEPT('3. Cleaned Data'!$B$4:$B$1041,'3. Cleaned Data'!$H$4:$H$1041)+SLOPE('3. Cleaned Data'!$B$4:$B$1041,'3. Cleaned Data'!$H$4:$H$1041)*H750))</f>
        <v>-0.80839752990877756</v>
      </c>
    </row>
    <row r="751" spans="1:10" x14ac:dyDescent="0.2">
      <c r="A751" s="12">
        <v>43411</v>
      </c>
      <c r="B751" s="13">
        <v>17.434010485200002</v>
      </c>
      <c r="C751" s="13">
        <v>155.36000100000001</v>
      </c>
      <c r="D751" s="13">
        <v>157.41000399999999</v>
      </c>
      <c r="E751" s="13">
        <v>154.800003</v>
      </c>
      <c r="F751" s="13">
        <v>157.41000399999999</v>
      </c>
      <c r="G751" s="13">
        <v>153.10462999999999</v>
      </c>
      <c r="H751" s="13">
        <v>153.10462999999999</v>
      </c>
      <c r="I751" s="14">
        <f t="shared" si="11"/>
        <v>1.7912829206472969E-2</v>
      </c>
      <c r="J751" s="14">
        <f>IF(COUNT(B751)=0,"",B751-(INTERCEPT('3. Cleaned Data'!$B$4:$B$1041,'3. Cleaned Data'!$H$4:$H$1041)+SLOPE('3. Cleaned Data'!$B$4:$B$1041,'3. Cleaned Data'!$H$4:$H$1041)*H751))</f>
        <v>-1.7117936037140531</v>
      </c>
    </row>
    <row r="752" spans="1:10" x14ac:dyDescent="0.2">
      <c r="A752" s="12">
        <v>43412</v>
      </c>
      <c r="B752" s="13">
        <v>17.835205471199998</v>
      </c>
      <c r="C752" s="13">
        <v>156.61000100000001</v>
      </c>
      <c r="D752" s="13">
        <v>157.89999399999999</v>
      </c>
      <c r="E752" s="13">
        <v>156.33999600000001</v>
      </c>
      <c r="F752" s="13">
        <v>156.990005</v>
      </c>
      <c r="G752" s="13">
        <v>152.696091</v>
      </c>
      <c r="H752" s="13">
        <v>152.696091</v>
      </c>
      <c r="I752" s="14">
        <f t="shared" si="11"/>
        <v>-2.6683647646710273E-3</v>
      </c>
      <c r="J752" s="14">
        <f>IF(COUNT(B752)=0,"",B752-(INTERCEPT('3. Cleaned Data'!$B$4:$B$1041,'3. Cleaned Data'!$H$4:$H$1041)+SLOPE('3. Cleaned Data'!$B$4:$B$1041,'3. Cleaned Data'!$H$4:$H$1041)*H752))</f>
        <v>-1.2547135760842423</v>
      </c>
    </row>
    <row r="753" spans="1:10" x14ac:dyDescent="0.2">
      <c r="A753" s="12">
        <v>43413</v>
      </c>
      <c r="B753" s="13">
        <v>19.074847968</v>
      </c>
      <c r="C753" s="13">
        <v>156</v>
      </c>
      <c r="D753" s="13">
        <v>156.029999</v>
      </c>
      <c r="E753" s="13">
        <v>152.949997</v>
      </c>
      <c r="F753" s="13">
        <v>154.08000200000001</v>
      </c>
      <c r="G753" s="13">
        <v>149.86567700000001</v>
      </c>
      <c r="H753" s="13">
        <v>149.86567700000001</v>
      </c>
      <c r="I753" s="14">
        <f t="shared" si="11"/>
        <v>-1.8536257093837438E-2</v>
      </c>
      <c r="J753" s="14">
        <f>IF(COUNT(B753)=0,"",B753-(INTERCEPT('3. Cleaned Data'!$B$4:$B$1041,'3. Cleaned Data'!$H$4:$H$1041)+SLOPE('3. Cleaned Data'!$B$4:$B$1041,'3. Cleaned Data'!$H$4:$H$1041)*H753))</f>
        <v>0.37210812323891318</v>
      </c>
    </row>
    <row r="754" spans="1:10" x14ac:dyDescent="0.2">
      <c r="A754" s="12">
        <v>43416</v>
      </c>
      <c r="B754" s="13"/>
      <c r="C754" s="13"/>
      <c r="D754" s="13"/>
      <c r="E754" s="13"/>
      <c r="F754" s="13"/>
      <c r="G754" s="13"/>
      <c r="H754" s="15">
        <v>149.019472833333</v>
      </c>
      <c r="I754" s="14">
        <f t="shared" si="11"/>
        <v>-5.6464174026118474E-3</v>
      </c>
      <c r="J754" s="14" t="str">
        <f>IF(COUNT(B754)=0,"",B754-(INTERCEPT('3. Cleaned Data'!$B$4:$B$1041,'3. Cleaned Data'!$H$4:$H$1041)+SLOPE('3. Cleaned Data'!$B$4:$B$1041,'3. Cleaned Data'!$H$4:$H$1041)*H754))</f>
        <v/>
      </c>
    </row>
    <row r="755" spans="1:10" x14ac:dyDescent="0.2">
      <c r="A755" s="12">
        <v>43417</v>
      </c>
      <c r="B755" s="13"/>
      <c r="C755" s="13"/>
      <c r="D755" s="13"/>
      <c r="E755" s="13"/>
      <c r="F755" s="13"/>
      <c r="G755" s="13"/>
      <c r="H755" s="15">
        <v>148.17326866666701</v>
      </c>
      <c r="I755" s="14">
        <f t="shared" si="11"/>
        <v>-5.6784804735714456E-3</v>
      </c>
      <c r="J755" s="14" t="str">
        <f>IF(COUNT(B755)=0,"",B755-(INTERCEPT('3. Cleaned Data'!$B$4:$B$1041,'3. Cleaned Data'!$H$4:$H$1041)+SLOPE('3. Cleaned Data'!$B$4:$B$1041,'3. Cleaned Data'!$H$4:$H$1041)*H755))</f>
        <v/>
      </c>
    </row>
    <row r="756" spans="1:10" x14ac:dyDescent="0.2">
      <c r="A756" s="12">
        <v>43418</v>
      </c>
      <c r="B756" s="13"/>
      <c r="C756" s="13"/>
      <c r="D756" s="13"/>
      <c r="E756" s="13"/>
      <c r="F756" s="13"/>
      <c r="G756" s="13"/>
      <c r="H756" s="15">
        <v>147.32706450000001</v>
      </c>
      <c r="I756" s="14">
        <f t="shared" si="11"/>
        <v>-5.7109097631546923E-3</v>
      </c>
      <c r="J756" s="14" t="str">
        <f>IF(COUNT(B756)=0,"",B756-(INTERCEPT('3. Cleaned Data'!$B$4:$B$1041,'3. Cleaned Data'!$H$4:$H$1041)+SLOPE('3. Cleaned Data'!$B$4:$B$1041,'3. Cleaned Data'!$H$4:$H$1041)*H756))</f>
        <v/>
      </c>
    </row>
    <row r="757" spans="1:10" x14ac:dyDescent="0.2">
      <c r="A757" s="12">
        <v>43419</v>
      </c>
      <c r="B757" s="13"/>
      <c r="C757" s="13"/>
      <c r="D757" s="13"/>
      <c r="E757" s="13"/>
      <c r="F757" s="13"/>
      <c r="G757" s="13"/>
      <c r="H757" s="15">
        <v>146.480860333333</v>
      </c>
      <c r="I757" s="14">
        <f t="shared" si="11"/>
        <v>-5.7437115817033924E-3</v>
      </c>
      <c r="J757" s="14" t="str">
        <f>IF(COUNT(B757)=0,"",B757-(INTERCEPT('3. Cleaned Data'!$B$4:$B$1041,'3. Cleaned Data'!$H$4:$H$1041)+SLOPE('3. Cleaned Data'!$B$4:$B$1041,'3. Cleaned Data'!$H$4:$H$1041)*H757))</f>
        <v/>
      </c>
    </row>
    <row r="758" spans="1:10" x14ac:dyDescent="0.2">
      <c r="A758" s="12">
        <v>43420</v>
      </c>
      <c r="B758" s="13"/>
      <c r="C758" s="13"/>
      <c r="D758" s="13"/>
      <c r="E758" s="13"/>
      <c r="F758" s="13"/>
      <c r="G758" s="13"/>
      <c r="H758" s="15">
        <v>145.63465616666701</v>
      </c>
      <c r="I758" s="14">
        <f t="shared" si="11"/>
        <v>-5.7768923853966925E-3</v>
      </c>
      <c r="J758" s="14" t="str">
        <f>IF(COUNT(B758)=0,"",B758-(INTERCEPT('3. Cleaned Data'!$B$4:$B$1041,'3. Cleaned Data'!$H$4:$H$1041)+SLOPE('3. Cleaned Data'!$B$4:$B$1041,'3. Cleaned Data'!$H$4:$H$1041)*H758))</f>
        <v/>
      </c>
    </row>
    <row r="759" spans="1:10" x14ac:dyDescent="0.2">
      <c r="A759" s="12">
        <v>43423</v>
      </c>
      <c r="B759" s="13">
        <v>17.769120480000002</v>
      </c>
      <c r="C759" s="13">
        <v>151.679993</v>
      </c>
      <c r="D759" s="13">
        <v>152.029999</v>
      </c>
      <c r="E759" s="13">
        <v>148.36999499999999</v>
      </c>
      <c r="F759" s="13">
        <v>148.86000100000001</v>
      </c>
      <c r="G759" s="13">
        <v>144.78845200000001</v>
      </c>
      <c r="H759" s="13">
        <v>144.78845200000001</v>
      </c>
      <c r="I759" s="14">
        <f t="shared" si="11"/>
        <v>-5.810458780488359E-3</v>
      </c>
      <c r="J759" s="14">
        <f>IF(COUNT(B759)=0,"",B759-(INTERCEPT('3. Cleaned Data'!$B$4:$B$1041,'3. Cleaned Data'!$H$4:$H$1041)+SLOPE('3. Cleaned Data'!$B$4:$B$1041,'3. Cleaned Data'!$H$4:$H$1041)*H759))</f>
        <v>-0.23909343091160551</v>
      </c>
    </row>
    <row r="760" spans="1:10" x14ac:dyDescent="0.2">
      <c r="A760" s="12">
        <v>43424</v>
      </c>
      <c r="B760" s="13">
        <v>18.075691238400001</v>
      </c>
      <c r="C760" s="13">
        <v>147.25</v>
      </c>
      <c r="D760" s="13">
        <v>148.429993</v>
      </c>
      <c r="E760" s="13">
        <v>145.58999600000001</v>
      </c>
      <c r="F760" s="13">
        <v>145.990005</v>
      </c>
      <c r="G760" s="13">
        <v>141.996948</v>
      </c>
      <c r="H760" s="13">
        <v>141.996948</v>
      </c>
      <c r="I760" s="14">
        <f t="shared" si="11"/>
        <v>-1.9279880138507233E-2</v>
      </c>
      <c r="J760" s="14">
        <f>IF(COUNT(B760)=0,"",B760-(INTERCEPT('3. Cleaned Data'!$B$4:$B$1041,'3. Cleaned Data'!$H$4:$H$1041)+SLOPE('3. Cleaned Data'!$B$4:$B$1041,'3. Cleaned Data'!$H$4:$H$1041)*H760))</f>
        <v>0.44933393664882004</v>
      </c>
    </row>
    <row r="761" spans="1:10" x14ac:dyDescent="0.2">
      <c r="A761" s="12">
        <v>43425</v>
      </c>
      <c r="B761" s="13">
        <v>18.704149758</v>
      </c>
      <c r="C761" s="13">
        <v>146.779999</v>
      </c>
      <c r="D761" s="13">
        <v>149.36999499999999</v>
      </c>
      <c r="E761" s="13">
        <v>146.529999</v>
      </c>
      <c r="F761" s="13">
        <v>148.029999</v>
      </c>
      <c r="G761" s="13">
        <v>143.98117099999999</v>
      </c>
      <c r="H761" s="13">
        <v>143.98117099999999</v>
      </c>
      <c r="I761" s="14">
        <f t="shared" si="11"/>
        <v>1.397370174463175E-2</v>
      </c>
      <c r="J761" s="14">
        <f>IF(COUNT(B761)=0,"",B761-(INTERCEPT('3. Cleaned Data'!$B$4:$B$1041,'3. Cleaned Data'!$H$4:$H$1041)+SLOPE('3. Cleaned Data'!$B$4:$B$1041,'3. Cleaned Data'!$H$4:$H$1041)*H761))</f>
        <v>0.80636577493361372</v>
      </c>
    </row>
    <row r="762" spans="1:10" x14ac:dyDescent="0.2">
      <c r="A762" s="12">
        <v>43427</v>
      </c>
      <c r="B762" s="13">
        <v>18.883075302000002</v>
      </c>
      <c r="C762" s="13">
        <v>146.820007</v>
      </c>
      <c r="D762" s="13">
        <v>149.300003</v>
      </c>
      <c r="E762" s="13">
        <v>146.80999800000001</v>
      </c>
      <c r="F762" s="13">
        <v>147.88999899999999</v>
      </c>
      <c r="G762" s="13">
        <v>143.84497099999999</v>
      </c>
      <c r="H762" s="13">
        <v>143.84497099999999</v>
      </c>
      <c r="I762" s="14">
        <f t="shared" si="11"/>
        <v>-9.4595702378330593E-4</v>
      </c>
      <c r="J762" s="14">
        <f>IF(COUNT(B762)=0,"",B762-(INTERCEPT('3. Cleaned Data'!$B$4:$B$1041,'3. Cleaned Data'!$H$4:$H$1041)+SLOPE('3. Cleaned Data'!$B$4:$B$1041,'3. Cleaned Data'!$H$4:$H$1041)*H762))</f>
        <v>1.0039224475895843</v>
      </c>
    </row>
    <row r="763" spans="1:10" x14ac:dyDescent="0.2">
      <c r="A763" s="12">
        <v>43430</v>
      </c>
      <c r="B763" s="13">
        <v>17.734761202800001</v>
      </c>
      <c r="C763" s="13">
        <v>149.320007</v>
      </c>
      <c r="D763" s="13">
        <v>150.39999399999999</v>
      </c>
      <c r="E763" s="13">
        <v>148.740005</v>
      </c>
      <c r="F763" s="13">
        <v>149.80999800000001</v>
      </c>
      <c r="G763" s="13">
        <v>145.71246300000001</v>
      </c>
      <c r="H763" s="13">
        <v>145.71246300000001</v>
      </c>
      <c r="I763" s="14">
        <f t="shared" si="11"/>
        <v>1.2982671462320461E-2</v>
      </c>
      <c r="J763" s="14">
        <f>IF(COUNT(B763)=0,"",B763-(INTERCEPT('3. Cleaned Data'!$B$4:$B$1041,'3. Cleaned Data'!$H$4:$H$1041)+SLOPE('3. Cleaned Data'!$B$4:$B$1041,'3. Cleaned Data'!$H$4:$H$1041)*H763))</f>
        <v>-0.39985041604501248</v>
      </c>
    </row>
    <row r="764" spans="1:10" x14ac:dyDescent="0.2">
      <c r="A764" s="12">
        <v>43431</v>
      </c>
      <c r="B764" s="13">
        <v>18.383525421600002</v>
      </c>
      <c r="C764" s="13">
        <v>149.179993</v>
      </c>
      <c r="D764" s="13">
        <v>149.729996</v>
      </c>
      <c r="E764" s="13">
        <v>148.28999300000001</v>
      </c>
      <c r="F764" s="13">
        <v>148.570007</v>
      </c>
      <c r="G764" s="13">
        <v>144.50642400000001</v>
      </c>
      <c r="H764" s="13">
        <v>144.50642400000001</v>
      </c>
      <c r="I764" s="14">
        <f t="shared" si="11"/>
        <v>-8.2768417688472429E-3</v>
      </c>
      <c r="J764" s="14">
        <f>IF(COUNT(B764)=0,"",B764-(INTERCEPT('3. Cleaned Data'!$B$4:$B$1041,'3. Cleaned Data'!$H$4:$H$1041)+SLOPE('3. Cleaned Data'!$B$4:$B$1041,'3. Cleaned Data'!$H$4:$H$1041)*H764))</f>
        <v>0.41389080549445367</v>
      </c>
    </row>
    <row r="765" spans="1:10" x14ac:dyDescent="0.2">
      <c r="A765" s="12">
        <v>43432</v>
      </c>
      <c r="B765" s="13">
        <v>18.490672992</v>
      </c>
      <c r="C765" s="13">
        <v>149.199997</v>
      </c>
      <c r="D765" s="13">
        <v>152.36999499999999</v>
      </c>
      <c r="E765" s="13">
        <v>147.699997</v>
      </c>
      <c r="F765" s="13">
        <v>152.240005</v>
      </c>
      <c r="G765" s="13">
        <v>148.07600400000001</v>
      </c>
      <c r="H765" s="13">
        <v>148.07600400000001</v>
      </c>
      <c r="I765" s="14">
        <f t="shared" si="11"/>
        <v>2.4701877613413137E-2</v>
      </c>
      <c r="J765" s="14">
        <f>IF(COUNT(B765)=0,"",B765-(INTERCEPT('3. Cleaned Data'!$B$4:$B$1041,'3. Cleaned Data'!$H$4:$H$1041)+SLOPE('3. Cleaned Data'!$B$4:$B$1041,'3. Cleaned Data'!$H$4:$H$1041)*H765))</f>
        <v>3.2746861740477584E-2</v>
      </c>
    </row>
    <row r="766" spans="1:10" x14ac:dyDescent="0.2">
      <c r="A766" s="12">
        <v>43433</v>
      </c>
      <c r="B766" s="13">
        <v>16.760679960000001</v>
      </c>
      <c r="C766" s="13">
        <v>151.61000100000001</v>
      </c>
      <c r="D766" s="13">
        <v>152.740005</v>
      </c>
      <c r="E766" s="13">
        <v>150.44000199999999</v>
      </c>
      <c r="F766" s="13">
        <v>151.83000200000001</v>
      </c>
      <c r="G766" s="13">
        <v>147.67721599999999</v>
      </c>
      <c r="H766" s="13">
        <v>147.67721599999999</v>
      </c>
      <c r="I766" s="14">
        <f t="shared" si="11"/>
        <v>-2.6931304818302859E-3</v>
      </c>
      <c r="J766" s="14">
        <f>IF(COUNT(B766)=0,"",B766-(INTERCEPT('3. Cleaned Data'!$B$4:$B$1041,'3. Cleaned Data'!$H$4:$H$1041)+SLOPE('3. Cleaned Data'!$B$4:$B$1041,'3. Cleaned Data'!$H$4:$H$1041)*H766))</f>
        <v>-1.6426949915924389</v>
      </c>
    </row>
    <row r="767" spans="1:10" x14ac:dyDescent="0.2">
      <c r="A767" s="12">
        <v>43434</v>
      </c>
      <c r="B767" s="13">
        <v>17.580329928000001</v>
      </c>
      <c r="C767" s="13">
        <v>151.46000699999999</v>
      </c>
      <c r="D767" s="13">
        <v>152.86000100000001</v>
      </c>
      <c r="E767" s="13">
        <v>151.08000200000001</v>
      </c>
      <c r="F767" s="13">
        <v>152.61999499999999</v>
      </c>
      <c r="G767" s="13">
        <v>148.44563299999999</v>
      </c>
      <c r="H767" s="13">
        <v>148.44563299999999</v>
      </c>
      <c r="I767" s="14">
        <f t="shared" si="11"/>
        <v>5.203355133672094E-3</v>
      </c>
      <c r="J767" s="14">
        <f>IF(COUNT(B767)=0,"",B767-(INTERCEPT('3. Cleaned Data'!$B$4:$B$1041,'3. Cleaned Data'!$H$4:$H$1041)+SLOPE('3. Cleaned Data'!$B$4:$B$1041,'3. Cleaned Data'!$H$4:$H$1041)*H767))</f>
        <v>-0.92815865052660484</v>
      </c>
    </row>
    <row r="768" spans="1:10" x14ac:dyDescent="0.2">
      <c r="A768" s="12">
        <v>43437</v>
      </c>
      <c r="B768" s="13">
        <v>18.593385095999999</v>
      </c>
      <c r="C768" s="13">
        <v>154.38999899999999</v>
      </c>
      <c r="D768" s="13">
        <v>154.479996</v>
      </c>
      <c r="E768" s="13">
        <v>152.020004</v>
      </c>
      <c r="F768" s="13">
        <v>154.08000200000001</v>
      </c>
      <c r="G768" s="13">
        <v>149.86567700000001</v>
      </c>
      <c r="H768" s="13">
        <v>149.86567700000001</v>
      </c>
      <c r="I768" s="14">
        <f t="shared" si="11"/>
        <v>9.5660880775119139E-3</v>
      </c>
      <c r="J768" s="14">
        <f>IF(COUNT(B768)=0,"",B768-(INTERCEPT('3. Cleaned Data'!$B$4:$B$1041,'3. Cleaned Data'!$H$4:$H$1041)+SLOPE('3. Cleaned Data'!$B$4:$B$1041,'3. Cleaned Data'!$H$4:$H$1041)*H768))</f>
        <v>-0.10935474876108842</v>
      </c>
    </row>
    <row r="769" spans="1:10" x14ac:dyDescent="0.2">
      <c r="A769" s="12">
        <v>43438</v>
      </c>
      <c r="B769" s="13">
        <v>16.663802520000001</v>
      </c>
      <c r="C769" s="13">
        <v>153.75</v>
      </c>
      <c r="D769" s="13">
        <v>154.13000500000001</v>
      </c>
      <c r="E769" s="13">
        <v>147.13999899999999</v>
      </c>
      <c r="F769" s="13">
        <v>147.520004</v>
      </c>
      <c r="G769" s="13">
        <v>143.48512299999999</v>
      </c>
      <c r="H769" s="13">
        <v>143.48512299999999</v>
      </c>
      <c r="I769" s="14">
        <f t="shared" si="11"/>
        <v>-4.2575152147746431E-2</v>
      </c>
      <c r="J769" s="14">
        <f>IF(COUNT(B769)=0,"",B769-(INTERCEPT('3. Cleaned Data'!$B$4:$B$1041,'3. Cleaned Data'!$H$4:$H$1041)+SLOPE('3. Cleaned Data'!$B$4:$B$1041,'3. Cleaned Data'!$H$4:$H$1041)*H769))</f>
        <v>-1.1661258528788991</v>
      </c>
    </row>
    <row r="770" spans="1:10" x14ac:dyDescent="0.2">
      <c r="A770" s="12">
        <v>43440</v>
      </c>
      <c r="B770" s="13">
        <v>16.9040444904</v>
      </c>
      <c r="C770" s="13">
        <v>145.449997</v>
      </c>
      <c r="D770" s="15">
        <v>147.199997</v>
      </c>
      <c r="E770" s="13">
        <v>143.429993</v>
      </c>
      <c r="F770" s="13">
        <v>147.199997</v>
      </c>
      <c r="G770" s="13">
        <v>143.17387400000001</v>
      </c>
      <c r="H770" s="13">
        <v>143.17387400000001</v>
      </c>
      <c r="I770" s="14">
        <f t="shared" si="11"/>
        <v>-2.1692074655013105E-3</v>
      </c>
      <c r="J770" s="14">
        <f>IF(COUNT(B770)=0,"",B770-(INTERCEPT('3. Cleaned Data'!$B$4:$B$1041,'3. Cleaned Data'!$H$4:$H$1041)+SLOPE('3. Cleaned Data'!$B$4:$B$1041,'3. Cleaned Data'!$H$4:$H$1041)*H770))</f>
        <v>-0.88330737614232646</v>
      </c>
    </row>
    <row r="771" spans="1:10" x14ac:dyDescent="0.2">
      <c r="A771" s="12">
        <v>43441</v>
      </c>
      <c r="B771" s="13">
        <v>17.650820616000001</v>
      </c>
      <c r="C771" s="13">
        <v>147.13999899999999</v>
      </c>
      <c r="D771" s="13">
        <v>148.259995</v>
      </c>
      <c r="E771" s="13">
        <v>143.270004</v>
      </c>
      <c r="F771" s="13">
        <v>144.020004</v>
      </c>
      <c r="G771" s="13">
        <v>140.08085600000001</v>
      </c>
      <c r="H771" s="13">
        <v>140.08085600000001</v>
      </c>
      <c r="I771" s="14">
        <f t="shared" si="11"/>
        <v>-2.1603229091922138E-2</v>
      </c>
      <c r="J771" s="14">
        <f>IF(COUNT(B771)=0,"",B771-(INTERCEPT('3. Cleaned Data'!$B$4:$B$1041,'3. Cleaned Data'!$H$4:$H$1041)+SLOPE('3. Cleaned Data'!$B$4:$B$1041,'3. Cleaned Data'!$H$4:$H$1041)*H771))</f>
        <v>0.28657019067078693</v>
      </c>
    </row>
    <row r="772" spans="1:10" x14ac:dyDescent="0.2">
      <c r="A772" s="12">
        <v>43444</v>
      </c>
      <c r="B772" s="13">
        <v>17.628918647999999</v>
      </c>
      <c r="C772" s="13">
        <v>144.270004</v>
      </c>
      <c r="D772" s="13">
        <v>144.720001</v>
      </c>
      <c r="E772" s="13">
        <v>141.449997</v>
      </c>
      <c r="F772" s="13">
        <v>143.60000600000001</v>
      </c>
      <c r="G772" s="13">
        <v>139.67233300000001</v>
      </c>
      <c r="H772" s="13">
        <v>139.67233300000001</v>
      </c>
      <c r="I772" s="14">
        <f t="shared" si="11"/>
        <v>-2.9163371188993814E-3</v>
      </c>
      <c r="J772" s="14">
        <f>IF(COUNT(B772)=0,"",B772-(INTERCEPT('3. Cleaned Data'!$B$4:$B$1041,'3. Cleaned Data'!$H$4:$H$1041)+SLOPE('3. Cleaned Data'!$B$4:$B$1041,'3. Cleaned Data'!$H$4:$H$1041)*H772))</f>
        <v>0.32055107562175422</v>
      </c>
    </row>
    <row r="773" spans="1:10" x14ac:dyDescent="0.2">
      <c r="A773" s="12">
        <v>43445</v>
      </c>
      <c r="B773" s="13">
        <v>16.947933004799999</v>
      </c>
      <c r="C773" s="13">
        <v>145.679993</v>
      </c>
      <c r="D773" s="13">
        <v>146.19000199999999</v>
      </c>
      <c r="E773" s="13">
        <v>142.38999899999999</v>
      </c>
      <c r="F773" s="13">
        <v>143.449997</v>
      </c>
      <c r="G773" s="13">
        <v>139.52642800000001</v>
      </c>
      <c r="H773" s="13">
        <v>139.52642800000001</v>
      </c>
      <c r="I773" s="14">
        <f t="shared" ref="I773:I836" si="12">H773/H772-1</f>
        <v>-1.0446234903228602E-3</v>
      </c>
      <c r="J773" s="14">
        <f>IF(COUNT(B773)=0,"",B773-(INTERCEPT('3. Cleaned Data'!$B$4:$B$1041,'3. Cleaned Data'!$H$4:$H$1041)+SLOPE('3. Cleaned Data'!$B$4:$B$1041,'3. Cleaned Data'!$H$4:$H$1041)*H773))</f>
        <v>-0.34047586841121813</v>
      </c>
    </row>
    <row r="774" spans="1:10" x14ac:dyDescent="0.2">
      <c r="A774" s="12">
        <v>43446</v>
      </c>
      <c r="B774" s="13">
        <v>16.668415742400001</v>
      </c>
      <c r="C774" s="13">
        <v>144.88000500000001</v>
      </c>
      <c r="D774" s="13">
        <v>146.759995</v>
      </c>
      <c r="E774" s="13">
        <v>144.759995</v>
      </c>
      <c r="F774" s="13">
        <v>144.820007</v>
      </c>
      <c r="G774" s="13">
        <v>140.85897800000001</v>
      </c>
      <c r="H774" s="13">
        <v>140.85897800000001</v>
      </c>
      <c r="I774" s="14">
        <f t="shared" si="12"/>
        <v>9.5505204218371276E-3</v>
      </c>
      <c r="J774" s="14">
        <f>IF(COUNT(B774)=0,"",B774-(INTERCEPT('3. Cleaned Data'!$B$4:$B$1041,'3. Cleaned Data'!$H$4:$H$1041)+SLOPE('3. Cleaned Data'!$B$4:$B$1041,'3. Cleaned Data'!$H$4:$H$1041)*H774))</f>
        <v>-0.80227588037443809</v>
      </c>
    </row>
    <row r="775" spans="1:10" x14ac:dyDescent="0.2">
      <c r="A775" s="12">
        <v>43447</v>
      </c>
      <c r="B775" s="13">
        <v>15.784871256000001</v>
      </c>
      <c r="C775" s="13">
        <v>145.240005</v>
      </c>
      <c r="D775" s="13">
        <v>145.69000199999999</v>
      </c>
      <c r="E775" s="13">
        <v>142.53999300000001</v>
      </c>
      <c r="F775" s="13">
        <v>142.770004</v>
      </c>
      <c r="G775" s="13">
        <v>138.86502100000001</v>
      </c>
      <c r="H775" s="13">
        <v>138.86502100000001</v>
      </c>
      <c r="I775" s="14">
        <f t="shared" si="12"/>
        <v>-1.4155696912695137E-2</v>
      </c>
      <c r="J775" s="14">
        <f>IF(COUNT(B775)=0,"",B775-(INTERCEPT('3. Cleaned Data'!$B$4:$B$1041,'3. Cleaned Data'!$H$4:$H$1041)+SLOPE('3. Cleaned Data'!$B$4:$B$1041,'3. Cleaned Data'!$H$4:$H$1041)*H775))</f>
        <v>-1.4130621479677661</v>
      </c>
    </row>
    <row r="776" spans="1:10" x14ac:dyDescent="0.2">
      <c r="A776" s="12">
        <v>43448</v>
      </c>
      <c r="B776" s="13">
        <v>15.9209395776</v>
      </c>
      <c r="C776" s="13">
        <v>141.729996</v>
      </c>
      <c r="D776" s="13">
        <v>143.229996</v>
      </c>
      <c r="E776" s="13">
        <v>140.10000600000001</v>
      </c>
      <c r="F776" s="13">
        <v>140.61000100000001</v>
      </c>
      <c r="G776" s="13">
        <v>136.76411400000001</v>
      </c>
      <c r="H776" s="13">
        <v>136.76411400000001</v>
      </c>
      <c r="I776" s="14">
        <f t="shared" si="12"/>
        <v>-1.5129130322891093E-2</v>
      </c>
      <c r="J776" s="14">
        <f>IF(COUNT(B776)=0,"",B776-(INTERCEPT('3. Cleaned Data'!$B$4:$B$1041,'3. Cleaned Data'!$H$4:$H$1041)+SLOPE('3. Cleaned Data'!$B$4:$B$1041,'3. Cleaned Data'!$H$4:$H$1041)*H776))</f>
        <v>-0.98960565741604434</v>
      </c>
    </row>
    <row r="777" spans="1:10" x14ac:dyDescent="0.2">
      <c r="A777" s="12">
        <v>43451</v>
      </c>
      <c r="B777" s="13">
        <v>15.9136169256</v>
      </c>
      <c r="C777" s="13">
        <v>139.66999799999999</v>
      </c>
      <c r="D777" s="13">
        <v>140.88000500000001</v>
      </c>
      <c r="E777" s="13">
        <v>136.16000399999999</v>
      </c>
      <c r="F777" s="13">
        <v>137.020004</v>
      </c>
      <c r="G777" s="13">
        <v>133.71833799999999</v>
      </c>
      <c r="H777" s="13">
        <v>133.71833799999999</v>
      </c>
      <c r="I777" s="14">
        <f t="shared" si="12"/>
        <v>-2.2270286487579782E-2</v>
      </c>
      <c r="J777" s="14">
        <f>IF(COUNT(B777)=0,"",B777-(INTERCEPT('3. Cleaned Data'!$B$4:$B$1041,'3. Cleaned Data'!$H$4:$H$1041)+SLOPE('3. Cleaned Data'!$B$4:$B$1041,'3. Cleaned Data'!$H$4:$H$1041)*H777))</f>
        <v>-0.58028921607345296</v>
      </c>
    </row>
    <row r="778" spans="1:10" x14ac:dyDescent="0.2">
      <c r="A778" s="12">
        <v>43452</v>
      </c>
      <c r="B778" s="13">
        <v>16.135105459199998</v>
      </c>
      <c r="C778" s="13">
        <v>138.259995</v>
      </c>
      <c r="D778" s="13">
        <v>139.179993</v>
      </c>
      <c r="E778" s="13">
        <v>136.28999300000001</v>
      </c>
      <c r="F778" s="13">
        <v>136.85000600000001</v>
      </c>
      <c r="G778" s="13">
        <v>133.552414</v>
      </c>
      <c r="H778" s="13">
        <v>133.552414</v>
      </c>
      <c r="I778" s="14">
        <f t="shared" si="12"/>
        <v>-1.2408470108264957E-3</v>
      </c>
      <c r="J778" s="14">
        <f>IF(COUNT(B778)=0,"",B778-(INTERCEPT('3. Cleaned Data'!$B$4:$B$1041,'3. Cleaned Data'!$H$4:$H$1041)+SLOPE('3. Cleaned Data'!$B$4:$B$1041,'3. Cleaned Data'!$H$4:$H$1041)*H778))</f>
        <v>-0.33610353569582685</v>
      </c>
    </row>
    <row r="779" spans="1:10" x14ac:dyDescent="0.2">
      <c r="A779" s="12">
        <v>43453</v>
      </c>
      <c r="B779" s="13">
        <v>16.648158333600001</v>
      </c>
      <c r="C779" s="13">
        <v>136.800003</v>
      </c>
      <c r="D779" s="13">
        <v>138.679993</v>
      </c>
      <c r="E779" s="13">
        <v>133.25</v>
      </c>
      <c r="F779" s="13">
        <v>134</v>
      </c>
      <c r="G779" s="13">
        <v>130.77108799999999</v>
      </c>
      <c r="H779" s="13">
        <v>130.77108799999999</v>
      </c>
      <c r="I779" s="14">
        <f t="shared" si="12"/>
        <v>-2.082572614524214E-2</v>
      </c>
      <c r="J779" s="14">
        <f>IF(COUNT(B779)=0,"",B779-(INTERCEPT('3. Cleaned Data'!$B$4:$B$1041,'3. Cleaned Data'!$H$4:$H$1041)+SLOPE('3. Cleaned Data'!$B$4:$B$1041,'3. Cleaned Data'!$H$4:$H$1041)*H779))</f>
        <v>0.55741367453523338</v>
      </c>
    </row>
    <row r="780" spans="1:10" x14ac:dyDescent="0.2">
      <c r="A780" s="12">
        <v>43454</v>
      </c>
      <c r="B780" s="13">
        <v>17.0920907916</v>
      </c>
      <c r="C780" s="13">
        <v>133.63000500000001</v>
      </c>
      <c r="D780" s="13">
        <v>134.41000399999999</v>
      </c>
      <c r="E780" s="13">
        <v>130.229996</v>
      </c>
      <c r="F780" s="13">
        <v>131.78999300000001</v>
      </c>
      <c r="G780" s="13">
        <v>128.61431899999999</v>
      </c>
      <c r="H780" s="13">
        <v>128.61431899999999</v>
      </c>
      <c r="I780" s="14">
        <f t="shared" si="12"/>
        <v>-1.6492705176544775E-2</v>
      </c>
      <c r="J780" s="14">
        <f>IF(COUNT(B780)=0,"",B780-(INTERCEPT('3. Cleaned Data'!$B$4:$B$1041,'3. Cleaned Data'!$H$4:$H$1041)+SLOPE('3. Cleaned Data'!$B$4:$B$1041,'3. Cleaned Data'!$H$4:$H$1041)*H780))</f>
        <v>1.296375800084455</v>
      </c>
    </row>
    <row r="781" spans="1:10" x14ac:dyDescent="0.2">
      <c r="A781" s="12">
        <v>43455</v>
      </c>
      <c r="B781" s="13">
        <v>17.346805344</v>
      </c>
      <c r="C781" s="13">
        <v>132.38000500000001</v>
      </c>
      <c r="D781" s="13">
        <v>132.949997</v>
      </c>
      <c r="E781" s="13">
        <v>127.980003</v>
      </c>
      <c r="F781" s="13">
        <v>128.36999499999999</v>
      </c>
      <c r="G781" s="13">
        <v>125.27675600000001</v>
      </c>
      <c r="H781" s="13">
        <v>125.27675600000001</v>
      </c>
      <c r="I781" s="14">
        <f t="shared" si="12"/>
        <v>-2.5950166559603582E-2</v>
      </c>
      <c r="J781" s="14">
        <f>IF(COUNT(B781)=0,"",B781-(INTERCEPT('3. Cleaned Data'!$B$4:$B$1041,'3. Cleaned Data'!$H$4:$H$1041)+SLOPE('3. Cleaned Data'!$B$4:$B$1041,'3. Cleaned Data'!$H$4:$H$1041)*H781))</f>
        <v>2.0076436979352579</v>
      </c>
    </row>
    <row r="782" spans="1:10" x14ac:dyDescent="0.2">
      <c r="A782" s="12">
        <v>43458</v>
      </c>
      <c r="B782" s="13">
        <v>15.48759156</v>
      </c>
      <c r="C782" s="13">
        <v>127.730003</v>
      </c>
      <c r="D782" s="13">
        <v>128.470001</v>
      </c>
      <c r="E782" s="13">
        <v>125.839996</v>
      </c>
      <c r="F782" s="13">
        <v>125.879997</v>
      </c>
      <c r="G782" s="13">
        <v>122.846756</v>
      </c>
      <c r="H782" s="13">
        <v>122.846756</v>
      </c>
      <c r="I782" s="14">
        <f t="shared" si="12"/>
        <v>-1.9397053991404456E-2</v>
      </c>
      <c r="J782" s="14">
        <f>IF(COUNT(B782)=0,"",B782-(INTERCEPT('3. Cleaned Data'!$B$4:$B$1041,'3. Cleaned Data'!$H$4:$H$1041)+SLOPE('3. Cleaned Data'!$B$4:$B$1041,'3. Cleaned Data'!$H$4:$H$1041)*H782))</f>
        <v>0.4808355133038571</v>
      </c>
    </row>
    <row r="783" spans="1:10" x14ac:dyDescent="0.2">
      <c r="A783" s="12">
        <v>43460</v>
      </c>
      <c r="B783" s="13">
        <v>16.06611144</v>
      </c>
      <c r="C783" s="13">
        <v>126.279999</v>
      </c>
      <c r="D783" s="13">
        <v>132.10000600000001</v>
      </c>
      <c r="E783" s="13">
        <v>125.80999799999999</v>
      </c>
      <c r="F783" s="13">
        <v>131.929993</v>
      </c>
      <c r="G783" s="13">
        <v>128.750946</v>
      </c>
      <c r="H783" s="13">
        <v>128.750946</v>
      </c>
      <c r="I783" s="14">
        <f t="shared" si="12"/>
        <v>4.8061423779069967E-2</v>
      </c>
      <c r="J783" s="14">
        <f>IF(COUNT(B783)=0,"",B783-(INTERCEPT('3. Cleaned Data'!$B$4:$B$1041,'3. Cleaned Data'!$H$4:$H$1041)+SLOPE('3. Cleaned Data'!$B$4:$B$1041,'3. Cleaned Data'!$H$4:$H$1041)*H783))</f>
        <v>0.25170690946184848</v>
      </c>
    </row>
    <row r="784" spans="1:10" x14ac:dyDescent="0.2">
      <c r="A784" s="12">
        <v>43461</v>
      </c>
      <c r="B784" s="13">
        <v>17.981882028000001</v>
      </c>
      <c r="C784" s="13">
        <v>130.270004</v>
      </c>
      <c r="D784" s="13">
        <v>132.479996</v>
      </c>
      <c r="E784" s="13">
        <v>127.870003</v>
      </c>
      <c r="F784" s="13">
        <v>132.479996</v>
      </c>
      <c r="G784" s="13">
        <v>129.28770399999999</v>
      </c>
      <c r="H784" s="13">
        <v>129.28770399999999</v>
      </c>
      <c r="I784" s="14">
        <f t="shared" si="12"/>
        <v>4.1689635429940086E-3</v>
      </c>
      <c r="J784" s="14">
        <f>IF(COUNT(B784)=0,"",B784-(INTERCEPT('3. Cleaned Data'!$B$4:$B$1041,'3. Cleaned Data'!$H$4:$H$1041)+SLOPE('3. Cleaned Data'!$B$4:$B$1041,'3. Cleaned Data'!$H$4:$H$1041)*H784))</f>
        <v>2.0940530675417293</v>
      </c>
    </row>
    <row r="785" spans="1:10" x14ac:dyDescent="0.2">
      <c r="A785" s="12">
        <v>43462</v>
      </c>
      <c r="B785" s="13">
        <v>18.0915783252</v>
      </c>
      <c r="C785" s="13">
        <v>132.479996</v>
      </c>
      <c r="D785" s="13">
        <v>135.009995</v>
      </c>
      <c r="E785" s="13">
        <v>131.53999300000001</v>
      </c>
      <c r="F785" s="13">
        <v>132.86000100000001</v>
      </c>
      <c r="G785" s="13">
        <v>129.65855400000001</v>
      </c>
      <c r="H785" s="13">
        <v>129.65855400000001</v>
      </c>
      <c r="I785" s="14">
        <f t="shared" si="12"/>
        <v>2.8684088937027674E-3</v>
      </c>
      <c r="J785" s="14">
        <f>IF(COUNT(B785)=0,"",B785-(INTERCEPT('3. Cleaned Data'!$B$4:$B$1041,'3. Cleaned Data'!$H$4:$H$1041)+SLOPE('3. Cleaned Data'!$B$4:$B$1041,'3. Cleaned Data'!$H$4:$H$1041)*H785))</f>
        <v>2.1530198929203905</v>
      </c>
    </row>
    <row r="786" spans="1:10" x14ac:dyDescent="0.2">
      <c r="A786" s="12">
        <v>43465</v>
      </c>
      <c r="B786" s="13">
        <v>17.906229879600001</v>
      </c>
      <c r="C786" s="13">
        <v>133.720001</v>
      </c>
      <c r="D786" s="13">
        <v>134.050003</v>
      </c>
      <c r="E786" s="13">
        <v>131.800003</v>
      </c>
      <c r="F786" s="13">
        <v>133.89999399999999</v>
      </c>
      <c r="G786" s="13">
        <v>130.67347699999999</v>
      </c>
      <c r="H786" s="13">
        <v>130.67347699999999</v>
      </c>
      <c r="I786" s="14">
        <f t="shared" si="12"/>
        <v>7.8276594076467365E-3</v>
      </c>
      <c r="J786" s="14">
        <f>IF(COUNT(B786)=0,"",B786-(INTERCEPT('3. Cleaned Data'!$B$4:$B$1041,'3. Cleaned Data'!$H$4:$H$1041)+SLOPE('3. Cleaned Data'!$B$4:$B$1041,'3. Cleaned Data'!$H$4:$H$1041)*H786))</f>
        <v>1.8288376661977708</v>
      </c>
    </row>
    <row r="787" spans="1:10" x14ac:dyDescent="0.2">
      <c r="A787" s="12">
        <v>43467</v>
      </c>
      <c r="B787" s="13">
        <v>17.830747557599999</v>
      </c>
      <c r="C787" s="13">
        <v>132.16999799999999</v>
      </c>
      <c r="D787" s="13">
        <v>135.16999799999999</v>
      </c>
      <c r="E787" s="13">
        <v>131.53999300000001</v>
      </c>
      <c r="F787" s="13">
        <v>134.66000399999999</v>
      </c>
      <c r="G787" s="13">
        <v>131.41519199999999</v>
      </c>
      <c r="H787" s="13">
        <v>131.41519199999999</v>
      </c>
      <c r="I787" s="14">
        <f t="shared" si="12"/>
        <v>5.6760944686580217E-3</v>
      </c>
      <c r="J787" s="14">
        <f>IF(COUNT(B787)=0,"",B787-(INTERCEPT('3. Cleaned Data'!$B$4:$B$1041,'3. Cleaned Data'!$H$4:$H$1041)+SLOPE('3. Cleaned Data'!$B$4:$B$1041,'3. Cleaned Data'!$H$4:$H$1041)*H787))</f>
        <v>1.6518943486686837</v>
      </c>
    </row>
    <row r="788" spans="1:10" x14ac:dyDescent="0.2">
      <c r="A788" s="12">
        <v>43468</v>
      </c>
      <c r="B788" s="13">
        <v>18.0039698856</v>
      </c>
      <c r="C788" s="13">
        <v>133.91000399999999</v>
      </c>
      <c r="D788" s="13">
        <v>134.63999899999999</v>
      </c>
      <c r="E788" s="13">
        <v>131.64999399999999</v>
      </c>
      <c r="F788" s="13">
        <v>132.25</v>
      </c>
      <c r="G788" s="13">
        <v>129.06326300000001</v>
      </c>
      <c r="H788" s="13">
        <v>129.06326300000001</v>
      </c>
      <c r="I788" s="14">
        <f t="shared" si="12"/>
        <v>-1.7896933864389064E-2</v>
      </c>
      <c r="J788" s="14">
        <f>IF(COUNT(B788)=0,"",B788-(INTERCEPT('3. Cleaned Data'!$B$4:$B$1041,'3. Cleaned Data'!$H$4:$H$1041)+SLOPE('3. Cleaned Data'!$B$4:$B$1041,'3. Cleaned Data'!$H$4:$H$1041)*H788))</f>
        <v>2.1468427544124644</v>
      </c>
    </row>
    <row r="789" spans="1:10" x14ac:dyDescent="0.2">
      <c r="A789" s="12">
        <v>43469</v>
      </c>
      <c r="B789" s="13">
        <v>17.158433931600001</v>
      </c>
      <c r="C789" s="13">
        <v>133.91999799999999</v>
      </c>
      <c r="D789" s="13">
        <v>137.60000600000001</v>
      </c>
      <c r="E789" s="13">
        <v>133.71000699999999</v>
      </c>
      <c r="F789" s="13">
        <v>137.19000199999999</v>
      </c>
      <c r="G789" s="13">
        <v>133.88426200000001</v>
      </c>
      <c r="H789" s="13">
        <v>133.88426200000001</v>
      </c>
      <c r="I789" s="14">
        <f t="shared" si="12"/>
        <v>3.7353766578797964E-2</v>
      </c>
      <c r="J789" s="14">
        <f>IF(COUNT(B789)=0,"",B789-(INTERCEPT('3. Cleaned Data'!$B$4:$B$1041,'3. Cleaned Data'!$H$4:$H$1041)+SLOPE('3. Cleaned Data'!$B$4:$B$1041,'3. Cleaned Data'!$H$4:$H$1041)*H789))</f>
        <v>0.6418306431489178</v>
      </c>
    </row>
    <row r="790" spans="1:10" x14ac:dyDescent="0.2">
      <c r="A790" s="12">
        <v>43472</v>
      </c>
      <c r="B790" s="13">
        <v>17.639163612000001</v>
      </c>
      <c r="C790" s="13">
        <v>137.259995</v>
      </c>
      <c r="D790" s="13">
        <v>140.36999499999999</v>
      </c>
      <c r="E790" s="13">
        <v>136.740005</v>
      </c>
      <c r="F790" s="13">
        <v>139.58999600000001</v>
      </c>
      <c r="G790" s="13">
        <v>136.22637900000001</v>
      </c>
      <c r="H790" s="13">
        <v>136.22637900000001</v>
      </c>
      <c r="I790" s="14">
        <f t="shared" si="12"/>
        <v>1.7493594579473415E-2</v>
      </c>
      <c r="J790" s="14">
        <f>IF(COUNT(B790)=0,"",B790-(INTERCEPT('3. Cleaned Data'!$B$4:$B$1041,'3. Cleaned Data'!$H$4:$H$1041)+SLOPE('3. Cleaned Data'!$B$4:$B$1041,'3. Cleaned Data'!$H$4:$H$1041)*H790))</f>
        <v>0.80217645310596097</v>
      </c>
    </row>
    <row r="791" spans="1:10" x14ac:dyDescent="0.2">
      <c r="A791" s="12">
        <v>43473</v>
      </c>
      <c r="B791" s="13">
        <v>18.447717818400001</v>
      </c>
      <c r="C791" s="13">
        <v>140.800003</v>
      </c>
      <c r="D791" s="13">
        <v>141.78999300000001</v>
      </c>
      <c r="E791" s="13">
        <v>139.38999899999999</v>
      </c>
      <c r="F791" s="13">
        <v>141.729996</v>
      </c>
      <c r="G791" s="13">
        <v>138.314819</v>
      </c>
      <c r="H791" s="13">
        <v>138.314819</v>
      </c>
      <c r="I791" s="14">
        <f t="shared" si="12"/>
        <v>1.5330657801599479E-2</v>
      </c>
      <c r="J791" s="14">
        <f>IF(COUNT(B791)=0,"",B791-(INTERCEPT('3. Cleaned Data'!$B$4:$B$1041,'3. Cleaned Data'!$H$4:$H$1041)+SLOPE('3. Cleaned Data'!$B$4:$B$1041,'3. Cleaned Data'!$H$4:$H$1041)*H791))</f>
        <v>1.3250478817506739</v>
      </c>
    </row>
    <row r="792" spans="1:10" x14ac:dyDescent="0.2">
      <c r="A792" s="12">
        <v>43474</v>
      </c>
      <c r="B792" s="13">
        <v>17.077924800000002</v>
      </c>
      <c r="C792" s="13">
        <v>142.220001</v>
      </c>
      <c r="D792" s="13">
        <v>143.38999899999999</v>
      </c>
      <c r="E792" s="13">
        <v>141.61999499999999</v>
      </c>
      <c r="F792" s="13">
        <v>142.89999399999999</v>
      </c>
      <c r="G792" s="13">
        <v>139.45661899999999</v>
      </c>
      <c r="H792" s="13">
        <v>139.45661899999999</v>
      </c>
      <c r="I792" s="14">
        <f t="shared" si="12"/>
        <v>8.2550807516872382E-3</v>
      </c>
      <c r="J792" s="14">
        <f>IF(COUNT(B792)=0,"",B792-(INTERCEPT('3. Cleaned Data'!$B$4:$B$1041,'3. Cleaned Data'!$H$4:$H$1041)+SLOPE('3. Cleaned Data'!$B$4:$B$1041,'3. Cleaned Data'!$H$4:$H$1041)*H792))</f>
        <v>-0.20093473062424749</v>
      </c>
    </row>
    <row r="793" spans="1:10" x14ac:dyDescent="0.2">
      <c r="A793" s="12">
        <v>43475</v>
      </c>
      <c r="B793" s="13">
        <v>18.116266392</v>
      </c>
      <c r="C793" s="13">
        <v>142.05999800000001</v>
      </c>
      <c r="D793" s="13">
        <v>143.720001</v>
      </c>
      <c r="E793" s="13">
        <v>141.35000600000001</v>
      </c>
      <c r="F793" s="13">
        <v>143.63999899999999</v>
      </c>
      <c r="G793" s="13">
        <v>140.178833</v>
      </c>
      <c r="H793" s="13">
        <v>140.178833</v>
      </c>
      <c r="I793" s="14">
        <f t="shared" si="12"/>
        <v>5.1787717584061976E-3</v>
      </c>
      <c r="J793" s="14">
        <f>IF(COUNT(B793)=0,"",B793-(INTERCEPT('3. Cleaned Data'!$B$4:$B$1041,'3. Cleaned Data'!$H$4:$H$1041)+SLOPE('3. Cleaned Data'!$B$4:$B$1041,'3. Cleaned Data'!$H$4:$H$1041)*H793))</f>
        <v>0.73861345497970277</v>
      </c>
    </row>
    <row r="794" spans="1:10" x14ac:dyDescent="0.2">
      <c r="A794" s="12">
        <v>43476</v>
      </c>
      <c r="B794" s="13">
        <v>18.678795564000001</v>
      </c>
      <c r="C794" s="13">
        <v>143.009995</v>
      </c>
      <c r="D794" s="13">
        <v>143.990005</v>
      </c>
      <c r="E794" s="13">
        <v>142.679993</v>
      </c>
      <c r="F794" s="13">
        <v>143.679993</v>
      </c>
      <c r="G794" s="13">
        <v>140.21783400000001</v>
      </c>
      <c r="H794" s="13">
        <v>140.21783400000001</v>
      </c>
      <c r="I794" s="14">
        <f t="shared" si="12"/>
        <v>2.7822317510661776E-4</v>
      </c>
      <c r="J794" s="14">
        <f>IF(COUNT(B794)=0,"",B794-(INTERCEPT('3. Cleaned Data'!$B$4:$B$1041,'3. Cleaned Data'!$H$4:$H$1041)+SLOPE('3. Cleaned Data'!$B$4:$B$1041,'3. Cleaned Data'!$H$4:$H$1041)*H794))</f>
        <v>1.2958075855060507</v>
      </c>
    </row>
    <row r="795" spans="1:10" x14ac:dyDescent="0.2">
      <c r="A795" s="12">
        <v>43479</v>
      </c>
      <c r="B795" s="13">
        <v>18.457928589600002</v>
      </c>
      <c r="C795" s="13">
        <v>142.820007</v>
      </c>
      <c r="D795" s="13">
        <v>143.44000199999999</v>
      </c>
      <c r="E795" s="13">
        <v>142.08999600000001</v>
      </c>
      <c r="F795" s="13">
        <v>142.25</v>
      </c>
      <c r="G795" s="13">
        <v>138.822281</v>
      </c>
      <c r="H795" s="13">
        <v>138.822281</v>
      </c>
      <c r="I795" s="14">
        <f t="shared" si="12"/>
        <v>-9.9527496623575962E-3</v>
      </c>
      <c r="J795" s="14">
        <f>IF(COUNT(B795)=0,"",B795-(INTERCEPT('3. Cleaned Data'!$B$4:$B$1041,'3. Cleaned Data'!$H$4:$H$1041)+SLOPE('3. Cleaned Data'!$B$4:$B$1041,'3. Cleaned Data'!$H$4:$H$1041)*H795))</f>
        <v>1.2658416939931456</v>
      </c>
    </row>
    <row r="796" spans="1:10" x14ac:dyDescent="0.2">
      <c r="A796" s="12">
        <v>43480</v>
      </c>
      <c r="B796" s="13">
        <v>17.376480014399998</v>
      </c>
      <c r="C796" s="13">
        <v>142.64999399999999</v>
      </c>
      <c r="D796" s="13">
        <v>143.64999399999999</v>
      </c>
      <c r="E796" s="13">
        <v>142.08999600000001</v>
      </c>
      <c r="F796" s="13">
        <v>143.449997</v>
      </c>
      <c r="G796" s="13">
        <v>139.99336199999999</v>
      </c>
      <c r="H796" s="13">
        <v>139.99336199999999</v>
      </c>
      <c r="I796" s="14">
        <f t="shared" si="12"/>
        <v>8.4358288277945892E-3</v>
      </c>
      <c r="J796" s="14">
        <f>IF(COUNT(B796)=0,"",B796-(INTERCEPT('3. Cleaned Data'!$B$4:$B$1041,'3. Cleaned Data'!$H$4:$H$1041)+SLOPE('3. Cleaned Data'!$B$4:$B$1041,'3. Cleaned Data'!$H$4:$H$1041)*H796))</f>
        <v>2.4198105742044618E-2</v>
      </c>
    </row>
    <row r="797" spans="1:10" x14ac:dyDescent="0.2">
      <c r="A797" s="12">
        <v>43481</v>
      </c>
      <c r="B797" s="13">
        <v>17.4273046104</v>
      </c>
      <c r="C797" s="13">
        <v>143.679993</v>
      </c>
      <c r="D797" s="13">
        <v>145.25</v>
      </c>
      <c r="E797" s="13">
        <v>143.66999799999999</v>
      </c>
      <c r="F797" s="13">
        <v>144.520004</v>
      </c>
      <c r="G797" s="13">
        <v>141.037598</v>
      </c>
      <c r="H797" s="13">
        <v>141.037598</v>
      </c>
      <c r="I797" s="14">
        <f t="shared" si="12"/>
        <v>7.4591822432268362E-3</v>
      </c>
      <c r="J797" s="14">
        <f>IF(COUNT(B797)=0,"",B797-(INTERCEPT('3. Cleaned Data'!$B$4:$B$1041,'3. Cleaned Data'!$H$4:$H$1041)+SLOPE('3. Cleaned Data'!$B$4:$B$1041,'3. Cleaned Data'!$H$4:$H$1041)*H797))</f>
        <v>-6.7820875814444292E-2</v>
      </c>
    </row>
    <row r="798" spans="1:10" x14ac:dyDescent="0.2">
      <c r="A798" s="12">
        <v>43482</v>
      </c>
      <c r="B798" s="13">
        <v>17.677108477200001</v>
      </c>
      <c r="C798" s="13">
        <v>143.990005</v>
      </c>
      <c r="D798" s="13">
        <v>146.33000200000001</v>
      </c>
      <c r="E798" s="13">
        <v>143.970001</v>
      </c>
      <c r="F798" s="13">
        <v>145.83000200000001</v>
      </c>
      <c r="G798" s="13">
        <v>142.31603999999999</v>
      </c>
      <c r="H798" s="13">
        <v>142.31603999999999</v>
      </c>
      <c r="I798" s="14">
        <f t="shared" si="12"/>
        <v>9.064547454927574E-3</v>
      </c>
      <c r="J798" s="14">
        <f>IF(COUNT(B798)=0,"",B798-(INTERCEPT('3. Cleaned Data'!$B$4:$B$1041,'3. Cleaned Data'!$H$4:$H$1041)+SLOPE('3. Cleaned Data'!$B$4:$B$1041,'3. Cleaned Data'!$H$4:$H$1041)*H798))</f>
        <v>7.1018061016125955E-3</v>
      </c>
    </row>
    <row r="799" spans="1:10" x14ac:dyDescent="0.2">
      <c r="A799" s="12">
        <v>43483</v>
      </c>
      <c r="B799" s="13">
        <v>17.4636763056</v>
      </c>
      <c r="C799" s="13">
        <v>146.60000600000001</v>
      </c>
      <c r="D799" s="13">
        <v>147.91999799999999</v>
      </c>
      <c r="E799" s="13">
        <v>146</v>
      </c>
      <c r="F799" s="13">
        <v>147.33000200000001</v>
      </c>
      <c r="G799" s="13">
        <v>143.77989199999999</v>
      </c>
      <c r="H799" s="13">
        <v>143.77989199999999</v>
      </c>
      <c r="I799" s="14">
        <f t="shared" si="12"/>
        <v>1.0285924200813978E-2</v>
      </c>
      <c r="J799" s="14">
        <f>IF(COUNT(B799)=0,"",B799-(INTERCEPT('3. Cleaned Data'!$B$4:$B$1041,'3. Cleaned Data'!$H$4:$H$1041)+SLOPE('3. Cleaned Data'!$B$4:$B$1041,'3. Cleaned Data'!$H$4:$H$1041)*H799))</f>
        <v>-0.40657423440658746</v>
      </c>
    </row>
    <row r="800" spans="1:10" x14ac:dyDescent="0.2">
      <c r="A800" s="12">
        <v>43487</v>
      </c>
      <c r="B800" s="13">
        <v>18.0009736608</v>
      </c>
      <c r="C800" s="13">
        <v>146.46000699999999</v>
      </c>
      <c r="D800" s="13">
        <v>146.759995</v>
      </c>
      <c r="E800" s="13">
        <v>144.050003</v>
      </c>
      <c r="F800" s="13">
        <v>145</v>
      </c>
      <c r="G800" s="13">
        <v>141.50602699999999</v>
      </c>
      <c r="H800" s="13">
        <v>141.50602699999999</v>
      </c>
      <c r="I800" s="14">
        <f t="shared" si="12"/>
        <v>-1.5814902684723076E-2</v>
      </c>
      <c r="J800" s="14">
        <f>IF(COUNT(B800)=0,"",B800-(INTERCEPT('3. Cleaned Data'!$B$4:$B$1041,'3. Cleaned Data'!$H$4:$H$1041)+SLOPE('3. Cleaned Data'!$B$4:$B$1041,'3. Cleaned Data'!$H$4:$H$1041)*H800))</f>
        <v>0.44177063445937037</v>
      </c>
    </row>
    <row r="801" spans="1:10" x14ac:dyDescent="0.2">
      <c r="A801" s="12">
        <v>43488</v>
      </c>
      <c r="B801" s="13">
        <v>19.027240690799999</v>
      </c>
      <c r="C801" s="13">
        <v>145.320007</v>
      </c>
      <c r="D801" s="13">
        <v>146.179993</v>
      </c>
      <c r="E801" s="13">
        <v>143.46000699999999</v>
      </c>
      <c r="F801" s="13">
        <v>144.60000600000001</v>
      </c>
      <c r="G801" s="13">
        <v>141.11566199999999</v>
      </c>
      <c r="H801" s="13">
        <v>141.11566199999999</v>
      </c>
      <c r="I801" s="14">
        <f t="shared" si="12"/>
        <v>-2.7586457501206363E-3</v>
      </c>
      <c r="J801" s="14">
        <f>IF(COUNT(B801)=0,"",B801-(INTERCEPT('3. Cleaned Data'!$B$4:$B$1041,'3. Cleaned Data'!$H$4:$H$1041)+SLOPE('3. Cleaned Data'!$B$4:$B$1041,'3. Cleaned Data'!$H$4:$H$1041)*H801))</f>
        <v>1.5214366405077335</v>
      </c>
    </row>
    <row r="802" spans="1:10" x14ac:dyDescent="0.2">
      <c r="A802" s="12">
        <v>43489</v>
      </c>
      <c r="B802" s="13">
        <v>18.169045065599999</v>
      </c>
      <c r="C802" s="13">
        <v>144.429993</v>
      </c>
      <c r="D802" s="13">
        <v>145.759995</v>
      </c>
      <c r="E802" s="13">
        <v>144.33000200000001</v>
      </c>
      <c r="F802" s="13">
        <v>145.470001</v>
      </c>
      <c r="G802" s="13">
        <v>141.96470600000001</v>
      </c>
      <c r="H802" s="13">
        <v>141.96470600000001</v>
      </c>
      <c r="I802" s="14">
        <f t="shared" si="12"/>
        <v>6.0166532046599386E-3</v>
      </c>
      <c r="J802" s="14">
        <f>IF(COUNT(B802)=0,"",B802-(INTERCEPT('3. Cleaned Data'!$B$4:$B$1041,'3. Cleaned Data'!$H$4:$H$1041)+SLOPE('3. Cleaned Data'!$B$4:$B$1041,'3. Cleaned Data'!$H$4:$H$1041)*H802))</f>
        <v>0.54709822530348617</v>
      </c>
    </row>
    <row r="803" spans="1:10" x14ac:dyDescent="0.2">
      <c r="A803" s="12">
        <v>43490</v>
      </c>
      <c r="B803" s="13">
        <v>18.209052718799999</v>
      </c>
      <c r="C803" s="13">
        <v>146.61999499999999</v>
      </c>
      <c r="D803" s="13">
        <v>147.63999899999999</v>
      </c>
      <c r="E803" s="13">
        <v>146.429993</v>
      </c>
      <c r="F803" s="13">
        <v>147.33999600000001</v>
      </c>
      <c r="G803" s="13">
        <v>143.78964199999999</v>
      </c>
      <c r="H803" s="13">
        <v>143.78964199999999</v>
      </c>
      <c r="I803" s="14">
        <f t="shared" si="12"/>
        <v>1.2854857037494893E-2</v>
      </c>
      <c r="J803" s="14">
        <f>IF(COUNT(B803)=0,"",B803-(INTERCEPT('3. Cleaned Data'!$B$4:$B$1041,'3. Cleaned Data'!$H$4:$H$1041)+SLOPE('3. Cleaned Data'!$B$4:$B$1041,'3. Cleaned Data'!$H$4:$H$1041)*H803))</f>
        <v>0.33746845262310643</v>
      </c>
    </row>
    <row r="804" spans="1:10" x14ac:dyDescent="0.2">
      <c r="A804" s="12">
        <v>43493</v>
      </c>
      <c r="B804" s="13">
        <v>17.697429240000002</v>
      </c>
      <c r="C804" s="13">
        <v>145.96000699999999</v>
      </c>
      <c r="D804" s="13">
        <v>146.91000399999999</v>
      </c>
      <c r="E804" s="13">
        <v>145.36999499999999</v>
      </c>
      <c r="F804" s="13">
        <v>146.550003</v>
      </c>
      <c r="G804" s="13">
        <v>143.018677</v>
      </c>
      <c r="H804" s="13">
        <v>143.018677</v>
      </c>
      <c r="I804" s="14">
        <f t="shared" si="12"/>
        <v>-5.361756168778764E-3</v>
      </c>
      <c r="J804" s="14">
        <f>IF(COUNT(B804)=0,"",B804-(INTERCEPT('3. Cleaned Data'!$B$4:$B$1041,'3. Cleaned Data'!$H$4:$H$1041)+SLOPE('3. Cleaned Data'!$B$4:$B$1041,'3. Cleaned Data'!$H$4:$H$1041)*H804))</f>
        <v>-6.8692852136887694E-2</v>
      </c>
    </row>
    <row r="805" spans="1:10" x14ac:dyDescent="0.2">
      <c r="A805" s="12">
        <v>43494</v>
      </c>
      <c r="B805" s="13">
        <v>18.382181500800002</v>
      </c>
      <c r="C805" s="13">
        <v>146.71000699999999</v>
      </c>
      <c r="D805" s="13">
        <v>146.820007</v>
      </c>
      <c r="E805" s="13">
        <v>145.88000500000001</v>
      </c>
      <c r="F805" s="13">
        <v>146.199997</v>
      </c>
      <c r="G805" s="13">
        <v>142.67709400000001</v>
      </c>
      <c r="H805" s="13">
        <v>142.67709400000001</v>
      </c>
      <c r="I805" s="14">
        <f t="shared" si="12"/>
        <v>-2.3883803651741919E-3</v>
      </c>
      <c r="J805" s="14">
        <f>IF(COUNT(B805)=0,"",B805-(INTERCEPT('3. Cleaned Data'!$B$4:$B$1041,'3. Cleaned Data'!$H$4:$H$1041)+SLOPE('3. Cleaned Data'!$B$4:$B$1041,'3. Cleaned Data'!$H$4:$H$1041)*H805))</f>
        <v>0.66278537650225644</v>
      </c>
    </row>
    <row r="806" spans="1:10" x14ac:dyDescent="0.2">
      <c r="A806" s="12">
        <v>43495</v>
      </c>
      <c r="B806" s="13">
        <v>19.282957056000001</v>
      </c>
      <c r="C806" s="13">
        <v>146.979996</v>
      </c>
      <c r="D806" s="13">
        <v>148.33999600000001</v>
      </c>
      <c r="E806" s="13">
        <v>145.679993</v>
      </c>
      <c r="F806" s="13">
        <v>147.800003</v>
      </c>
      <c r="G806" s="13">
        <v>144.23857100000001</v>
      </c>
      <c r="H806" s="13">
        <v>144.23857100000001</v>
      </c>
      <c r="I806" s="14">
        <f t="shared" si="12"/>
        <v>1.0944132349653746E-2</v>
      </c>
      <c r="J806" s="14">
        <f>IF(COUNT(B806)=0,"",B806-(INTERCEPT('3. Cleaned Data'!$B$4:$B$1041,'3. Cleaned Data'!$H$4:$H$1041)+SLOPE('3. Cleaned Data'!$B$4:$B$1041,'3. Cleaned Data'!$H$4:$H$1041)*H806))</f>
        <v>1.34996270203753</v>
      </c>
    </row>
    <row r="807" spans="1:10" x14ac:dyDescent="0.2">
      <c r="A807" s="12">
        <v>43496</v>
      </c>
      <c r="B807" s="13">
        <v>18.777108914399999</v>
      </c>
      <c r="C807" s="13">
        <v>147.61000100000001</v>
      </c>
      <c r="D807" s="13">
        <v>149.300003</v>
      </c>
      <c r="E807" s="13">
        <v>147.529999</v>
      </c>
      <c r="F807" s="13">
        <v>149.05999800000001</v>
      </c>
      <c r="G807" s="13">
        <v>145.46820099999999</v>
      </c>
      <c r="H807" s="13">
        <v>145.46820099999999</v>
      </c>
      <c r="I807" s="14">
        <f t="shared" si="12"/>
        <v>8.5249735315249264E-3</v>
      </c>
      <c r="J807" s="14">
        <f>IF(COUNT(B807)=0,"",B807-(INTERCEPT('3. Cleaned Data'!$B$4:$B$1041,'3. Cleaned Data'!$H$4:$H$1041)+SLOPE('3. Cleaned Data'!$B$4:$B$1041,'3. Cleaned Data'!$H$4:$H$1041)*H807))</f>
        <v>0.67591048753563499</v>
      </c>
    </row>
    <row r="808" spans="1:10" x14ac:dyDescent="0.2">
      <c r="A808" s="12">
        <v>43497</v>
      </c>
      <c r="B808" s="13">
        <v>18.756790523999999</v>
      </c>
      <c r="C808" s="13">
        <v>149.35000600000001</v>
      </c>
      <c r="D808" s="13">
        <v>149.679993</v>
      </c>
      <c r="E808" s="13">
        <v>148.58000200000001</v>
      </c>
      <c r="F808" s="13">
        <v>149.179993</v>
      </c>
      <c r="G808" s="13">
        <v>145.585297</v>
      </c>
      <c r="H808" s="13">
        <v>145.585297</v>
      </c>
      <c r="I808" s="14">
        <f t="shared" si="12"/>
        <v>8.0495942889946548E-4</v>
      </c>
      <c r="J808" s="14">
        <f>IF(COUNT(B808)=0,"",B808-(INTERCEPT('3. Cleaned Data'!$B$4:$B$1041,'3. Cleaned Data'!$H$4:$H$1041)+SLOPE('3. Cleaned Data'!$B$4:$B$1041,'3. Cleaned Data'!$H$4:$H$1041)*H808))</f>
        <v>0.63957425101889953</v>
      </c>
    </row>
    <row r="809" spans="1:10" x14ac:dyDescent="0.2">
      <c r="A809" s="12">
        <v>43500</v>
      </c>
      <c r="B809" s="13">
        <v>18.4539122292</v>
      </c>
      <c r="C809" s="13">
        <v>149.41000399999999</v>
      </c>
      <c r="D809" s="13">
        <v>150.970001</v>
      </c>
      <c r="E809" s="13">
        <v>148.88000500000001</v>
      </c>
      <c r="F809" s="13">
        <v>150.96000699999999</v>
      </c>
      <c r="G809" s="13">
        <v>147.32243299999999</v>
      </c>
      <c r="H809" s="13">
        <v>147.32243299999999</v>
      </c>
      <c r="I809" s="14">
        <f t="shared" si="12"/>
        <v>1.1932084048295044E-2</v>
      </c>
      <c r="J809" s="14">
        <f>IF(COUNT(B809)=0,"",B809-(INTERCEPT('3. Cleaned Data'!$B$4:$B$1041,'3. Cleaned Data'!$H$4:$H$1041)+SLOPE('3. Cleaned Data'!$B$4:$B$1041,'3. Cleaned Data'!$H$4:$H$1041)*H809))</f>
        <v>9.9068905492657677E-2</v>
      </c>
    </row>
    <row r="810" spans="1:10" x14ac:dyDescent="0.2">
      <c r="A810" s="12">
        <v>43501</v>
      </c>
      <c r="B810" s="13">
        <v>18.505778744400001</v>
      </c>
      <c r="C810" s="13">
        <v>151.009995</v>
      </c>
      <c r="D810" s="13">
        <v>151.60000600000001</v>
      </c>
      <c r="E810" s="13">
        <v>150.240005</v>
      </c>
      <c r="F810" s="13">
        <v>151.11999499999999</v>
      </c>
      <c r="G810" s="13">
        <v>147.478577</v>
      </c>
      <c r="H810" s="13">
        <v>147.478577</v>
      </c>
      <c r="I810" s="14">
        <f t="shared" si="12"/>
        <v>1.0598793192617695E-3</v>
      </c>
      <c r="J810" s="14">
        <f>IF(COUNT(B810)=0,"",B810-(INTERCEPT('3. Cleaned Data'!$B$4:$B$1041,'3. Cleaned Data'!$H$4:$H$1041)+SLOPE('3. Cleaned Data'!$B$4:$B$1041,'3. Cleaned Data'!$H$4:$H$1041)*H810))</f>
        <v>0.12957610385816665</v>
      </c>
    </row>
    <row r="811" spans="1:10" x14ac:dyDescent="0.2">
      <c r="A811" s="12">
        <v>43502</v>
      </c>
      <c r="B811" s="13">
        <v>18.547998526800001</v>
      </c>
      <c r="C811" s="13">
        <v>151.03999300000001</v>
      </c>
      <c r="D811" s="13">
        <v>151.36999499999999</v>
      </c>
      <c r="E811" s="13">
        <v>150.10000600000001</v>
      </c>
      <c r="F811" s="13">
        <v>150.929993</v>
      </c>
      <c r="G811" s="13">
        <v>147.29312100000001</v>
      </c>
      <c r="H811" s="13">
        <v>147.29312100000001</v>
      </c>
      <c r="I811" s="14">
        <f t="shared" si="12"/>
        <v>-1.2575114553755595E-3</v>
      </c>
      <c r="J811" s="14">
        <f>IF(COUNT(B811)=0,"",B811-(INTERCEPT('3. Cleaned Data'!$B$4:$B$1041,'3. Cleaned Data'!$H$4:$H$1041)+SLOPE('3. Cleaned Data'!$B$4:$B$1041,'3. Cleaned Data'!$H$4:$H$1041)*H811))</f>
        <v>0.19716486273409117</v>
      </c>
    </row>
    <row r="812" spans="1:10" x14ac:dyDescent="0.2">
      <c r="A812" s="12">
        <v>43503</v>
      </c>
      <c r="B812" s="13">
        <v>19.941202028399999</v>
      </c>
      <c r="C812" s="13">
        <v>149.91999799999999</v>
      </c>
      <c r="D812" s="13">
        <v>150.699997</v>
      </c>
      <c r="E812" s="13">
        <v>148.38999899999999</v>
      </c>
      <c r="F812" s="13">
        <v>149.69000199999999</v>
      </c>
      <c r="G812" s="13">
        <v>146.08300800000001</v>
      </c>
      <c r="H812" s="13">
        <v>146.08300800000001</v>
      </c>
      <c r="I812" s="14">
        <f t="shared" si="12"/>
        <v>-8.2156789929110907E-3</v>
      </c>
      <c r="J812" s="14">
        <f>IF(COUNT(B812)=0,"",B812-(INTERCEPT('3. Cleaned Data'!$B$4:$B$1041,'3. Cleaned Data'!$H$4:$H$1041)+SLOPE('3. Cleaned Data'!$B$4:$B$1041,'3. Cleaned Data'!$H$4:$H$1041)*H812))</f>
        <v>1.7559026594241054</v>
      </c>
    </row>
    <row r="813" spans="1:10" x14ac:dyDescent="0.2">
      <c r="A813" s="12">
        <v>43504</v>
      </c>
      <c r="B813" s="13">
        <v>19.262288430000002</v>
      </c>
      <c r="C813" s="13">
        <v>149.05999800000001</v>
      </c>
      <c r="D813" s="13">
        <v>149.89999399999999</v>
      </c>
      <c r="E813" s="13">
        <v>148.5</v>
      </c>
      <c r="F813" s="13">
        <v>149.85000600000001</v>
      </c>
      <c r="G813" s="13">
        <v>146.23916600000001</v>
      </c>
      <c r="H813" s="13">
        <v>146.23916600000001</v>
      </c>
      <c r="I813" s="14">
        <f t="shared" si="12"/>
        <v>1.0689675831430101E-3</v>
      </c>
      <c r="J813" s="14">
        <f>IF(COUNT(B813)=0,"",B813-(INTERCEPT('3. Cleaned Data'!$B$4:$B$1041,'3. Cleaned Data'!$H$4:$H$1041)+SLOPE('3. Cleaned Data'!$B$4:$B$1041,'3. Cleaned Data'!$H$4:$H$1041)*H813))</f>
        <v>1.0556278290956307</v>
      </c>
    </row>
    <row r="814" spans="1:10" x14ac:dyDescent="0.2">
      <c r="A814" s="12">
        <v>43507</v>
      </c>
      <c r="B814" s="13">
        <v>18.616013727599999</v>
      </c>
      <c r="C814" s="13">
        <v>150.28999300000001</v>
      </c>
      <c r="D814" s="13">
        <v>151.14999399999999</v>
      </c>
      <c r="E814" s="13">
        <v>149.63000500000001</v>
      </c>
      <c r="F814" s="13">
        <v>151.10000600000001</v>
      </c>
      <c r="G814" s="13">
        <v>147.459045</v>
      </c>
      <c r="H814" s="13">
        <v>147.459045</v>
      </c>
      <c r="I814" s="14">
        <f t="shared" si="12"/>
        <v>8.3416709310280002E-3</v>
      </c>
      <c r="J814" s="14">
        <f>IF(COUNT(B814)=0,"",B814-(INTERCEPT('3. Cleaned Data'!$B$4:$B$1041,'3. Cleaned Data'!$H$4:$H$1041)+SLOPE('3. Cleaned Data'!$B$4:$B$1041,'3. Cleaned Data'!$H$4:$H$1041)*H814))</f>
        <v>0.24248291675646527</v>
      </c>
    </row>
    <row r="815" spans="1:10" x14ac:dyDescent="0.2">
      <c r="A815" s="12">
        <v>43508</v>
      </c>
      <c r="B815" s="13">
        <v>19.463117750399999</v>
      </c>
      <c r="C815" s="13">
        <v>151.91999799999999</v>
      </c>
      <c r="D815" s="13">
        <v>153.19000199999999</v>
      </c>
      <c r="E815" s="13">
        <v>151.88000500000001</v>
      </c>
      <c r="F815" s="13">
        <v>152.990005</v>
      </c>
      <c r="G815" s="13">
        <v>149.30349699999999</v>
      </c>
      <c r="H815" s="13">
        <v>149.30349699999999</v>
      </c>
      <c r="I815" s="14">
        <f t="shared" si="12"/>
        <v>1.2508232370554095E-2</v>
      </c>
      <c r="J815" s="14">
        <f>IF(COUNT(B815)=0,"",B815-(INTERCEPT('3. Cleaned Data'!$B$4:$B$1041,'3. Cleaned Data'!$H$4:$H$1041)+SLOPE('3. Cleaned Data'!$B$4:$B$1041,'3. Cleaned Data'!$H$4:$H$1041)*H815))</f>
        <v>0.83727987265662662</v>
      </c>
    </row>
    <row r="816" spans="1:10" x14ac:dyDescent="0.2">
      <c r="A816" s="12">
        <v>43509</v>
      </c>
      <c r="B816" s="13">
        <v>20.372768724</v>
      </c>
      <c r="C816" s="13">
        <v>153.41999799999999</v>
      </c>
      <c r="D816" s="13">
        <v>153.759995</v>
      </c>
      <c r="E816" s="13">
        <v>152.699997</v>
      </c>
      <c r="F816" s="13">
        <v>153.41999799999999</v>
      </c>
      <c r="G816" s="13">
        <v>149.723129</v>
      </c>
      <c r="H816" s="13">
        <v>149.723129</v>
      </c>
      <c r="I816" s="14">
        <f t="shared" si="12"/>
        <v>2.8105972628358344E-3</v>
      </c>
      <c r="J816" s="14">
        <f>IF(COUNT(B816)=0,"",B816-(INTERCEPT('3. Cleaned Data'!$B$4:$B$1041,'3. Cleaned Data'!$H$4:$H$1041)+SLOPE('3. Cleaned Data'!$B$4:$B$1041,'3. Cleaned Data'!$H$4:$H$1041)*H816))</f>
        <v>1.6895283662260745</v>
      </c>
    </row>
    <row r="817" spans="1:10" x14ac:dyDescent="0.2">
      <c r="A817" s="12">
        <v>43510</v>
      </c>
      <c r="B817" s="13">
        <v>20.192669083199998</v>
      </c>
      <c r="C817" s="13">
        <v>152.58000200000001</v>
      </c>
      <c r="D817" s="13">
        <v>154.36999499999999</v>
      </c>
      <c r="E817" s="13">
        <v>152.39999399999999</v>
      </c>
      <c r="F817" s="13">
        <v>153.770004</v>
      </c>
      <c r="G817" s="13">
        <v>150.06471300000001</v>
      </c>
      <c r="H817" s="13">
        <v>150.06471300000001</v>
      </c>
      <c r="I817" s="14">
        <f t="shared" si="12"/>
        <v>2.281437759693139E-3</v>
      </c>
      <c r="J817" s="14">
        <f>IF(COUNT(B817)=0,"",B817-(INTERCEPT('3. Cleaned Data'!$B$4:$B$1041,'3. Cleaned Data'!$H$4:$H$1041)+SLOPE('3. Cleaned Data'!$B$4:$B$1041,'3. Cleaned Data'!$H$4:$H$1041)*H817))</f>
        <v>1.4627026207944951</v>
      </c>
    </row>
    <row r="818" spans="1:10" x14ac:dyDescent="0.2">
      <c r="A818" s="12">
        <v>43511</v>
      </c>
      <c r="B818" s="13">
        <v>19.685577691199999</v>
      </c>
      <c r="C818" s="13">
        <v>154.779999</v>
      </c>
      <c r="D818" s="13">
        <v>156.240005</v>
      </c>
      <c r="E818" s="13">
        <v>154.270004</v>
      </c>
      <c r="F818" s="13">
        <v>156.220001</v>
      </c>
      <c r="G818" s="13">
        <v>152.45567299999999</v>
      </c>
      <c r="H818" s="13">
        <v>152.45567299999999</v>
      </c>
      <c r="I818" s="14">
        <f t="shared" si="12"/>
        <v>1.5932859579053549E-2</v>
      </c>
      <c r="J818" s="14">
        <f>IF(COUNT(B818)=0,"",B818-(INTERCEPT('3. Cleaned Data'!$B$4:$B$1041,'3. Cleaned Data'!$H$4:$H$1041)+SLOPE('3. Cleaned Data'!$B$4:$B$1041,'3. Cleaned Data'!$H$4:$H$1041)*H818))</f>
        <v>0.62854600580423536</v>
      </c>
    </row>
    <row r="819" spans="1:10" x14ac:dyDescent="0.2">
      <c r="A819" s="12">
        <v>43515</v>
      </c>
      <c r="B819" s="13">
        <v>19.713142089600002</v>
      </c>
      <c r="C819" s="13">
        <v>155.550003</v>
      </c>
      <c r="D819" s="13">
        <v>157.10000600000001</v>
      </c>
      <c r="E819" s="13">
        <v>155.550003</v>
      </c>
      <c r="F819" s="13">
        <v>156.64999399999999</v>
      </c>
      <c r="G819" s="13">
        <v>152.875305</v>
      </c>
      <c r="H819" s="13">
        <v>152.875305</v>
      </c>
      <c r="I819" s="14">
        <f t="shared" si="12"/>
        <v>2.7524853076474898E-3</v>
      </c>
      <c r="J819" s="14">
        <f>IF(COUNT(B819)=0,"",B819-(INTERCEPT('3. Cleaned Data'!$B$4:$B$1041,'3. Cleaned Data'!$H$4:$H$1041)+SLOPE('3. Cleaned Data'!$B$4:$B$1041,'3. Cleaned Data'!$H$4:$H$1041)*H819))</f>
        <v>0.59870792417368435</v>
      </c>
    </row>
    <row r="820" spans="1:10" x14ac:dyDescent="0.2">
      <c r="A820" s="12">
        <v>43516</v>
      </c>
      <c r="B820" s="13">
        <v>19.094670441600002</v>
      </c>
      <c r="C820" s="13">
        <v>156.66000399999999</v>
      </c>
      <c r="D820" s="13">
        <v>157.58000200000001</v>
      </c>
      <c r="E820" s="13">
        <v>156.529999</v>
      </c>
      <c r="F820" s="13">
        <v>157.38999899999999</v>
      </c>
      <c r="G820" s="13">
        <v>153.59747300000001</v>
      </c>
      <c r="H820" s="13">
        <v>153.59747300000001</v>
      </c>
      <c r="I820" s="14">
        <f t="shared" si="12"/>
        <v>4.7239022679301801E-3</v>
      </c>
      <c r="J820" s="14">
        <f>IF(COUNT(B820)=0,"",B820-(INTERCEPT('3. Cleaned Data'!$B$4:$B$1041,'3. Cleaned Data'!$H$4:$H$1041)+SLOPE('3. Cleaned Data'!$B$4:$B$1041,'3. Cleaned Data'!$H$4:$H$1041)*H820))</f>
        <v>-0.11855083777068742</v>
      </c>
    </row>
    <row r="821" spans="1:10" x14ac:dyDescent="0.2">
      <c r="A821" s="12">
        <v>43517</v>
      </c>
      <c r="B821" s="13">
        <v>19.457802252</v>
      </c>
      <c r="C821" s="13">
        <v>157.13000500000001</v>
      </c>
      <c r="D821" s="13">
        <v>157.36999499999999</v>
      </c>
      <c r="E821" s="13">
        <v>156.05999800000001</v>
      </c>
      <c r="F821" s="13">
        <v>156.78999300000001</v>
      </c>
      <c r="G821" s="13">
        <v>153.011932</v>
      </c>
      <c r="H821" s="13">
        <v>153.011932</v>
      </c>
      <c r="I821" s="14">
        <f t="shared" si="12"/>
        <v>-3.8121786027039972E-3</v>
      </c>
      <c r="J821" s="14">
        <f>IF(COUNT(B821)=0,"",B821-(INTERCEPT('3. Cleaned Data'!$B$4:$B$1041,'3. Cleaned Data'!$H$4:$H$1041)+SLOPE('3. Cleaned Data'!$B$4:$B$1041,'3. Cleaned Data'!$H$4:$H$1041)*H821))</f>
        <v>0.32467854755107695</v>
      </c>
    </row>
    <row r="822" spans="1:10" x14ac:dyDescent="0.2">
      <c r="A822" s="12">
        <v>43518</v>
      </c>
      <c r="B822" s="13">
        <v>18.363773760000001</v>
      </c>
      <c r="C822" s="13">
        <v>157.270004</v>
      </c>
      <c r="D822" s="13">
        <v>158.270004</v>
      </c>
      <c r="E822" s="13">
        <v>157.10000600000001</v>
      </c>
      <c r="F822" s="13">
        <v>158.14999399999999</v>
      </c>
      <c r="G822" s="13">
        <v>154.339157</v>
      </c>
      <c r="H822" s="13">
        <v>154.339157</v>
      </c>
      <c r="I822" s="14">
        <f t="shared" si="12"/>
        <v>8.6739967442539534E-3</v>
      </c>
      <c r="J822" s="14">
        <f>IF(COUNT(B822)=0,"",B822-(INTERCEPT('3. Cleaned Data'!$B$4:$B$1041,'3. Cleaned Data'!$H$4:$H$1041)+SLOPE('3. Cleaned Data'!$B$4:$B$1041,'3. Cleaned Data'!$H$4:$H$1041)*H822))</f>
        <v>-0.95090427433451552</v>
      </c>
    </row>
    <row r="823" spans="1:10" x14ac:dyDescent="0.2">
      <c r="A823" s="12">
        <v>43521</v>
      </c>
      <c r="B823" s="13">
        <v>18.4610683752</v>
      </c>
      <c r="C823" s="13">
        <v>159.08000200000001</v>
      </c>
      <c r="D823" s="13">
        <v>159.5</v>
      </c>
      <c r="E823" s="13">
        <v>158.08999600000001</v>
      </c>
      <c r="F823" s="13">
        <v>158.19000199999999</v>
      </c>
      <c r="G823" s="13">
        <v>154.37820400000001</v>
      </c>
      <c r="H823" s="13">
        <v>154.37820400000001</v>
      </c>
      <c r="I823" s="14">
        <f t="shared" si="12"/>
        <v>2.5299477306339746E-4</v>
      </c>
      <c r="J823" s="14">
        <f>IF(COUNT(B823)=0,"",B823-(INTERCEPT('3. Cleaned Data'!$B$4:$B$1041,'3. Cleaned Data'!$H$4:$H$1041)+SLOPE('3. Cleaned Data'!$B$4:$B$1041,'3. Cleaned Data'!$H$4:$H$1041)*H823))</f>
        <v>-0.85895099305984601</v>
      </c>
    </row>
    <row r="824" spans="1:10" x14ac:dyDescent="0.2">
      <c r="A824" s="12">
        <v>43522</v>
      </c>
      <c r="B824" s="13">
        <v>18.4575314844</v>
      </c>
      <c r="C824" s="13">
        <v>158.009995</v>
      </c>
      <c r="D824" s="13">
        <v>158.19000199999999</v>
      </c>
      <c r="E824" s="13">
        <v>156.88999899999999</v>
      </c>
      <c r="F824" s="13">
        <v>157.10000600000001</v>
      </c>
      <c r="G824" s="13">
        <v>153.31446800000001</v>
      </c>
      <c r="H824" s="13">
        <v>153.31446800000001</v>
      </c>
      <c r="I824" s="14">
        <f t="shared" si="12"/>
        <v>-6.8904545618370117E-3</v>
      </c>
      <c r="J824" s="14">
        <f>IF(COUNT(B824)=0,"",B824-(INTERCEPT('3. Cleaned Data'!$B$4:$B$1041,'3. Cleaned Data'!$H$4:$H$1041)+SLOPE('3. Cleaned Data'!$B$4:$B$1041,'3. Cleaned Data'!$H$4:$H$1041)*H824))</f>
        <v>-0.7169768539627448</v>
      </c>
    </row>
    <row r="825" spans="1:10" x14ac:dyDescent="0.2">
      <c r="A825" s="12">
        <v>43523</v>
      </c>
      <c r="B825" s="13">
        <v>18.473526864</v>
      </c>
      <c r="C825" s="13">
        <v>156.490005</v>
      </c>
      <c r="D825" s="13">
        <v>157.44000199999999</v>
      </c>
      <c r="E825" s="13">
        <v>156.11999499999999</v>
      </c>
      <c r="F825" s="13">
        <v>157.320007</v>
      </c>
      <c r="G825" s="13">
        <v>153.529144</v>
      </c>
      <c r="H825" s="13">
        <v>153.529144</v>
      </c>
      <c r="I825" s="14">
        <f t="shared" si="12"/>
        <v>1.4002331469460394E-3</v>
      </c>
      <c r="J825" s="14">
        <f>IF(COUNT(B825)=0,"",B825-(INTERCEPT('3. Cleaned Data'!$B$4:$B$1041,'3. Cleaned Data'!$H$4:$H$1041)+SLOPE('3. Cleaned Data'!$B$4:$B$1041,'3. Cleaned Data'!$H$4:$H$1041)*H825))</f>
        <v>-0.73034752557675731</v>
      </c>
    </row>
    <row r="826" spans="1:10" x14ac:dyDescent="0.2">
      <c r="A826" s="12">
        <v>43524</v>
      </c>
      <c r="B826" s="13">
        <v>17.935905987600002</v>
      </c>
      <c r="C826" s="13">
        <v>157.08999600000001</v>
      </c>
      <c r="D826" s="13">
        <v>157.479996</v>
      </c>
      <c r="E826" s="13">
        <v>156.36999499999999</v>
      </c>
      <c r="F826" s="13">
        <v>156.779999</v>
      </c>
      <c r="G826" s="13">
        <v>153.00216699999999</v>
      </c>
      <c r="H826" s="13">
        <v>153.00216699999999</v>
      </c>
      <c r="I826" s="14">
        <f t="shared" si="12"/>
        <v>-3.432423227735959E-3</v>
      </c>
      <c r="J826" s="14">
        <f>IF(COUNT(B826)=0,"",B826-(INTERCEPT('3. Cleaned Data'!$B$4:$B$1041,'3. Cleaned Data'!$H$4:$H$1041)+SLOPE('3. Cleaned Data'!$B$4:$B$1041,'3. Cleaned Data'!$H$4:$H$1041)*H826))</f>
        <v>-1.1958819387921977</v>
      </c>
    </row>
    <row r="827" spans="1:10" x14ac:dyDescent="0.2">
      <c r="A827" s="12">
        <v>43525</v>
      </c>
      <c r="B827" s="13">
        <v>18.06865728</v>
      </c>
      <c r="C827" s="13">
        <v>157.949997</v>
      </c>
      <c r="D827" s="13">
        <v>158.33999600000001</v>
      </c>
      <c r="E827" s="13">
        <v>156.75</v>
      </c>
      <c r="F827" s="13">
        <v>158.240005</v>
      </c>
      <c r="G827" s="13">
        <v>154.42700199999999</v>
      </c>
      <c r="H827" s="13">
        <v>154.42700199999999</v>
      </c>
      <c r="I827" s="14">
        <f t="shared" si="12"/>
        <v>9.3125151619584123E-3</v>
      </c>
      <c r="J827" s="14">
        <f>IF(COUNT(B827)=0,"",B827-(INTERCEPT('3. Cleaned Data'!$B$4:$B$1041,'3. Cleaned Data'!$H$4:$H$1041)+SLOPE('3. Cleaned Data'!$B$4:$B$1041,'3. Cleaned Data'!$H$4:$H$1041)*H827))</f>
        <v>-1.2580372851479034</v>
      </c>
    </row>
    <row r="828" spans="1:10" x14ac:dyDescent="0.2">
      <c r="A828" s="12">
        <v>43528</v>
      </c>
      <c r="B828" s="13">
        <v>19.5242708448</v>
      </c>
      <c r="C828" s="13">
        <v>158.53999300000001</v>
      </c>
      <c r="D828" s="13">
        <v>158.779999</v>
      </c>
      <c r="E828" s="13">
        <v>155.58999600000001</v>
      </c>
      <c r="F828" s="13">
        <v>156.80999800000001</v>
      </c>
      <c r="G828" s="13">
        <v>153.03144800000001</v>
      </c>
      <c r="H828" s="13">
        <v>153.03144800000001</v>
      </c>
      <c r="I828" s="14">
        <f t="shared" si="12"/>
        <v>-9.0369817578921374E-3</v>
      </c>
      <c r="J828" s="14">
        <f>IF(COUNT(B828)=0,"",B828-(INTERCEPT('3. Cleaned Data'!$B$4:$B$1041,'3. Cleaned Data'!$H$4:$H$1041)+SLOPE('3. Cleaned Data'!$B$4:$B$1041,'3. Cleaned Data'!$H$4:$H$1041)*H828))</f>
        <v>0.38847749933161779</v>
      </c>
    </row>
    <row r="829" spans="1:10" x14ac:dyDescent="0.2">
      <c r="A829" s="12">
        <v>43529</v>
      </c>
      <c r="B829" s="13">
        <v>19.601424575999999</v>
      </c>
      <c r="C829" s="13">
        <v>156.94000199999999</v>
      </c>
      <c r="D829" s="13">
        <v>156.949997</v>
      </c>
      <c r="E829" s="13">
        <v>155.96000699999999</v>
      </c>
      <c r="F829" s="13">
        <v>156.08000200000001</v>
      </c>
      <c r="G829" s="13">
        <v>152.31904599999999</v>
      </c>
      <c r="H829" s="13">
        <v>152.31904599999999</v>
      </c>
      <c r="I829" s="14">
        <f t="shared" si="12"/>
        <v>-4.6552653674166722E-3</v>
      </c>
      <c r="J829" s="14">
        <f>IF(COUNT(B829)=0,"",B829-(INTERCEPT('3. Cleaned Data'!$B$4:$B$1041,'3. Cleaned Data'!$H$4:$H$1041)+SLOPE('3. Cleaned Data'!$B$4:$B$1041,'3. Cleaned Data'!$H$4:$H$1041)*H829))</f>
        <v>0.56308242962684218</v>
      </c>
    </row>
    <row r="830" spans="1:10" x14ac:dyDescent="0.2">
      <c r="A830" s="12">
        <v>43530</v>
      </c>
      <c r="B830" s="13">
        <v>18.256445324400001</v>
      </c>
      <c r="C830" s="13">
        <v>156.020004</v>
      </c>
      <c r="D830" s="13">
        <v>156.08000200000001</v>
      </c>
      <c r="E830" s="13">
        <v>152.88000500000001</v>
      </c>
      <c r="F830" s="13">
        <v>153.020004</v>
      </c>
      <c r="G830" s="13">
        <v>149.33277899999999</v>
      </c>
      <c r="H830" s="13">
        <v>149.33277899999999</v>
      </c>
      <c r="I830" s="14">
        <f t="shared" si="12"/>
        <v>-1.9605342066021048E-2</v>
      </c>
      <c r="J830" s="14">
        <f>IF(COUNT(B830)=0,"",B830-(INTERCEPT('3. Cleaned Data'!$B$4:$B$1041,'3. Cleaned Data'!$H$4:$H$1041)+SLOPE('3. Cleaned Data'!$B$4:$B$1041,'3. Cleaned Data'!$H$4:$H$1041)*H830))</f>
        <v>-0.37339810921197625</v>
      </c>
    </row>
    <row r="831" spans="1:10" x14ac:dyDescent="0.2">
      <c r="A831" s="12">
        <v>43531</v>
      </c>
      <c r="B831" s="13">
        <v>19.754835572400001</v>
      </c>
      <c r="C831" s="13">
        <v>153.020004</v>
      </c>
      <c r="D831" s="13">
        <v>153.13999899999999</v>
      </c>
      <c r="E831" s="13">
        <v>151.36999499999999</v>
      </c>
      <c r="F831" s="13">
        <v>151.679993</v>
      </c>
      <c r="G831" s="13">
        <v>148.02505500000001</v>
      </c>
      <c r="H831" s="13">
        <v>148.02505500000001</v>
      </c>
      <c r="I831" s="14">
        <f t="shared" si="12"/>
        <v>-8.7571128640148155E-3</v>
      </c>
      <c r="J831" s="14">
        <f>IF(COUNT(B831)=0,"",B831-(INTERCEPT('3. Cleaned Data'!$B$4:$B$1041,'3. Cleaned Data'!$H$4:$H$1041)+SLOPE('3. Cleaned Data'!$B$4:$B$1041,'3. Cleaned Data'!$H$4:$H$1041)*H831))</f>
        <v>1.3038788795405729</v>
      </c>
    </row>
    <row r="832" spans="1:10" x14ac:dyDescent="0.2">
      <c r="A832" s="12">
        <v>43532</v>
      </c>
      <c r="B832" s="13">
        <v>19.881206815199999</v>
      </c>
      <c r="C832" s="13">
        <v>150.83999600000001</v>
      </c>
      <c r="D832" s="13">
        <v>151.759995</v>
      </c>
      <c r="E832" s="13">
        <v>150.61000100000001</v>
      </c>
      <c r="F832" s="13">
        <v>151.63999899999999</v>
      </c>
      <c r="G832" s="13">
        <v>147.98602299999999</v>
      </c>
      <c r="H832" s="13">
        <v>147.98602299999999</v>
      </c>
      <c r="I832" s="14">
        <f t="shared" si="12"/>
        <v>-2.6368509033836141E-4</v>
      </c>
      <c r="J832" s="14">
        <f>IF(COUNT(B832)=0,"",B832-(INTERCEPT('3. Cleaned Data'!$B$4:$B$1041,'3. Cleaned Data'!$H$4:$H$1041)+SLOPE('3. Cleaned Data'!$B$4:$B$1041,'3. Cleaned Data'!$H$4:$H$1041)*H832))</f>
        <v>1.4355894043794848</v>
      </c>
    </row>
    <row r="833" spans="1:10" x14ac:dyDescent="0.2">
      <c r="A833" s="12">
        <v>43535</v>
      </c>
      <c r="B833" s="13">
        <v>18.5100677856</v>
      </c>
      <c r="C833" s="13">
        <v>152.11000100000001</v>
      </c>
      <c r="D833" s="13">
        <v>154.30999800000001</v>
      </c>
      <c r="E833" s="13">
        <v>151.89999399999999</v>
      </c>
      <c r="F833" s="13">
        <v>154.28999300000001</v>
      </c>
      <c r="G833" s="13">
        <v>150.57214400000001</v>
      </c>
      <c r="H833" s="13">
        <v>150.57214400000001</v>
      </c>
      <c r="I833" s="14">
        <f t="shared" si="12"/>
        <v>1.7475440907010586E-2</v>
      </c>
      <c r="J833" s="14">
        <f>IF(COUNT(B833)=0,"",B833-(INTERCEPT('3. Cleaned Data'!$B$4:$B$1041,'3. Cleaned Data'!$H$4:$H$1041)+SLOPE('3. Cleaned Data'!$B$4:$B$1041,'3. Cleaned Data'!$H$4:$H$1041)*H833))</f>
        <v>-0.2893113951977675</v>
      </c>
    </row>
    <row r="834" spans="1:10" x14ac:dyDescent="0.2">
      <c r="A834" s="12">
        <v>43536</v>
      </c>
      <c r="B834" s="13">
        <v>19.255597677600001</v>
      </c>
      <c r="C834" s="13">
        <v>154.39999399999999</v>
      </c>
      <c r="D834" s="13">
        <v>154.979996</v>
      </c>
      <c r="E834" s="13">
        <v>153.800003</v>
      </c>
      <c r="F834" s="13">
        <v>154.36999499999999</v>
      </c>
      <c r="G834" s="13">
        <v>150.650238</v>
      </c>
      <c r="H834" s="13">
        <v>150.650238</v>
      </c>
      <c r="I834" s="14">
        <f t="shared" si="12"/>
        <v>5.1864838957182968E-4</v>
      </c>
      <c r="J834" s="14">
        <f>IF(COUNT(B834)=0,"",B834-(INTERCEPT('3. Cleaned Data'!$B$4:$B$1041,'3. Cleaned Data'!$H$4:$H$1041)+SLOPE('3. Cleaned Data'!$B$4:$B$1041,'3. Cleaned Data'!$H$4:$H$1041)*H834))</f>
        <v>0.44553582895158073</v>
      </c>
    </row>
    <row r="835" spans="1:10" x14ac:dyDescent="0.2">
      <c r="A835" s="12">
        <v>43537</v>
      </c>
      <c r="B835" s="13">
        <v>19.143494369999999</v>
      </c>
      <c r="C835" s="13">
        <v>154.91999799999999</v>
      </c>
      <c r="D835" s="13">
        <v>155.729996</v>
      </c>
      <c r="E835" s="13">
        <v>154.75</v>
      </c>
      <c r="F835" s="13">
        <v>154.979996</v>
      </c>
      <c r="G835" s="13">
        <v>151.24556000000001</v>
      </c>
      <c r="H835" s="13">
        <v>151.24556000000001</v>
      </c>
      <c r="I835" s="14">
        <f t="shared" si="12"/>
        <v>3.9516831032155864E-3</v>
      </c>
      <c r="J835" s="14">
        <f>IF(COUNT(B835)=0,"",B835-(INTERCEPT('3. Cleaned Data'!$B$4:$B$1041,'3. Cleaned Data'!$H$4:$H$1041)+SLOPE('3. Cleaned Data'!$B$4:$B$1041,'3. Cleaned Data'!$H$4:$H$1041)*H835))</f>
        <v>0.25199697969424406</v>
      </c>
    </row>
    <row r="836" spans="1:10" x14ac:dyDescent="0.2">
      <c r="A836" s="12">
        <v>43538</v>
      </c>
      <c r="B836" s="13">
        <v>18.446897195999998</v>
      </c>
      <c r="C836" s="13">
        <v>154.89999399999999</v>
      </c>
      <c r="D836" s="13">
        <v>155.020004</v>
      </c>
      <c r="E836" s="13">
        <v>154.199997</v>
      </c>
      <c r="F836" s="13">
        <v>154.35000600000001</v>
      </c>
      <c r="G836" s="13">
        <v>150.63073700000001</v>
      </c>
      <c r="H836" s="13">
        <v>150.63073700000001</v>
      </c>
      <c r="I836" s="14">
        <f t="shared" si="12"/>
        <v>-4.0650647860340783E-3</v>
      </c>
      <c r="J836" s="14">
        <f>IF(COUNT(B836)=0,"",B836-(INTERCEPT('3. Cleaned Data'!$B$4:$B$1041,'3. Cleaned Data'!$H$4:$H$1041)+SLOPE('3. Cleaned Data'!$B$4:$B$1041,'3. Cleaned Data'!$H$4:$H$1041)*H836))</f>
        <v>-0.36049706351538546</v>
      </c>
    </row>
    <row r="837" spans="1:10" x14ac:dyDescent="0.2">
      <c r="A837" s="12">
        <v>43539</v>
      </c>
      <c r="B837" s="13">
        <v>18.3518117952</v>
      </c>
      <c r="C837" s="13">
        <v>154.529999</v>
      </c>
      <c r="D837" s="13">
        <v>155.86999499999999</v>
      </c>
      <c r="E837" s="13">
        <v>154.33000200000001</v>
      </c>
      <c r="F837" s="13">
        <v>154.759995</v>
      </c>
      <c r="G837" s="13">
        <v>151.03085300000001</v>
      </c>
      <c r="H837" s="13">
        <v>151.03085300000001</v>
      </c>
      <c r="I837" s="14">
        <f t="shared" ref="I837:I900" si="13">H837/H836-1</f>
        <v>2.6562706122854607E-3</v>
      </c>
      <c r="J837" s="14">
        <f>IF(COUNT(B837)=0,"",B837-(INTERCEPT('3. Cleaned Data'!$B$4:$B$1041,'3. Cleaned Data'!$H$4:$H$1041)+SLOPE('3. Cleaned Data'!$B$4:$B$1041,'3. Cleaned Data'!$H$4:$H$1041)*H837))</f>
        <v>-0.5103153033264789</v>
      </c>
    </row>
    <row r="838" spans="1:10" x14ac:dyDescent="0.2">
      <c r="A838" s="12">
        <v>43542</v>
      </c>
      <c r="B838" s="13">
        <v>18.72307206</v>
      </c>
      <c r="C838" s="13">
        <v>155.05999800000001</v>
      </c>
      <c r="D838" s="13">
        <v>156.449997</v>
      </c>
      <c r="E838" s="13">
        <v>154.479996</v>
      </c>
      <c r="F838" s="13">
        <v>155.75</v>
      </c>
      <c r="G838" s="13">
        <v>151.996994</v>
      </c>
      <c r="H838" s="13">
        <v>151.996994</v>
      </c>
      <c r="I838" s="14">
        <f t="shared" si="13"/>
        <v>6.3969777089187829E-3</v>
      </c>
      <c r="J838" s="14">
        <f>IF(COUNT(B838)=0,"",B838-(INTERCEPT('3. Cleaned Data'!$B$4:$B$1041,'3. Cleaned Data'!$H$4:$H$1041)+SLOPE('3. Cleaned Data'!$B$4:$B$1041,'3. Cleaned Data'!$H$4:$H$1041)*H838))</f>
        <v>-0.27121581143988394</v>
      </c>
    </row>
    <row r="839" spans="1:10" x14ac:dyDescent="0.2">
      <c r="A839" s="12">
        <v>43543</v>
      </c>
      <c r="B839" s="13">
        <v>17.76221928</v>
      </c>
      <c r="C839" s="13">
        <v>156.479996</v>
      </c>
      <c r="D839" s="13">
        <v>156.529999</v>
      </c>
      <c r="E839" s="13">
        <v>154.570007</v>
      </c>
      <c r="F839" s="13">
        <v>154.96000699999999</v>
      </c>
      <c r="G839" s="13">
        <v>151.226044</v>
      </c>
      <c r="H839" s="13">
        <v>151.226044</v>
      </c>
      <c r="I839" s="14">
        <f t="shared" si="13"/>
        <v>-5.0721397819222247E-3</v>
      </c>
      <c r="J839" s="14">
        <f>IF(COUNT(B839)=0,"",B839-(INTERCEPT('3. Cleaned Data'!$B$4:$B$1041,'3. Cleaned Data'!$H$4:$H$1041)+SLOPE('3. Cleaned Data'!$B$4:$B$1041,'3. Cleaned Data'!$H$4:$H$1041)*H839))</f>
        <v>-1.1266084692862961</v>
      </c>
    </row>
    <row r="840" spans="1:10" x14ac:dyDescent="0.2">
      <c r="A840" s="12">
        <v>43544</v>
      </c>
      <c r="B840" s="13">
        <v>18.9959816016</v>
      </c>
      <c r="C840" s="13">
        <v>154.53999300000001</v>
      </c>
      <c r="D840" s="13">
        <v>155.41999799999999</v>
      </c>
      <c r="E840" s="13">
        <v>152.41000399999999</v>
      </c>
      <c r="F840" s="13">
        <v>153.259995</v>
      </c>
      <c r="G840" s="13">
        <v>149.96571399999999</v>
      </c>
      <c r="H840" s="13">
        <v>149.96571399999999</v>
      </c>
      <c r="I840" s="14">
        <f t="shared" si="13"/>
        <v>-8.3340803387015328E-3</v>
      </c>
      <c r="J840" s="14">
        <f>IF(COUNT(B840)=0,"",B840-(INTERCEPT('3. Cleaned Data'!$B$4:$B$1041,'3. Cleaned Data'!$H$4:$H$1041)+SLOPE('3. Cleaned Data'!$B$4:$B$1041,'3. Cleaned Data'!$H$4:$H$1041)*H840))</f>
        <v>0.27955745274671884</v>
      </c>
    </row>
    <row r="841" spans="1:10" x14ac:dyDescent="0.2">
      <c r="A841" s="12">
        <v>43545</v>
      </c>
      <c r="B841" s="13">
        <v>19.2342400068</v>
      </c>
      <c r="C841" s="13">
        <v>152.729996</v>
      </c>
      <c r="D841" s="13">
        <v>156.05999800000001</v>
      </c>
      <c r="E841" s="13">
        <v>152.729996</v>
      </c>
      <c r="F841" s="13">
        <v>155.270004</v>
      </c>
      <c r="G841" s="13">
        <v>151.93249499999999</v>
      </c>
      <c r="H841" s="13">
        <v>151.93249499999999</v>
      </c>
      <c r="I841" s="14">
        <f t="shared" si="13"/>
        <v>1.3114871043123921E-2</v>
      </c>
      <c r="J841" s="14">
        <f>IF(COUNT(B841)=0,"",B841-(INTERCEPT('3. Cleaned Data'!$B$4:$B$1041,'3. Cleaned Data'!$H$4:$H$1041)+SLOPE('3. Cleaned Data'!$B$4:$B$1041,'3. Cleaned Data'!$H$4:$H$1041)*H841))</f>
        <v>0.24877511015586862</v>
      </c>
    </row>
    <row r="842" spans="1:10" x14ac:dyDescent="0.2">
      <c r="A842" s="12">
        <v>43546</v>
      </c>
      <c r="B842" s="13">
        <v>19.625777971200002</v>
      </c>
      <c r="C842" s="13">
        <v>154.199997</v>
      </c>
      <c r="D842" s="13">
        <v>154.53999300000001</v>
      </c>
      <c r="E842" s="13">
        <v>149.570007</v>
      </c>
      <c r="F842" s="13">
        <v>149.61999499999999</v>
      </c>
      <c r="G842" s="13">
        <v>146.40394599999999</v>
      </c>
      <c r="H842" s="13">
        <v>146.40394599999999</v>
      </c>
      <c r="I842" s="14">
        <f t="shared" si="13"/>
        <v>-3.638819332230403E-2</v>
      </c>
      <c r="J842" s="14">
        <f>IF(COUNT(B842)=0,"",B842-(INTERCEPT('3. Cleaned Data'!$B$4:$B$1041,'3. Cleaned Data'!$H$4:$H$1041)+SLOPE('3. Cleaned Data'!$B$4:$B$1041,'3. Cleaned Data'!$H$4:$H$1041)*H842))</f>
        <v>1.3965767140553211</v>
      </c>
    </row>
    <row r="843" spans="1:10" x14ac:dyDescent="0.2">
      <c r="A843" s="12">
        <v>43549</v>
      </c>
      <c r="B843" s="13">
        <v>19.7563024944</v>
      </c>
      <c r="C843" s="13">
        <v>149.479996</v>
      </c>
      <c r="D843" s="13">
        <v>151.320007</v>
      </c>
      <c r="E843" s="13">
        <v>148.41000399999999</v>
      </c>
      <c r="F843" s="13">
        <v>150.279999</v>
      </c>
      <c r="G843" s="13">
        <v>147.04977400000001</v>
      </c>
      <c r="H843" s="13">
        <v>147.04977400000001</v>
      </c>
      <c r="I843" s="14">
        <f t="shared" si="13"/>
        <v>4.4112745431057476E-3</v>
      </c>
      <c r="J843" s="14">
        <f>IF(COUNT(B843)=0,"",B843-(INTERCEPT('3. Cleaned Data'!$B$4:$B$1041,'3. Cleaned Data'!$H$4:$H$1041)+SLOPE('3. Cleaned Data'!$B$4:$B$1041,'3. Cleaned Data'!$H$4:$H$1041)*H843))</f>
        <v>1.4387568572433729</v>
      </c>
    </row>
    <row r="844" spans="1:10" x14ac:dyDescent="0.2">
      <c r="A844" s="12">
        <v>43550</v>
      </c>
      <c r="B844" s="13">
        <v>18.947744400000001</v>
      </c>
      <c r="C844" s="13">
        <v>151.470001</v>
      </c>
      <c r="D844" s="13">
        <v>152.820007</v>
      </c>
      <c r="E844" s="13">
        <v>150.78999300000001</v>
      </c>
      <c r="F844" s="13">
        <v>151.86000100000001</v>
      </c>
      <c r="G844" s="13">
        <v>148.59581</v>
      </c>
      <c r="H844" s="13">
        <v>148.59581</v>
      </c>
      <c r="I844" s="14">
        <f t="shared" si="13"/>
        <v>1.051369177894812E-2</v>
      </c>
      <c r="J844" s="14">
        <f>IF(COUNT(B844)=0,"",B844-(INTERCEPT('3. Cleaned Data'!$B$4:$B$1041,'3. Cleaned Data'!$H$4:$H$1041)+SLOPE('3. Cleaned Data'!$B$4:$B$1041,'3. Cleaned Data'!$H$4:$H$1041)*H844))</f>
        <v>0.41871274505513156</v>
      </c>
    </row>
    <row r="845" spans="1:10" x14ac:dyDescent="0.2">
      <c r="A845" s="12">
        <v>43551</v>
      </c>
      <c r="B845" s="13">
        <v>19.589802847200001</v>
      </c>
      <c r="C845" s="13">
        <v>151.71000699999999</v>
      </c>
      <c r="D845" s="13">
        <v>152.21000699999999</v>
      </c>
      <c r="E845" s="13">
        <v>149.479996</v>
      </c>
      <c r="F845" s="13">
        <v>151.270004</v>
      </c>
      <c r="G845" s="13">
        <v>148.018494</v>
      </c>
      <c r="H845" s="13">
        <v>148.018494</v>
      </c>
      <c r="I845" s="14">
        <f t="shared" si="13"/>
        <v>-3.8851431948181414E-3</v>
      </c>
      <c r="J845" s="14">
        <f>IF(COUNT(B845)=0,"",B845-(INTERCEPT('3. Cleaned Data'!$B$4:$B$1041,'3. Cleaned Data'!$H$4:$H$1041)+SLOPE('3. Cleaned Data'!$B$4:$B$1041,'3. Cleaned Data'!$H$4:$H$1041)*H845))</f>
        <v>1.1397436494588682</v>
      </c>
    </row>
    <row r="846" spans="1:10" x14ac:dyDescent="0.2">
      <c r="A846" s="12">
        <v>43552</v>
      </c>
      <c r="B846" s="13">
        <v>18.479657639999999</v>
      </c>
      <c r="C846" s="13">
        <v>151.78999300000001</v>
      </c>
      <c r="D846" s="13">
        <v>152.929993</v>
      </c>
      <c r="E846" s="13">
        <v>150.929993</v>
      </c>
      <c r="F846" s="13">
        <v>152.61999499999999</v>
      </c>
      <c r="G846" s="13">
        <v>149.33947800000001</v>
      </c>
      <c r="H846" s="13">
        <v>149.33947800000001</v>
      </c>
      <c r="I846" s="14">
        <f t="shared" si="13"/>
        <v>8.9244523728231329E-3</v>
      </c>
      <c r="J846" s="14">
        <f>IF(COUNT(B846)=0,"",B846-(INTERCEPT('3. Cleaned Data'!$B$4:$B$1041,'3. Cleaned Data'!$H$4:$H$1041)+SLOPE('3. Cleaned Data'!$B$4:$B$1041,'3. Cleaned Data'!$H$4:$H$1041)*H846))</f>
        <v>-0.1511021660853018</v>
      </c>
    </row>
    <row r="847" spans="1:10" x14ac:dyDescent="0.2">
      <c r="A847" s="12">
        <v>43553</v>
      </c>
      <c r="B847" s="13">
        <v>18.633617906400001</v>
      </c>
      <c r="C847" s="13">
        <v>153.679993</v>
      </c>
      <c r="D847" s="13">
        <v>153.970001</v>
      </c>
      <c r="E847" s="13">
        <v>152.10000600000001</v>
      </c>
      <c r="F847" s="13">
        <v>153.08999600000001</v>
      </c>
      <c r="G847" s="13">
        <v>149.79937699999999</v>
      </c>
      <c r="H847" s="13">
        <v>149.79937699999999</v>
      </c>
      <c r="I847" s="14">
        <f t="shared" si="13"/>
        <v>3.0795540881694006E-3</v>
      </c>
      <c r="J847" s="14">
        <f>IF(COUNT(B847)=0,"",B847-(INTERCEPT('3. Cleaned Data'!$B$4:$B$1041,'3. Cleaned Data'!$H$4:$H$1041)+SLOPE('3. Cleaned Data'!$B$4:$B$1041,'3. Cleaned Data'!$H$4:$H$1041)*H847))</f>
        <v>-6.0052600403000866E-2</v>
      </c>
    </row>
    <row r="848" spans="1:10" x14ac:dyDescent="0.2">
      <c r="A848" s="12">
        <v>43556</v>
      </c>
      <c r="B848" s="13">
        <v>19.134865764000001</v>
      </c>
      <c r="C848" s="13">
        <v>154.28999300000001</v>
      </c>
      <c r="D848" s="13">
        <v>154.91999799999999</v>
      </c>
      <c r="E848" s="13">
        <v>153.720001</v>
      </c>
      <c r="F848" s="13">
        <v>154.759995</v>
      </c>
      <c r="G848" s="13">
        <v>151.43347199999999</v>
      </c>
      <c r="H848" s="13">
        <v>151.43347199999999</v>
      </c>
      <c r="I848" s="14">
        <f t="shared" si="13"/>
        <v>1.0908556715826689E-2</v>
      </c>
      <c r="J848" s="14">
        <f>IF(COUNT(B848)=0,"",B848-(INTERCEPT('3. Cleaned Data'!$B$4:$B$1041,'3. Cleaned Data'!$H$4:$H$1041)+SLOPE('3. Cleaned Data'!$B$4:$B$1041,'3. Cleaned Data'!$H$4:$H$1041)*H848))</f>
        <v>0.21766343501583307</v>
      </c>
    </row>
    <row r="849" spans="1:10" x14ac:dyDescent="0.2">
      <c r="A849" s="12">
        <v>43557</v>
      </c>
      <c r="B849" s="13">
        <v>20.133869382</v>
      </c>
      <c r="C849" s="13">
        <v>154.86999499999999</v>
      </c>
      <c r="D849" s="13">
        <v>154.88000500000001</v>
      </c>
      <c r="E849" s="13">
        <v>153.509995</v>
      </c>
      <c r="F849" s="13">
        <v>154.36000100000001</v>
      </c>
      <c r="G849" s="13">
        <v>151.042068</v>
      </c>
      <c r="H849" s="13">
        <v>151.042068</v>
      </c>
      <c r="I849" s="14">
        <f t="shared" si="13"/>
        <v>-2.5846597507848124E-3</v>
      </c>
      <c r="J849" s="14">
        <f>IF(COUNT(B849)=0,"",B849-(INTERCEPT('3. Cleaned Data'!$B$4:$B$1041,'3. Cleaned Data'!$H$4:$H$1041)+SLOPE('3. Cleaned Data'!$B$4:$B$1041,'3. Cleaned Data'!$H$4:$H$1041)*H849))</f>
        <v>1.270208156396599</v>
      </c>
    </row>
    <row r="850" spans="1:10" x14ac:dyDescent="0.2">
      <c r="A850" s="12">
        <v>43558</v>
      </c>
      <c r="B850" s="13">
        <v>19.9237930416</v>
      </c>
      <c r="C850" s="13">
        <v>155.740005</v>
      </c>
      <c r="D850" s="13">
        <v>156.14999399999999</v>
      </c>
      <c r="E850" s="13">
        <v>154.729996</v>
      </c>
      <c r="F850" s="13">
        <v>155.16000399999999</v>
      </c>
      <c r="G850" s="13">
        <v>151.82487499999999</v>
      </c>
      <c r="H850" s="13">
        <v>151.82487499999999</v>
      </c>
      <c r="I850" s="14">
        <f t="shared" si="13"/>
        <v>5.1827084359039599E-3</v>
      </c>
      <c r="J850" s="14">
        <f>IF(COUNT(B850)=0,"",B850-(INTERCEPT('3. Cleaned Data'!$B$4:$B$1041,'3. Cleaned Data'!$H$4:$H$1041)+SLOPE('3. Cleaned Data'!$B$4:$B$1041,'3. Cleaned Data'!$H$4:$H$1041)*H850))</f>
        <v>0.95304974602749226</v>
      </c>
    </row>
    <row r="851" spans="1:10" x14ac:dyDescent="0.2">
      <c r="A851" s="12">
        <v>43559</v>
      </c>
      <c r="B851" s="13">
        <v>19.810923312</v>
      </c>
      <c r="C851" s="13">
        <v>155.279999</v>
      </c>
      <c r="D851" s="13">
        <v>156.009995</v>
      </c>
      <c r="E851" s="13">
        <v>154.83999600000001</v>
      </c>
      <c r="F851" s="13">
        <v>155.91999799999999</v>
      </c>
      <c r="G851" s="13">
        <v>152.568558</v>
      </c>
      <c r="H851" s="13">
        <v>152.568558</v>
      </c>
      <c r="I851" s="14">
        <f t="shared" si="13"/>
        <v>4.8982948281697247E-3</v>
      </c>
      <c r="J851" s="14">
        <f>IF(COUNT(B851)=0,"",B851-(INTERCEPT('3. Cleaned Data'!$B$4:$B$1041,'3. Cleaned Data'!$H$4:$H$1041)+SLOPE('3. Cleaned Data'!$B$4:$B$1041,'3. Cleaned Data'!$H$4:$H$1041)*H851))</f>
        <v>0.73844981340064564</v>
      </c>
    </row>
    <row r="852" spans="1:10" x14ac:dyDescent="0.2">
      <c r="A852" s="12">
        <v>43560</v>
      </c>
      <c r="B852" s="13">
        <v>19.377752562000001</v>
      </c>
      <c r="C852" s="13">
        <v>156.300003</v>
      </c>
      <c r="D852" s="13">
        <v>157.470001</v>
      </c>
      <c r="E852" s="13">
        <v>156.19000199999999</v>
      </c>
      <c r="F852" s="13">
        <v>157.38000500000001</v>
      </c>
      <c r="G852" s="13">
        <v>153.99714700000001</v>
      </c>
      <c r="H852" s="13">
        <v>153.99714700000001</v>
      </c>
      <c r="I852" s="14">
        <f t="shared" si="13"/>
        <v>9.3635872209005822E-3</v>
      </c>
      <c r="J852" s="14">
        <f>IF(COUNT(B852)=0,"",B852-(INTERCEPT('3. Cleaned Data'!$B$4:$B$1041,'3. Cleaned Data'!$H$4:$H$1041)+SLOPE('3. Cleaned Data'!$B$4:$B$1041,'3. Cleaned Data'!$H$4:$H$1041)*H852))</f>
        <v>0.1098589058712669</v>
      </c>
    </row>
    <row r="853" spans="1:10" x14ac:dyDescent="0.2">
      <c r="A853" s="12">
        <v>43563</v>
      </c>
      <c r="B853" s="13">
        <v>19.9783197792</v>
      </c>
      <c r="C853" s="13">
        <v>156.85000600000001</v>
      </c>
      <c r="D853" s="13">
        <v>157.5</v>
      </c>
      <c r="E853" s="13">
        <v>156.070007</v>
      </c>
      <c r="F853" s="13">
        <v>157.11999499999999</v>
      </c>
      <c r="G853" s="13">
        <v>153.74272199999999</v>
      </c>
      <c r="H853" s="13">
        <v>153.74272199999999</v>
      </c>
      <c r="I853" s="14">
        <f t="shared" si="13"/>
        <v>-1.6521409971317347E-3</v>
      </c>
      <c r="J853" s="14">
        <f>IF(COUNT(B853)=0,"",B853-(INTERCEPT('3. Cleaned Data'!$B$4:$B$1041,'3. Cleaned Data'!$H$4:$H$1041)+SLOPE('3. Cleaned Data'!$B$4:$B$1041,'3. Cleaned Data'!$H$4:$H$1041)*H853))</f>
        <v>0.74522953649487178</v>
      </c>
    </row>
    <row r="854" spans="1:10" x14ac:dyDescent="0.2">
      <c r="A854" s="12">
        <v>43564</v>
      </c>
      <c r="B854" s="13">
        <v>18.695948219999998</v>
      </c>
      <c r="C854" s="13">
        <v>156.46000699999999</v>
      </c>
      <c r="D854" s="13">
        <v>156.699997</v>
      </c>
      <c r="E854" s="13">
        <v>154.91000399999999</v>
      </c>
      <c r="F854" s="13">
        <v>155.199997</v>
      </c>
      <c r="G854" s="13">
        <v>151.864014</v>
      </c>
      <c r="H854" s="13">
        <v>151.864014</v>
      </c>
      <c r="I854" s="14">
        <f t="shared" si="13"/>
        <v>-1.2219817468822947E-2</v>
      </c>
      <c r="J854" s="14">
        <f>IF(COUNT(B854)=0,"",B854-(INTERCEPT('3. Cleaned Data'!$B$4:$B$1041,'3. Cleaned Data'!$H$4:$H$1041)+SLOPE('3. Cleaned Data'!$B$4:$B$1041,'3. Cleaned Data'!$H$4:$H$1041)*H854))</f>
        <v>-0.28014899440118768</v>
      </c>
    </row>
    <row r="855" spans="1:10" x14ac:dyDescent="0.2">
      <c r="A855" s="12">
        <v>43565</v>
      </c>
      <c r="B855" s="13">
        <v>18.640853654400001</v>
      </c>
      <c r="C855" s="13">
        <v>155.479996</v>
      </c>
      <c r="D855" s="13">
        <v>157.36000100000001</v>
      </c>
      <c r="E855" s="13">
        <v>155.33000200000001</v>
      </c>
      <c r="F855" s="13">
        <v>157.30999800000001</v>
      </c>
      <c r="G855" s="13">
        <v>153.928665</v>
      </c>
      <c r="H855" s="13">
        <v>153.928665</v>
      </c>
      <c r="I855" s="14">
        <f t="shared" si="13"/>
        <v>1.3595393310228188E-2</v>
      </c>
      <c r="J855" s="14">
        <f>IF(COUNT(B855)=0,"",B855-(INTERCEPT('3. Cleaned Data'!$B$4:$B$1041,'3. Cleaned Data'!$H$4:$H$1041)+SLOPE('3. Cleaned Data'!$B$4:$B$1041,'3. Cleaned Data'!$H$4:$H$1041)*H855))</f>
        <v>-0.617672182693358</v>
      </c>
    </row>
    <row r="856" spans="1:10" x14ac:dyDescent="0.2">
      <c r="A856" s="12">
        <v>43566</v>
      </c>
      <c r="B856" s="13">
        <v>19.685376993599998</v>
      </c>
      <c r="C856" s="13">
        <v>157.520004</v>
      </c>
      <c r="D856" s="13">
        <v>157.679993</v>
      </c>
      <c r="E856" s="13">
        <v>156.80999800000001</v>
      </c>
      <c r="F856" s="13">
        <v>157.11000100000001</v>
      </c>
      <c r="G856" s="13">
        <v>153.73297099999999</v>
      </c>
      <c r="H856" s="13">
        <v>153.73297099999999</v>
      </c>
      <c r="I856" s="14">
        <f t="shared" si="13"/>
        <v>-1.2713291575678909E-3</v>
      </c>
      <c r="J856" s="14">
        <f>IF(COUNT(B856)=0,"",B856-(INTERCEPT('3. Cleaned Data'!$B$4:$B$1041,'3. Cleaned Data'!$H$4:$H$1041)+SLOPE('3. Cleaned Data'!$B$4:$B$1041,'3. Cleaned Data'!$H$4:$H$1041)*H856))</f>
        <v>0.45362061385760555</v>
      </c>
    </row>
    <row r="857" spans="1:10" x14ac:dyDescent="0.2">
      <c r="A857" s="12">
        <v>43567</v>
      </c>
      <c r="B857" s="13">
        <v>18.87200838</v>
      </c>
      <c r="C857" s="13">
        <v>158.13000500000001</v>
      </c>
      <c r="D857" s="13">
        <v>158.16000399999999</v>
      </c>
      <c r="E857" s="13">
        <v>157.11000100000001</v>
      </c>
      <c r="F857" s="13">
        <v>157.679993</v>
      </c>
      <c r="G857" s="13">
        <v>154.29068000000001</v>
      </c>
      <c r="H857" s="13">
        <v>154.29068000000001</v>
      </c>
      <c r="I857" s="14">
        <f t="shared" si="13"/>
        <v>3.6277774141242336E-3</v>
      </c>
      <c r="J857" s="14">
        <f>IF(COUNT(B857)=0,"",B857-(INTERCEPT('3. Cleaned Data'!$B$4:$B$1041,'3. Cleaned Data'!$H$4:$H$1041)+SLOPE('3. Cleaned Data'!$B$4:$B$1041,'3. Cleaned Data'!$H$4:$H$1041)*H857))</f>
        <v>-0.43603836781575467</v>
      </c>
    </row>
    <row r="858" spans="1:10" x14ac:dyDescent="0.2">
      <c r="A858" s="12">
        <v>43570</v>
      </c>
      <c r="B858" s="13">
        <v>19.673074706400001</v>
      </c>
      <c r="C858" s="13">
        <v>157.949997</v>
      </c>
      <c r="D858" s="13">
        <v>158.10000600000001</v>
      </c>
      <c r="E858" s="13">
        <v>156.5</v>
      </c>
      <c r="F858" s="13">
        <v>157.16999799999999</v>
      </c>
      <c r="G858" s="13">
        <v>153.791687</v>
      </c>
      <c r="H858" s="13">
        <v>153.791687</v>
      </c>
      <c r="I858" s="14">
        <f t="shared" si="13"/>
        <v>-3.2341097984661671E-3</v>
      </c>
      <c r="J858" s="14">
        <f>IF(COUNT(B858)=0,"",B858-(INTERCEPT('3. Cleaned Data'!$B$4:$B$1041,'3. Cleaned Data'!$H$4:$H$1041)+SLOPE('3. Cleaned Data'!$B$4:$B$1041,'3. Cleaned Data'!$H$4:$H$1041)*H858))</f>
        <v>0.4332864224713795</v>
      </c>
    </row>
    <row r="859" spans="1:10" x14ac:dyDescent="0.2">
      <c r="A859" s="12">
        <v>43571</v>
      </c>
      <c r="B859" s="13">
        <v>19.694082778799999</v>
      </c>
      <c r="C859" s="13">
        <v>157.71000699999999</v>
      </c>
      <c r="D859" s="13">
        <v>157.89999399999999</v>
      </c>
      <c r="E859" s="13">
        <v>156.979996</v>
      </c>
      <c r="F859" s="13">
        <v>157.53999300000001</v>
      </c>
      <c r="G859" s="13">
        <v>154.15370200000001</v>
      </c>
      <c r="H859" s="13">
        <v>154.15370200000001</v>
      </c>
      <c r="I859" s="14">
        <f t="shared" si="13"/>
        <v>2.3539308727396069E-3</v>
      </c>
      <c r="J859" s="14">
        <f>IF(COUNT(B859)=0,"",B859-(INTERCEPT('3. Cleaned Data'!$B$4:$B$1041,'3. Cleaned Data'!$H$4:$H$1041)+SLOPE('3. Cleaned Data'!$B$4:$B$1041,'3. Cleaned Data'!$H$4:$H$1041)*H859))</f>
        <v>0.40477358414898035</v>
      </c>
    </row>
    <row r="860" spans="1:10" x14ac:dyDescent="0.2">
      <c r="A860" s="12">
        <v>43572</v>
      </c>
      <c r="B860" s="13">
        <v>19.141688137199999</v>
      </c>
      <c r="C860" s="13">
        <v>158.08999600000001</v>
      </c>
      <c r="D860" s="13">
        <v>158.11000100000001</v>
      </c>
      <c r="E860" s="13">
        <v>155.199997</v>
      </c>
      <c r="F860" s="13">
        <v>156.10000600000001</v>
      </c>
      <c r="G860" s="13">
        <v>152.744675</v>
      </c>
      <c r="H860" s="13">
        <v>152.744675</v>
      </c>
      <c r="I860" s="14">
        <f t="shared" si="13"/>
        <v>-9.1404032580417738E-3</v>
      </c>
      <c r="J860" s="14">
        <f>IF(COUNT(B860)=0,"",B860-(INTERCEPT('3. Cleaned Data'!$B$4:$B$1041,'3. Cleaned Data'!$H$4:$H$1041)+SLOPE('3. Cleaned Data'!$B$4:$B$1041,'3. Cleaned Data'!$H$4:$H$1041)*H860))</f>
        <v>4.5123166607229592E-2</v>
      </c>
    </row>
    <row r="861" spans="1:10" x14ac:dyDescent="0.2">
      <c r="A861" s="12">
        <v>43573</v>
      </c>
      <c r="B861" s="13">
        <v>19.607071554000001</v>
      </c>
      <c r="C861" s="13">
        <v>156.11000100000001</v>
      </c>
      <c r="D861" s="13">
        <v>156.279999</v>
      </c>
      <c r="E861" s="13">
        <v>154.66000399999999</v>
      </c>
      <c r="F861" s="13">
        <v>155.63999899999999</v>
      </c>
      <c r="G861" s="13">
        <v>152.294556</v>
      </c>
      <c r="H861" s="13">
        <v>152.294556</v>
      </c>
      <c r="I861" s="14">
        <f t="shared" si="13"/>
        <v>-2.9468719613302552E-3</v>
      </c>
      <c r="J861" s="14">
        <f>IF(COUNT(B861)=0,"",B861-(INTERCEPT('3. Cleaned Data'!$B$4:$B$1041,'3. Cleaned Data'!$H$4:$H$1041)+SLOPE('3. Cleaned Data'!$B$4:$B$1041,'3. Cleaned Data'!$H$4:$H$1041)*H861))</f>
        <v>0.57207945418179662</v>
      </c>
    </row>
    <row r="862" spans="1:10" x14ac:dyDescent="0.2">
      <c r="A862" s="12">
        <v>43577</v>
      </c>
      <c r="B862" s="13">
        <v>19.515834198</v>
      </c>
      <c r="C862" s="13">
        <v>155.30999800000001</v>
      </c>
      <c r="D862" s="13">
        <v>155.80999800000001</v>
      </c>
      <c r="E862" s="13">
        <v>154.520004</v>
      </c>
      <c r="F862" s="13">
        <v>155.229996</v>
      </c>
      <c r="G862" s="13">
        <v>151.89334099999999</v>
      </c>
      <c r="H862" s="13">
        <v>151.89334099999999</v>
      </c>
      <c r="I862" s="14">
        <f t="shared" si="13"/>
        <v>-2.6344671177872536E-3</v>
      </c>
      <c r="J862" s="14">
        <f>IF(COUNT(B862)=0,"",B862-(INTERCEPT('3. Cleaned Data'!$B$4:$B$1041,'3. Cleaned Data'!$H$4:$H$1041)+SLOPE('3. Cleaned Data'!$B$4:$B$1041,'3. Cleaned Data'!$H$4:$H$1041)*H862))</f>
        <v>0.53572527207096243</v>
      </c>
    </row>
    <row r="863" spans="1:10" x14ac:dyDescent="0.2">
      <c r="A863" s="12">
        <v>43578</v>
      </c>
      <c r="B863" s="13">
        <v>19.883209967999999</v>
      </c>
      <c r="C863" s="13">
        <v>155.36999499999999</v>
      </c>
      <c r="D863" s="13">
        <v>158.050003</v>
      </c>
      <c r="E863" s="13">
        <v>155.36000100000001</v>
      </c>
      <c r="F863" s="13">
        <v>157.570007</v>
      </c>
      <c r="G863" s="13">
        <v>154.183075</v>
      </c>
      <c r="H863" s="13">
        <v>154.183075</v>
      </c>
      <c r="I863" s="14">
        <f t="shared" si="13"/>
        <v>1.5074617392213385E-2</v>
      </c>
      <c r="J863" s="14">
        <f>IF(COUNT(B863)=0,"",B863-(INTERCEPT('3. Cleaned Data'!$B$4:$B$1041,'3. Cleaned Data'!$H$4:$H$1041)+SLOPE('3. Cleaned Data'!$B$4:$B$1041,'3. Cleaned Data'!$H$4:$H$1041)*H863))</f>
        <v>0.58988276936945283</v>
      </c>
    </row>
    <row r="864" spans="1:10" x14ac:dyDescent="0.2">
      <c r="A864" s="12">
        <v>43579</v>
      </c>
      <c r="B864" s="13">
        <v>20.34570648</v>
      </c>
      <c r="C864" s="13">
        <v>157.61999499999999</v>
      </c>
      <c r="D864" s="13">
        <v>158.69000199999999</v>
      </c>
      <c r="E864" s="13">
        <v>157.36999499999999</v>
      </c>
      <c r="F864" s="13">
        <v>158.05999800000001</v>
      </c>
      <c r="G864" s="13">
        <v>154.66253699999999</v>
      </c>
      <c r="H864" s="13">
        <v>154.66253699999999</v>
      </c>
      <c r="I864" s="14">
        <f t="shared" si="13"/>
        <v>3.1096928116136624E-3</v>
      </c>
      <c r="J864" s="14">
        <f>IF(COUNT(B864)=0,"",B864-(INTERCEPT('3. Cleaned Data'!$B$4:$B$1041,'3. Cleaned Data'!$H$4:$H$1041)+SLOPE('3. Cleaned Data'!$B$4:$B$1041,'3. Cleaned Data'!$H$4:$H$1041)*H864))</f>
        <v>0.98679251038819515</v>
      </c>
    </row>
    <row r="865" spans="1:10" x14ac:dyDescent="0.2">
      <c r="A865" s="12">
        <v>43580</v>
      </c>
      <c r="B865" s="13">
        <v>18.849532440000001</v>
      </c>
      <c r="C865" s="13">
        <v>157.33000200000001</v>
      </c>
      <c r="D865" s="13">
        <v>157.470001</v>
      </c>
      <c r="E865" s="13">
        <v>155.470001</v>
      </c>
      <c r="F865" s="13">
        <v>156.75</v>
      </c>
      <c r="G865" s="13">
        <v>153.380707</v>
      </c>
      <c r="H865" s="13">
        <v>153.380707</v>
      </c>
      <c r="I865" s="14">
        <f t="shared" si="13"/>
        <v>-8.2879152564269143E-3</v>
      </c>
      <c r="J865" s="14">
        <f>IF(COUNT(B865)=0,"",B865-(INTERCEPT('3. Cleaned Data'!$B$4:$B$1041,'3. Cleaned Data'!$H$4:$H$1041)+SLOPE('3. Cleaned Data'!$B$4:$B$1041,'3. Cleaned Data'!$H$4:$H$1041)*H865))</f>
        <v>-0.33403689198273412</v>
      </c>
    </row>
    <row r="866" spans="1:10" x14ac:dyDescent="0.2">
      <c r="A866" s="12">
        <v>43581</v>
      </c>
      <c r="B866" s="13">
        <v>19.625498879999999</v>
      </c>
      <c r="C866" s="13">
        <v>156.96000699999999</v>
      </c>
      <c r="D866" s="13">
        <v>158.490005</v>
      </c>
      <c r="E866" s="13">
        <v>156.39999399999999</v>
      </c>
      <c r="F866" s="13">
        <v>158.270004</v>
      </c>
      <c r="G866" s="13">
        <v>154.86802700000001</v>
      </c>
      <c r="H866" s="13">
        <v>154.86802700000001</v>
      </c>
      <c r="I866" s="14">
        <f t="shared" si="13"/>
        <v>9.69691709662035E-3</v>
      </c>
      <c r="J866" s="14">
        <f>IF(COUNT(B866)=0,"",B866-(INTERCEPT('3. Cleaned Data'!$B$4:$B$1041,'3. Cleaned Data'!$H$4:$H$1041)+SLOPE('3. Cleaned Data'!$B$4:$B$1041,'3. Cleaned Data'!$H$4:$H$1041)*H866))</f>
        <v>0.23847543441524621</v>
      </c>
    </row>
    <row r="867" spans="1:10" x14ac:dyDescent="0.2">
      <c r="A867" s="12">
        <v>43584</v>
      </c>
      <c r="B867" s="13">
        <v>19.422135936</v>
      </c>
      <c r="C867" s="13">
        <v>158.61999499999999</v>
      </c>
      <c r="D867" s="13">
        <v>159.61000100000001</v>
      </c>
      <c r="E867" s="13">
        <v>158.490005</v>
      </c>
      <c r="F867" s="13">
        <v>159.029999</v>
      </c>
      <c r="G867" s="13">
        <v>155.61167900000001</v>
      </c>
      <c r="H867" s="13">
        <v>155.61167900000001</v>
      </c>
      <c r="I867" s="14">
        <f t="shared" si="13"/>
        <v>4.8018433139849215E-3</v>
      </c>
      <c r="J867" s="14">
        <f>IF(COUNT(B867)=0,"",B867-(INTERCEPT('3. Cleaned Data'!$B$4:$B$1041,'3. Cleaned Data'!$H$4:$H$1041)+SLOPE('3. Cleaned Data'!$B$4:$B$1041,'3. Cleaned Data'!$H$4:$H$1041)*H867))</f>
        <v>-6.6613472046338273E-2</v>
      </c>
    </row>
    <row r="868" spans="1:10" x14ac:dyDescent="0.2">
      <c r="A868" s="12">
        <v>43585</v>
      </c>
      <c r="B868" s="13">
        <v>19.695336604800001</v>
      </c>
      <c r="C868" s="13">
        <v>159.14999399999999</v>
      </c>
      <c r="D868" s="13">
        <v>159.19000199999999</v>
      </c>
      <c r="E868" s="13">
        <v>156.96000699999999</v>
      </c>
      <c r="F868" s="13">
        <v>158.28999300000001</v>
      </c>
      <c r="G868" s="13">
        <v>154.887573</v>
      </c>
      <c r="H868" s="13">
        <v>154.887573</v>
      </c>
      <c r="I868" s="14">
        <f t="shared" si="13"/>
        <v>-4.6532882663646857E-3</v>
      </c>
      <c r="J868" s="14">
        <f>IF(COUNT(B868)=0,"",B868-(INTERCEPT('3. Cleaned Data'!$B$4:$B$1041,'3. Cleaned Data'!$H$4:$H$1041)+SLOPE('3. Cleaned Data'!$B$4:$B$1041,'3. Cleaned Data'!$H$4:$H$1041)*H868))</f>
        <v>0.30563941442296283</v>
      </c>
    </row>
    <row r="869" spans="1:10" x14ac:dyDescent="0.2">
      <c r="A869" s="12">
        <v>43586</v>
      </c>
      <c r="B869" s="13">
        <v>19.807122196800002</v>
      </c>
      <c r="C869" s="13">
        <v>158.66999799999999</v>
      </c>
      <c r="D869" s="13">
        <v>158.729996</v>
      </c>
      <c r="E869" s="13">
        <v>156.71000699999999</v>
      </c>
      <c r="F869" s="13">
        <v>156.78999300000001</v>
      </c>
      <c r="G869" s="13">
        <v>153.41982999999999</v>
      </c>
      <c r="H869" s="13">
        <v>153.41982999999999</v>
      </c>
      <c r="I869" s="14">
        <f t="shared" si="13"/>
        <v>-9.4761830892657883E-3</v>
      </c>
      <c r="J869" s="14">
        <f>IF(COUNT(B869)=0,"",B869-(INTERCEPT('3. Cleaned Data'!$B$4:$B$1041,'3. Cleaned Data'!$H$4:$H$1041)+SLOPE('3. Cleaned Data'!$B$4:$B$1041,'3. Cleaned Data'!$H$4:$H$1041)*H869))</f>
        <v>0.61820113466743365</v>
      </c>
    </row>
    <row r="870" spans="1:10" x14ac:dyDescent="0.2">
      <c r="A870" s="12">
        <v>43587</v>
      </c>
      <c r="B870" s="13">
        <v>20.045555053200001</v>
      </c>
      <c r="C870" s="13">
        <v>156.63999899999999</v>
      </c>
      <c r="D870" s="13">
        <v>158.14999399999999</v>
      </c>
      <c r="E870" s="13">
        <v>155.679993</v>
      </c>
      <c r="F870" s="13">
        <v>157.520004</v>
      </c>
      <c r="G870" s="13">
        <v>154.13414</v>
      </c>
      <c r="H870" s="13">
        <v>154.13414</v>
      </c>
      <c r="I870" s="14">
        <f t="shared" si="13"/>
        <v>4.6559170349753654E-3</v>
      </c>
      <c r="J870" s="14">
        <f>IF(COUNT(B870)=0,"",B870-(INTERCEPT('3. Cleaned Data'!$B$4:$B$1041,'3. Cleaned Data'!$H$4:$H$1041)+SLOPE('3. Cleaned Data'!$B$4:$B$1041,'3. Cleaned Data'!$H$4:$H$1041)*H870))</f>
        <v>0.75892179202011434</v>
      </c>
    </row>
    <row r="871" spans="1:10" x14ac:dyDescent="0.2">
      <c r="A871" s="12">
        <v>43588</v>
      </c>
      <c r="B871" s="13">
        <v>18.160577107200002</v>
      </c>
      <c r="C871" s="13">
        <v>158.30999800000001</v>
      </c>
      <c r="D871" s="13">
        <v>160.63999899999999</v>
      </c>
      <c r="E871" s="13">
        <v>158.19000199999999</v>
      </c>
      <c r="F871" s="13">
        <v>160.529999</v>
      </c>
      <c r="G871" s="13">
        <v>157.07943700000001</v>
      </c>
      <c r="H871" s="13">
        <v>157.07943700000001</v>
      </c>
      <c r="I871" s="14">
        <f t="shared" si="13"/>
        <v>1.9108660806749223E-2</v>
      </c>
      <c r="J871" s="14">
        <f>IF(COUNT(B871)=0,"",B871-(INTERCEPT('3. Cleaned Data'!$B$4:$B$1041,'3. Cleaned Data'!$H$4:$H$1041)+SLOPE('3. Cleaned Data'!$B$4:$B$1041,'3. Cleaned Data'!$H$4:$H$1041)*H871))</f>
        <v>-1.5289504809772261</v>
      </c>
    </row>
    <row r="872" spans="1:10" x14ac:dyDescent="0.2">
      <c r="A872" s="12">
        <v>43591</v>
      </c>
      <c r="B872" s="13">
        <v>18.028762199999999</v>
      </c>
      <c r="C872" s="13">
        <v>158.179993</v>
      </c>
      <c r="D872" s="13">
        <v>161.11000100000001</v>
      </c>
      <c r="E872" s="13">
        <v>158.009995</v>
      </c>
      <c r="F872" s="13">
        <v>160.71000699999999</v>
      </c>
      <c r="G872" s="13">
        <v>157.25559999999999</v>
      </c>
      <c r="H872" s="13">
        <v>157.25559999999999</v>
      </c>
      <c r="I872" s="14">
        <f t="shared" si="13"/>
        <v>1.1214898866742651E-3</v>
      </c>
      <c r="J872" s="14">
        <f>IF(COUNT(B872)=0,"",B872-(INTERCEPT('3. Cleaned Data'!$B$4:$B$1041,'3. Cleaned Data'!$H$4:$H$1041)+SLOPE('3. Cleaned Data'!$B$4:$B$1041,'3. Cleaned Data'!$H$4:$H$1041)*H872))</f>
        <v>-1.6848631526223166</v>
      </c>
    </row>
    <row r="873" spans="1:10" x14ac:dyDescent="0.2">
      <c r="A873" s="12">
        <v>43592</v>
      </c>
      <c r="B873" s="13">
        <v>19.172721549599999</v>
      </c>
      <c r="C873" s="13">
        <v>159.30999800000001</v>
      </c>
      <c r="D873" s="13">
        <v>159.86999499999999</v>
      </c>
      <c r="E873" s="13">
        <v>156.25</v>
      </c>
      <c r="F873" s="13">
        <v>157.529999</v>
      </c>
      <c r="G873" s="13">
        <v>154.143936</v>
      </c>
      <c r="H873" s="13">
        <v>154.143936</v>
      </c>
      <c r="I873" s="14">
        <f t="shared" si="13"/>
        <v>-1.9787301692276715E-2</v>
      </c>
      <c r="J873" s="14">
        <f>IF(COUNT(B873)=0,"",B873-(INTERCEPT('3. Cleaned Data'!$B$4:$B$1041,'3. Cleaned Data'!$H$4:$H$1041)+SLOPE('3. Cleaned Data'!$B$4:$B$1041,'3. Cleaned Data'!$H$4:$H$1041)*H873))</f>
        <v>-0.11525173020186941</v>
      </c>
    </row>
    <row r="874" spans="1:10" x14ac:dyDescent="0.2">
      <c r="A874" s="12">
        <v>43593</v>
      </c>
      <c r="B874" s="13">
        <v>19.292210304000001</v>
      </c>
      <c r="C874" s="13">
        <v>157.259995</v>
      </c>
      <c r="D874" s="13">
        <v>158.08999600000001</v>
      </c>
      <c r="E874" s="13">
        <v>156.64999399999999</v>
      </c>
      <c r="F874" s="13">
        <v>156.759995</v>
      </c>
      <c r="G874" s="13">
        <v>153.39047199999999</v>
      </c>
      <c r="H874" s="13">
        <v>153.39047199999999</v>
      </c>
      <c r="I874" s="14">
        <f t="shared" si="13"/>
        <v>-4.8880547594165602E-3</v>
      </c>
      <c r="J874" s="14">
        <f>IF(COUNT(B874)=0,"",B874-(INTERCEPT('3. Cleaned Data'!$B$4:$B$1041,'3. Cleaned Data'!$H$4:$H$1041)+SLOPE('3. Cleaned Data'!$B$4:$B$1041,'3. Cleaned Data'!$H$4:$H$1041)*H874))</f>
        <v>0.10730519396054916</v>
      </c>
    </row>
    <row r="875" spans="1:10" x14ac:dyDescent="0.2">
      <c r="A875" s="12">
        <v>43594</v>
      </c>
      <c r="B875" s="13">
        <v>18.664430678399999</v>
      </c>
      <c r="C875" s="13">
        <v>155.520004</v>
      </c>
      <c r="D875" s="13">
        <v>156.64999399999999</v>
      </c>
      <c r="E875" s="13">
        <v>153.740005</v>
      </c>
      <c r="F875" s="13">
        <v>156.19000199999999</v>
      </c>
      <c r="G875" s="13">
        <v>152.83273299999999</v>
      </c>
      <c r="H875" s="13">
        <v>152.83273299999999</v>
      </c>
      <c r="I875" s="14">
        <f t="shared" si="13"/>
        <v>-3.6360733018671043E-3</v>
      </c>
      <c r="J875" s="14">
        <f>IF(COUNT(B875)=0,"",B875-(INTERCEPT('3. Cleaned Data'!$B$4:$B$1041,'3. Cleaned Data'!$H$4:$H$1041)+SLOPE('3. Cleaned Data'!$B$4:$B$1041,'3. Cleaned Data'!$H$4:$H$1041)*H875))</f>
        <v>-0.44417995979326363</v>
      </c>
    </row>
    <row r="876" spans="1:10" x14ac:dyDescent="0.2">
      <c r="A876" s="12">
        <v>43595</v>
      </c>
      <c r="B876" s="13">
        <v>19.604312243999999</v>
      </c>
      <c r="C876" s="13">
        <v>155.58999600000001</v>
      </c>
      <c r="D876" s="13">
        <v>156.83000200000001</v>
      </c>
      <c r="E876" s="13">
        <v>153.66999799999999</v>
      </c>
      <c r="F876" s="13">
        <v>156.61999499999999</v>
      </c>
      <c r="G876" s="13">
        <v>153.253479</v>
      </c>
      <c r="H876" s="13">
        <v>153.253479</v>
      </c>
      <c r="I876" s="14">
        <f t="shared" si="13"/>
        <v>2.7529835509780831E-3</v>
      </c>
      <c r="J876" s="14">
        <f>IF(COUNT(B876)=0,"",B876-(INTERCEPT('3. Cleaned Data'!$B$4:$B$1041,'3. Cleaned Data'!$H$4:$H$1041)+SLOPE('3. Cleaned Data'!$B$4:$B$1041,'3. Cleaned Data'!$H$4:$H$1041)*H876))</f>
        <v>0.43814673901169598</v>
      </c>
    </row>
    <row r="877" spans="1:10" x14ac:dyDescent="0.2">
      <c r="A877" s="12">
        <v>43598</v>
      </c>
      <c r="B877" s="13">
        <v>18.784106265599998</v>
      </c>
      <c r="C877" s="13">
        <v>153.69000199999999</v>
      </c>
      <c r="D877" s="13">
        <v>154.020004</v>
      </c>
      <c r="E877" s="13">
        <v>151.16000399999999</v>
      </c>
      <c r="F877" s="13">
        <v>151.63000500000001</v>
      </c>
      <c r="G877" s="13">
        <v>148.37072800000001</v>
      </c>
      <c r="H877" s="13">
        <v>148.37072800000001</v>
      </c>
      <c r="I877" s="14">
        <f t="shared" si="13"/>
        <v>-3.1860620925936556E-2</v>
      </c>
      <c r="J877" s="14">
        <f>IF(COUNT(B877)=0,"",B877-(INTERCEPT('3. Cleaned Data'!$B$4:$B$1041,'3. Cleaned Data'!$H$4:$H$1041)+SLOPE('3. Cleaned Data'!$B$4:$B$1041,'3. Cleaned Data'!$H$4:$H$1041)*H877))</f>
        <v>0.28586412387203453</v>
      </c>
    </row>
    <row r="878" spans="1:10" x14ac:dyDescent="0.2">
      <c r="A878" s="12">
        <v>43599</v>
      </c>
      <c r="B878" s="13">
        <v>18.805676903999998</v>
      </c>
      <c r="C878" s="13">
        <v>151.96000699999999</v>
      </c>
      <c r="D878" s="13">
        <v>154.16999799999999</v>
      </c>
      <c r="E878" s="13">
        <v>151.699997</v>
      </c>
      <c r="F878" s="13">
        <v>153.53999300000001</v>
      </c>
      <c r="G878" s="13">
        <v>150.23968500000001</v>
      </c>
      <c r="H878" s="13">
        <v>150.23968500000001</v>
      </c>
      <c r="I878" s="14">
        <f t="shared" si="13"/>
        <v>1.2596534540155302E-2</v>
      </c>
      <c r="J878" s="14">
        <f>IF(COUNT(B878)=0,"",B878-(INTERCEPT('3. Cleaned Data'!$B$4:$B$1041,'3. Cleaned Data'!$H$4:$H$1041)+SLOPE('3. Cleaned Data'!$B$4:$B$1041,'3. Cleaned Data'!$H$4:$H$1041)*H878))</f>
        <v>5.1775596930824008E-2</v>
      </c>
    </row>
    <row r="879" spans="1:10" x14ac:dyDescent="0.2">
      <c r="A879" s="12">
        <v>43600</v>
      </c>
      <c r="B879" s="13">
        <v>17.8922966256</v>
      </c>
      <c r="C879" s="13">
        <v>152.39999399999999</v>
      </c>
      <c r="D879" s="13">
        <v>154.41000399999999</v>
      </c>
      <c r="E879" s="13">
        <v>152.070007</v>
      </c>
      <c r="F879" s="13">
        <v>154.03999300000001</v>
      </c>
      <c r="G879" s="13">
        <v>150.72894299999999</v>
      </c>
      <c r="H879" s="13">
        <v>150.72894299999999</v>
      </c>
      <c r="I879" s="14">
        <f t="shared" si="13"/>
        <v>3.2565164124245261E-3</v>
      </c>
      <c r="J879" s="14">
        <f>IF(COUNT(B879)=0,"",B879-(INTERCEPT('3. Cleaned Data'!$B$4:$B$1041,'3. Cleaned Data'!$H$4:$H$1041)+SLOPE('3. Cleaned Data'!$B$4:$B$1041,'3. Cleaned Data'!$H$4:$H$1041)*H879))</f>
        <v>-0.9285314710724144</v>
      </c>
    </row>
    <row r="880" spans="1:10" x14ac:dyDescent="0.2">
      <c r="A880" s="12">
        <v>43601</v>
      </c>
      <c r="B880" s="13">
        <v>17.8829123784</v>
      </c>
      <c r="C880" s="13">
        <v>154.509995</v>
      </c>
      <c r="D880" s="13">
        <v>156.179993</v>
      </c>
      <c r="E880" s="13">
        <v>154.44000199999999</v>
      </c>
      <c r="F880" s="13">
        <v>155</v>
      </c>
      <c r="G880" s="13">
        <v>151.66831999999999</v>
      </c>
      <c r="H880" s="13">
        <v>151.66831999999999</v>
      </c>
      <c r="I880" s="14">
        <f t="shared" si="13"/>
        <v>6.2322270779806566E-3</v>
      </c>
      <c r="J880" s="14">
        <f>IF(COUNT(B880)=0,"",B880-(INTERCEPT('3. Cleaned Data'!$B$4:$B$1041,'3. Cleaned Data'!$H$4:$H$1041)+SLOPE('3. Cleaned Data'!$B$4:$B$1041,'3. Cleaned Data'!$H$4:$H$1041)*H880))</f>
        <v>-1.0664153786502233</v>
      </c>
    </row>
    <row r="881" spans="1:10" x14ac:dyDescent="0.2">
      <c r="A881" s="12">
        <v>43602</v>
      </c>
      <c r="B881" s="13">
        <v>18.091899076800001</v>
      </c>
      <c r="C881" s="13">
        <v>153.820007</v>
      </c>
      <c r="D881" s="13">
        <v>155.270004</v>
      </c>
      <c r="E881" s="13">
        <v>152.66000399999999</v>
      </c>
      <c r="F881" s="13">
        <v>152.83999600000001</v>
      </c>
      <c r="G881" s="13">
        <v>149.554733</v>
      </c>
      <c r="H881" s="13">
        <v>149.554733</v>
      </c>
      <c r="I881" s="14">
        <f t="shared" si="13"/>
        <v>-1.3935586548331269E-2</v>
      </c>
      <c r="J881" s="14">
        <f>IF(COUNT(B881)=0,"",B881-(INTERCEPT('3. Cleaned Data'!$B$4:$B$1041,'3. Cleaned Data'!$H$4:$H$1041)+SLOPE('3. Cleaned Data'!$B$4:$B$1041,'3. Cleaned Data'!$H$4:$H$1041)*H881))</f>
        <v>-0.56830598331496418</v>
      </c>
    </row>
    <row r="882" spans="1:10" x14ac:dyDescent="0.2">
      <c r="A882" s="12">
        <v>43605</v>
      </c>
      <c r="B882" s="13">
        <v>18.114900086399999</v>
      </c>
      <c r="C882" s="13">
        <v>151.929993</v>
      </c>
      <c r="D882" s="13">
        <v>152.820007</v>
      </c>
      <c r="E882" s="13">
        <v>151.41000399999999</v>
      </c>
      <c r="F882" s="13">
        <v>151.779999</v>
      </c>
      <c r="G882" s="13">
        <v>148.517517</v>
      </c>
      <c r="H882" s="13">
        <v>148.517517</v>
      </c>
      <c r="I882" s="14">
        <f t="shared" si="13"/>
        <v>-6.9353605813331498E-3</v>
      </c>
      <c r="J882" s="14">
        <f>IF(COUNT(B882)=0,"",B882-(INTERCEPT('3. Cleaned Data'!$B$4:$B$1041,'3. Cleaned Data'!$H$4:$H$1041)+SLOPE('3. Cleaned Data'!$B$4:$B$1041,'3. Cleaned Data'!$H$4:$H$1041)*H882))</f>
        <v>-0.40342167900109871</v>
      </c>
    </row>
    <row r="883" spans="1:10" x14ac:dyDescent="0.2">
      <c r="A883" s="12">
        <v>43606</v>
      </c>
      <c r="B883" s="13">
        <v>18.064834319999999</v>
      </c>
      <c r="C883" s="13">
        <v>152.63000500000001</v>
      </c>
      <c r="D883" s="13">
        <v>154.03999300000001</v>
      </c>
      <c r="E883" s="13">
        <v>152.58000200000001</v>
      </c>
      <c r="F883" s="13">
        <v>153.820007</v>
      </c>
      <c r="G883" s="13">
        <v>150.51367200000001</v>
      </c>
      <c r="H883" s="13">
        <v>150.51367200000001</v>
      </c>
      <c r="I883" s="14">
        <f t="shared" si="13"/>
        <v>1.3440535771952256E-2</v>
      </c>
      <c r="J883" s="14">
        <f>IF(COUNT(B883)=0,"",B883-(INTERCEPT('3. Cleaned Data'!$B$4:$B$1041,'3. Cleaned Data'!$H$4:$H$1041)+SLOPE('3. Cleaned Data'!$B$4:$B$1041,'3. Cleaned Data'!$H$4:$H$1041)*H883))</f>
        <v>-0.72654633396390977</v>
      </c>
    </row>
    <row r="884" spans="1:10" x14ac:dyDescent="0.2">
      <c r="A884" s="12">
        <v>43607</v>
      </c>
      <c r="B884" s="13">
        <v>18.154589726400001</v>
      </c>
      <c r="C884" s="13">
        <v>153.220001</v>
      </c>
      <c r="D884" s="13">
        <v>153.58999600000001</v>
      </c>
      <c r="E884" s="13">
        <v>152</v>
      </c>
      <c r="F884" s="13">
        <v>152.529999</v>
      </c>
      <c r="G884" s="13">
        <v>149.25140400000001</v>
      </c>
      <c r="H884" s="13">
        <v>149.25140400000001</v>
      </c>
      <c r="I884" s="14">
        <f t="shared" si="13"/>
        <v>-8.3864009377168092E-3</v>
      </c>
      <c r="J884" s="14">
        <f>IF(COUNT(B884)=0,"",B884-(INTERCEPT('3. Cleaned Data'!$B$4:$B$1041,'3. Cleaned Data'!$H$4:$H$1041)+SLOPE('3. Cleaned Data'!$B$4:$B$1041,'3. Cleaned Data'!$H$4:$H$1041)*H884))</f>
        <v>-0.46412222340596188</v>
      </c>
    </row>
    <row r="885" spans="1:10" x14ac:dyDescent="0.2">
      <c r="A885" s="12">
        <v>43608</v>
      </c>
      <c r="B885" s="13">
        <v>18.218067487199999</v>
      </c>
      <c r="C885" s="13">
        <v>151.05999800000001</v>
      </c>
      <c r="D885" s="13">
        <v>151.05999800000001</v>
      </c>
      <c r="E885" s="13">
        <v>148.58000200000001</v>
      </c>
      <c r="F885" s="13">
        <v>149.38999899999999</v>
      </c>
      <c r="G885" s="13">
        <v>146.17889400000001</v>
      </c>
      <c r="H885" s="13">
        <v>146.17889400000001</v>
      </c>
      <c r="I885" s="14">
        <f t="shared" si="13"/>
        <v>-2.0586138003767074E-2</v>
      </c>
      <c r="J885" s="14">
        <f>IF(COUNT(B885)=0,"",B885-(INTERCEPT('3. Cleaned Data'!$B$4:$B$1041,'3. Cleaned Data'!$H$4:$H$1041)+SLOPE('3. Cleaned Data'!$B$4:$B$1041,'3. Cleaned Data'!$H$4:$H$1041)*H885))</f>
        <v>1.9651639499389972E-2</v>
      </c>
    </row>
    <row r="886" spans="1:10" x14ac:dyDescent="0.2">
      <c r="A886" s="12">
        <v>43609</v>
      </c>
      <c r="B886" s="13">
        <v>17.808201789600002</v>
      </c>
      <c r="C886" s="13">
        <v>150.38000500000001</v>
      </c>
      <c r="D886" s="13">
        <v>151.08999600000001</v>
      </c>
      <c r="E886" s="13">
        <v>149.78999300000001</v>
      </c>
      <c r="F886" s="13">
        <v>150.78999300000001</v>
      </c>
      <c r="G886" s="13">
        <v>147.54878199999999</v>
      </c>
      <c r="H886" s="13">
        <v>147.54878199999999</v>
      </c>
      <c r="I886" s="14">
        <f t="shared" si="13"/>
        <v>9.3713118393137229E-3</v>
      </c>
      <c r="J886" s="14">
        <f>IF(COUNT(B886)=0,"",B886-(INTERCEPT('3. Cleaned Data'!$B$4:$B$1041,'3. Cleaned Data'!$H$4:$H$1041)+SLOPE('3. Cleaned Data'!$B$4:$B$1041,'3. Cleaned Data'!$H$4:$H$1041)*H886))</f>
        <v>-0.57760436333017395</v>
      </c>
    </row>
    <row r="887" spans="1:10" x14ac:dyDescent="0.2">
      <c r="A887" s="12">
        <v>43613</v>
      </c>
      <c r="B887" s="13">
        <v>17.635402200000001</v>
      </c>
      <c r="C887" s="13">
        <v>151.009995</v>
      </c>
      <c r="D887" s="13">
        <v>151.64999399999999</v>
      </c>
      <c r="E887" s="13">
        <v>149.58000200000001</v>
      </c>
      <c r="F887" s="13">
        <v>149.58999600000001</v>
      </c>
      <c r="G887" s="13">
        <v>146.37458799999999</v>
      </c>
      <c r="H887" s="13">
        <v>146.37458799999999</v>
      </c>
      <c r="I887" s="14">
        <f t="shared" si="13"/>
        <v>-7.9580053734363831E-3</v>
      </c>
      <c r="J887" s="14">
        <f>IF(COUNT(B887)=0,"",B887-(INTERCEPT('3. Cleaned Data'!$B$4:$B$1041,'3. Cleaned Data'!$H$4:$H$1041)+SLOPE('3. Cleaned Data'!$B$4:$B$1041,'3. Cleaned Data'!$H$4:$H$1041)*H887))</f>
        <v>-0.58978310505156628</v>
      </c>
    </row>
    <row r="888" spans="1:10" x14ac:dyDescent="0.2">
      <c r="A888" s="12">
        <v>43614</v>
      </c>
      <c r="B888" s="13">
        <v>18.996780052799998</v>
      </c>
      <c r="C888" s="13">
        <v>148.83999600000001</v>
      </c>
      <c r="D888" s="13">
        <v>148.929993</v>
      </c>
      <c r="E888" s="13">
        <v>147.36000100000001</v>
      </c>
      <c r="F888" s="13">
        <v>148.33999600000001</v>
      </c>
      <c r="G888" s="13">
        <v>145.151443</v>
      </c>
      <c r="H888" s="13">
        <v>145.151443</v>
      </c>
      <c r="I888" s="14">
        <f t="shared" si="13"/>
        <v>-8.3562660480382966E-3</v>
      </c>
      <c r="J888" s="14">
        <f>IF(COUNT(B888)=0,"",B888-(INTERCEPT('3. Cleaned Data'!$B$4:$B$1041,'3. Cleaned Data'!$H$4:$H$1041)+SLOPE('3. Cleaned Data'!$B$4:$B$1041,'3. Cleaned Data'!$H$4:$H$1041)*H888))</f>
        <v>0.93891172175653637</v>
      </c>
    </row>
    <row r="889" spans="1:10" x14ac:dyDescent="0.2">
      <c r="A889" s="12">
        <v>43615</v>
      </c>
      <c r="B889" s="13">
        <v>19.131201302400001</v>
      </c>
      <c r="C889" s="13">
        <v>148.75</v>
      </c>
      <c r="D889" s="13">
        <v>149.58000200000001</v>
      </c>
      <c r="E889" s="13">
        <v>147.03999300000001</v>
      </c>
      <c r="F889" s="13">
        <v>147.929993</v>
      </c>
      <c r="G889" s="13">
        <v>144.75027499999999</v>
      </c>
      <c r="H889" s="13">
        <v>144.75027499999999</v>
      </c>
      <c r="I889" s="14">
        <f t="shared" si="13"/>
        <v>-2.7637892652573326E-3</v>
      </c>
      <c r="J889" s="14">
        <f>IF(COUNT(B889)=0,"",B889-(INTERCEPT('3. Cleaned Data'!$B$4:$B$1041,'3. Cleaned Data'!$H$4:$H$1041)+SLOPE('3. Cleaned Data'!$B$4:$B$1041,'3. Cleaned Data'!$H$4:$H$1041)*H889))</f>
        <v>1.1282097160016029</v>
      </c>
    </row>
    <row r="890" spans="1:10" x14ac:dyDescent="0.2">
      <c r="A890" s="12">
        <v>43616</v>
      </c>
      <c r="B890" s="13">
        <v>19.0658796156</v>
      </c>
      <c r="C890" s="13">
        <v>146.19000199999999</v>
      </c>
      <c r="D890" s="13">
        <v>146.83999600000001</v>
      </c>
      <c r="E890" s="13">
        <v>145.320007</v>
      </c>
      <c r="F890" s="13">
        <v>145.86000100000001</v>
      </c>
      <c r="G890" s="13">
        <v>142.724762</v>
      </c>
      <c r="H890" s="13">
        <v>142.724762</v>
      </c>
      <c r="I890" s="14">
        <f t="shared" si="13"/>
        <v>-1.3993154762572901E-2</v>
      </c>
      <c r="J890" s="14">
        <f>IF(COUNT(B890)=0,"",B890-(INTERCEPT('3. Cleaned Data'!$B$4:$B$1041,'3. Cleaned Data'!$H$4:$H$1041)+SLOPE('3. Cleaned Data'!$B$4:$B$1041,'3. Cleaned Data'!$H$4:$H$1041)*H890))</f>
        <v>1.3399628698575228</v>
      </c>
    </row>
    <row r="891" spans="1:10" x14ac:dyDescent="0.2">
      <c r="A891" s="12">
        <v>43619</v>
      </c>
      <c r="B891" s="13">
        <v>18.654027335999999</v>
      </c>
      <c r="C891" s="13">
        <v>146.13000500000001</v>
      </c>
      <c r="D891" s="13">
        <v>147.21000699999999</v>
      </c>
      <c r="E891" s="13">
        <v>145.33000200000001</v>
      </c>
      <c r="F891" s="13">
        <v>146.36999499999999</v>
      </c>
      <c r="G891" s="13">
        <v>143.22380100000001</v>
      </c>
      <c r="H891" s="13">
        <v>143.22380100000001</v>
      </c>
      <c r="I891" s="14">
        <f t="shared" si="13"/>
        <v>3.4965130998081406E-3</v>
      </c>
      <c r="J891" s="14">
        <f>IF(COUNT(B891)=0,"",B891-(INTERCEPT('3. Cleaned Data'!$B$4:$B$1041,'3. Cleaned Data'!$H$4:$H$1041)+SLOPE('3. Cleaned Data'!$B$4:$B$1041,'3. Cleaned Data'!$H$4:$H$1041)*H891))</f>
        <v>0.85984583391871183</v>
      </c>
    </row>
    <row r="892" spans="1:10" x14ac:dyDescent="0.2">
      <c r="A892" s="12">
        <v>43620</v>
      </c>
      <c r="B892" s="13">
        <v>19.030701739200001</v>
      </c>
      <c r="C892" s="13">
        <v>147.91999799999999</v>
      </c>
      <c r="D892" s="13">
        <v>150.28999300000001</v>
      </c>
      <c r="E892" s="13">
        <v>146.41999799999999</v>
      </c>
      <c r="F892" s="13">
        <v>150.16000399999999</v>
      </c>
      <c r="G892" s="13">
        <v>146.93235799999999</v>
      </c>
      <c r="H892" s="13">
        <v>146.93235799999999</v>
      </c>
      <c r="I892" s="14">
        <f t="shared" si="13"/>
        <v>2.5893440713809834E-2</v>
      </c>
      <c r="J892" s="14">
        <f>IF(COUNT(B892)=0,"",B892-(INTERCEPT('3. Cleaned Data'!$B$4:$B$1041,'3. Cleaned Data'!$H$4:$H$1041)+SLOPE('3. Cleaned Data'!$B$4:$B$1041,'3. Cleaned Data'!$H$4:$H$1041)*H892))</f>
        <v>0.72921772173698329</v>
      </c>
    </row>
    <row r="893" spans="1:10" x14ac:dyDescent="0.2">
      <c r="A893" s="12">
        <v>43621</v>
      </c>
      <c r="B893" s="13">
        <v>19.411464153600001</v>
      </c>
      <c r="C893" s="13">
        <v>150.759995</v>
      </c>
      <c r="D893" s="13">
        <v>150.88999899999999</v>
      </c>
      <c r="E893" s="13">
        <v>148.61000100000001</v>
      </c>
      <c r="F893" s="13">
        <v>150.19000199999999</v>
      </c>
      <c r="G893" s="13">
        <v>146.96168499999999</v>
      </c>
      <c r="H893" s="13">
        <v>146.96168499999999</v>
      </c>
      <c r="I893" s="14">
        <f t="shared" si="13"/>
        <v>1.995952450446481E-4</v>
      </c>
      <c r="J893" s="14">
        <f>IF(COUNT(B893)=0,"",B893-(INTERCEPT('3. Cleaned Data'!$B$4:$B$1041,'3. Cleaned Data'!$H$4:$H$1041)+SLOPE('3. Cleaned Data'!$B$4:$B$1041,'3. Cleaned Data'!$H$4:$H$1041)*H893))</f>
        <v>1.1059684246091273</v>
      </c>
    </row>
    <row r="894" spans="1:10" x14ac:dyDescent="0.2">
      <c r="A894" s="12">
        <v>43622</v>
      </c>
      <c r="B894" s="13">
        <v>18.1725526008</v>
      </c>
      <c r="C894" s="13">
        <v>150.11999499999999</v>
      </c>
      <c r="D894" s="13">
        <v>150.520004</v>
      </c>
      <c r="E894" s="13">
        <v>148.30999800000001</v>
      </c>
      <c r="F894" s="13">
        <v>149.800003</v>
      </c>
      <c r="G894" s="13">
        <v>146.58009300000001</v>
      </c>
      <c r="H894" s="13">
        <v>146.58009300000001</v>
      </c>
      <c r="I894" s="14">
        <f t="shared" si="13"/>
        <v>-2.5965407242029004E-3</v>
      </c>
      <c r="J894" s="14">
        <f>IF(COUNT(B894)=0,"",B894-(INTERCEPT('3. Cleaned Data'!$B$4:$B$1041,'3. Cleaned Data'!$H$4:$H$1041)+SLOPE('3. Cleaned Data'!$B$4:$B$1041,'3. Cleaned Data'!$H$4:$H$1041)*H894))</f>
        <v>-8.0744232110930625E-2</v>
      </c>
    </row>
    <row r="895" spans="1:10" x14ac:dyDescent="0.2">
      <c r="A895" s="12">
        <v>43623</v>
      </c>
      <c r="B895" s="13">
        <v>18.477306001199999</v>
      </c>
      <c r="C895" s="13">
        <v>150.35000600000001</v>
      </c>
      <c r="D895" s="13">
        <v>151.509995</v>
      </c>
      <c r="E895" s="13">
        <v>150.020004</v>
      </c>
      <c r="F895" s="13">
        <v>150.86000100000001</v>
      </c>
      <c r="G895" s="13">
        <v>147.61729399999999</v>
      </c>
      <c r="H895" s="13">
        <v>147.61729399999999</v>
      </c>
      <c r="I895" s="14">
        <f t="shared" si="13"/>
        <v>7.0760017869546665E-3</v>
      </c>
      <c r="J895" s="14">
        <f>IF(COUNT(B895)=0,"",B895-(INTERCEPT('3. Cleaned Data'!$B$4:$B$1041,'3. Cleaned Data'!$H$4:$H$1041)+SLOPE('3. Cleaned Data'!$B$4:$B$1041,'3. Cleaned Data'!$H$4:$H$1041)*H895))</f>
        <v>8.2127925461616513E-2</v>
      </c>
    </row>
    <row r="896" spans="1:10" x14ac:dyDescent="0.2">
      <c r="A896" s="12">
        <v>43626</v>
      </c>
      <c r="B896" s="13">
        <v>19.055083320000001</v>
      </c>
      <c r="C896" s="13">
        <v>151.449997</v>
      </c>
      <c r="D896" s="13">
        <v>153.13999899999999</v>
      </c>
      <c r="E896" s="15">
        <v>151.449997</v>
      </c>
      <c r="F896" s="13">
        <v>151.75</v>
      </c>
      <c r="G896" s="13">
        <v>148.488159</v>
      </c>
      <c r="H896" s="13">
        <v>148.488159</v>
      </c>
      <c r="I896" s="14">
        <f t="shared" si="13"/>
        <v>5.899478146510484E-3</v>
      </c>
      <c r="J896" s="14">
        <f>IF(COUNT(B896)=0,"",B896-(INTERCEPT('3. Cleaned Data'!$B$4:$B$1041,'3. Cleaned Data'!$H$4:$H$1041)+SLOPE('3. Cleaned Data'!$B$4:$B$1041,'3. Cleaned Data'!$H$4:$H$1041)*H896))</f>
        <v>0.54077750669201663</v>
      </c>
    </row>
    <row r="897" spans="1:10" x14ac:dyDescent="0.2">
      <c r="A897" s="12">
        <v>43627</v>
      </c>
      <c r="B897" s="13">
        <v>19.123134029999999</v>
      </c>
      <c r="C897" s="13">
        <v>152.86999499999999</v>
      </c>
      <c r="D897" s="13">
        <v>153.229996</v>
      </c>
      <c r="E897" s="13">
        <v>150.58000200000001</v>
      </c>
      <c r="F897" s="13">
        <v>151.300003</v>
      </c>
      <c r="G897" s="13">
        <v>148.04783599999999</v>
      </c>
      <c r="H897" s="13">
        <v>148.04783599999999</v>
      </c>
      <c r="I897" s="14">
        <f t="shared" si="13"/>
        <v>-2.9653744983126895E-3</v>
      </c>
      <c r="J897" s="14">
        <f>IF(COUNT(B897)=0,"",B897-(INTERCEPT('3. Cleaned Data'!$B$4:$B$1041,'3. Cleaned Data'!$H$4:$H$1041)+SLOPE('3. Cleaned Data'!$B$4:$B$1041,'3. Cleaned Data'!$H$4:$H$1041)*H897))</f>
        <v>0.66906106884459859</v>
      </c>
    </row>
    <row r="898" spans="1:10" x14ac:dyDescent="0.2">
      <c r="A898" s="12">
        <v>43628</v>
      </c>
      <c r="B898" s="13">
        <v>19.579422862800001</v>
      </c>
      <c r="C898" s="13">
        <v>151.179993</v>
      </c>
      <c r="D898" s="13">
        <v>151.779999</v>
      </c>
      <c r="E898" s="13">
        <v>150.61999499999999</v>
      </c>
      <c r="F898" s="13">
        <v>151.470001</v>
      </c>
      <c r="G898" s="13">
        <v>148.21418800000001</v>
      </c>
      <c r="H898" s="13">
        <v>148.21418800000001</v>
      </c>
      <c r="I898" s="14">
        <f t="shared" si="13"/>
        <v>1.1236368223579429E-3</v>
      </c>
      <c r="J898" s="14">
        <f>IF(COUNT(B898)=0,"",B898-(INTERCEPT('3. Cleaned Data'!$B$4:$B$1041,'3. Cleaned Data'!$H$4:$H$1041)+SLOPE('3. Cleaned Data'!$B$4:$B$1041,'3. Cleaned Data'!$H$4:$H$1041)*H898))</f>
        <v>1.1025942077079058</v>
      </c>
    </row>
    <row r="899" spans="1:10" x14ac:dyDescent="0.2">
      <c r="A899" s="12">
        <v>43629</v>
      </c>
      <c r="B899" s="13">
        <v>18.866253868800001</v>
      </c>
      <c r="C899" s="13">
        <v>152.30999800000001</v>
      </c>
      <c r="D899" s="13">
        <v>153.179993</v>
      </c>
      <c r="E899" s="13">
        <v>151.86999499999999</v>
      </c>
      <c r="F899" s="13">
        <v>153.070007</v>
      </c>
      <c r="G899" s="13">
        <v>149.77981600000001</v>
      </c>
      <c r="H899" s="13">
        <v>149.77981600000001</v>
      </c>
      <c r="I899" s="14">
        <f t="shared" si="13"/>
        <v>1.0563280217140925E-2</v>
      </c>
      <c r="J899" s="14">
        <f>IF(COUNT(B899)=0,"",B899-(INTERCEPT('3. Cleaned Data'!$B$4:$B$1041,'3. Cleaned Data'!$H$4:$H$1041)+SLOPE('3. Cleaned Data'!$B$4:$B$1041,'3. Cleaned Data'!$H$4:$H$1041)*H899))</f>
        <v>0.17525915867570063</v>
      </c>
    </row>
    <row r="900" spans="1:10" x14ac:dyDescent="0.2">
      <c r="A900" s="12">
        <v>43630</v>
      </c>
      <c r="B900" s="13">
        <v>18.816291648</v>
      </c>
      <c r="C900" s="13">
        <v>152.88000500000001</v>
      </c>
      <c r="D900" s="13">
        <v>152.94000199999999</v>
      </c>
      <c r="E900" s="13">
        <v>151.720001</v>
      </c>
      <c r="F900" s="13">
        <v>151.729996</v>
      </c>
      <c r="G900" s="13">
        <v>148.46856700000001</v>
      </c>
      <c r="H900" s="13">
        <v>148.46856700000001</v>
      </c>
      <c r="I900" s="14">
        <f t="shared" si="13"/>
        <v>-8.7545106878753609E-3</v>
      </c>
      <c r="J900" s="14">
        <f>IF(COUNT(B900)=0,"",B900-(INTERCEPT('3. Cleaned Data'!$B$4:$B$1041,'3. Cleaned Data'!$H$4:$H$1041)+SLOPE('3. Cleaned Data'!$B$4:$B$1041,'3. Cleaned Data'!$H$4:$H$1041)*H900))</f>
        <v>0.30466587193597761</v>
      </c>
    </row>
    <row r="901" spans="1:10" x14ac:dyDescent="0.2">
      <c r="A901" s="12">
        <v>43633</v>
      </c>
      <c r="B901" s="13">
        <v>19.057441296</v>
      </c>
      <c r="C901" s="13">
        <v>151.86999499999999</v>
      </c>
      <c r="D901" s="13">
        <v>152.89999399999999</v>
      </c>
      <c r="E901" s="13">
        <v>151.66999799999999</v>
      </c>
      <c r="F901" s="13">
        <v>152.240005</v>
      </c>
      <c r="G901" s="13">
        <v>149.49276699999999</v>
      </c>
      <c r="H901" s="13">
        <v>149.49276699999999</v>
      </c>
      <c r="I901" s="14">
        <f t="shared" ref="I901:I964" si="14">H901/H900-1</f>
        <v>6.8984298878562722E-3</v>
      </c>
      <c r="J901" s="14">
        <f>IF(COUNT(B901)=0,"",B901-(INTERCEPT('3. Cleaned Data'!$B$4:$B$1041,'3. Cleaned Data'!$H$4:$H$1041)+SLOPE('3. Cleaned Data'!$B$4:$B$1041,'3. Cleaned Data'!$H$4:$H$1041)*H901))</f>
        <v>0.40571271546136245</v>
      </c>
    </row>
    <row r="902" spans="1:10" x14ac:dyDescent="0.2">
      <c r="A902" s="12">
        <v>43634</v>
      </c>
      <c r="B902" s="13">
        <v>19.368702592799998</v>
      </c>
      <c r="C902" s="13">
        <v>153.270004</v>
      </c>
      <c r="D902" s="13">
        <v>155.14999399999999</v>
      </c>
      <c r="E902" s="13">
        <v>152.259995</v>
      </c>
      <c r="F902" s="13">
        <v>154.009995</v>
      </c>
      <c r="G902" s="13">
        <v>151.23081999999999</v>
      </c>
      <c r="H902" s="13">
        <v>151.23081999999999</v>
      </c>
      <c r="I902" s="14">
        <f t="shared" si="14"/>
        <v>1.1626335072117522E-2</v>
      </c>
      <c r="J902" s="14">
        <f>IF(COUNT(B902)=0,"",B902-(INTERCEPT('3. Cleaned Data'!$B$4:$B$1041,'3. Cleaned Data'!$H$4:$H$1041)+SLOPE('3. Cleaned Data'!$B$4:$B$1041,'3. Cleaned Data'!$H$4:$H$1041)*H902))</f>
        <v>0.47922152287889475</v>
      </c>
    </row>
    <row r="903" spans="1:10" x14ac:dyDescent="0.2">
      <c r="A903" s="12">
        <v>43635</v>
      </c>
      <c r="B903" s="13">
        <v>18.646011349199998</v>
      </c>
      <c r="C903" s="13">
        <v>154.19000199999999</v>
      </c>
      <c r="D903" s="13">
        <v>154.699997</v>
      </c>
      <c r="E903" s="13">
        <v>153.39999399999999</v>
      </c>
      <c r="F903" s="13">
        <v>154.55999800000001</v>
      </c>
      <c r="G903" s="13">
        <v>151.770905</v>
      </c>
      <c r="H903" s="13">
        <v>151.770905</v>
      </c>
      <c r="I903" s="14">
        <f t="shared" si="14"/>
        <v>3.5712627888944137E-3</v>
      </c>
      <c r="J903" s="14">
        <f>IF(COUNT(B903)=0,"",B903-(INTERCEPT('3. Cleaned Data'!$B$4:$B$1041,'3. Cleaned Data'!$H$4:$H$1041)+SLOPE('3. Cleaned Data'!$B$4:$B$1041,'3. Cleaned Data'!$H$4:$H$1041)*H903))</f>
        <v>-0.31734925904826383</v>
      </c>
    </row>
    <row r="904" spans="1:10" x14ac:dyDescent="0.2">
      <c r="A904" s="12">
        <v>43636</v>
      </c>
      <c r="B904" s="13">
        <v>18.689738133599999</v>
      </c>
      <c r="C904" s="13">
        <v>156.050003</v>
      </c>
      <c r="D904" s="13">
        <v>156.220001</v>
      </c>
      <c r="E904" s="13">
        <v>154.44000199999999</v>
      </c>
      <c r="F904" s="13">
        <v>155.28999300000001</v>
      </c>
      <c r="G904" s="13">
        <v>152.487717</v>
      </c>
      <c r="H904" s="13">
        <v>152.487717</v>
      </c>
      <c r="I904" s="14">
        <f t="shared" si="14"/>
        <v>4.7229869255902557E-3</v>
      </c>
      <c r="J904" s="14">
        <f>IF(COUNT(B904)=0,"",B904-(INTERCEPT('3. Cleaned Data'!$B$4:$B$1041,'3. Cleaned Data'!$H$4:$H$1041)+SLOPE('3. Cleaned Data'!$B$4:$B$1041,'3. Cleaned Data'!$H$4:$H$1041)*H904))</f>
        <v>-0.37167692834974631</v>
      </c>
    </row>
    <row r="905" spans="1:10" x14ac:dyDescent="0.2">
      <c r="A905" s="12">
        <v>43637</v>
      </c>
      <c r="B905" s="13">
        <v>19.4976137544</v>
      </c>
      <c r="C905" s="13">
        <v>155.13000500000001</v>
      </c>
      <c r="D905" s="13">
        <v>155.16999799999999</v>
      </c>
      <c r="E905" s="13">
        <v>153.61000100000001</v>
      </c>
      <c r="F905" s="13">
        <v>153.949997</v>
      </c>
      <c r="G905" s="13">
        <v>151.17190600000001</v>
      </c>
      <c r="H905" s="13">
        <v>151.17190600000001</v>
      </c>
      <c r="I905" s="14">
        <f t="shared" si="14"/>
        <v>-8.628963865987993E-3</v>
      </c>
      <c r="J905" s="14">
        <f>IF(COUNT(B905)=0,"",B905-(INTERCEPT('3. Cleaned Data'!$B$4:$B$1041,'3. Cleaned Data'!$H$4:$H$1041)+SLOPE('3. Cleaned Data'!$B$4:$B$1041,'3. Cleaned Data'!$H$4:$H$1041)*H905))</f>
        <v>0.61619167356580817</v>
      </c>
    </row>
    <row r="906" spans="1:10" x14ac:dyDescent="0.2">
      <c r="A906" s="12">
        <v>43640</v>
      </c>
      <c r="B906" s="13">
        <v>18.282029999999999</v>
      </c>
      <c r="C906" s="13">
        <v>154.36000100000001</v>
      </c>
      <c r="D906" s="13">
        <v>154.41000399999999</v>
      </c>
      <c r="E906" s="13">
        <v>152</v>
      </c>
      <c r="F906" s="13">
        <v>152.08000200000001</v>
      </c>
      <c r="G906" s="13">
        <v>149.33564799999999</v>
      </c>
      <c r="H906" s="13">
        <v>149.33564799999999</v>
      </c>
      <c r="I906" s="14">
        <f t="shared" si="14"/>
        <v>-1.2146820454853713E-2</v>
      </c>
      <c r="J906" s="14">
        <f>IF(COUNT(B906)=0,"",B906-(INTERCEPT('3. Cleaned Data'!$B$4:$B$1041,'3. Cleaned Data'!$H$4:$H$1041)+SLOPE('3. Cleaned Data'!$B$4:$B$1041,'3. Cleaned Data'!$H$4:$H$1041)*H906))</f>
        <v>-0.34820589108711886</v>
      </c>
    </row>
    <row r="907" spans="1:10" x14ac:dyDescent="0.2">
      <c r="A907" s="12">
        <v>43641</v>
      </c>
      <c r="B907" s="13">
        <v>20.0699822148</v>
      </c>
      <c r="C907" s="13">
        <v>152.30999800000001</v>
      </c>
      <c r="D907" s="13">
        <v>152.5</v>
      </c>
      <c r="E907" s="13">
        <v>151</v>
      </c>
      <c r="F907" s="13">
        <v>151.14999399999999</v>
      </c>
      <c r="G907" s="13">
        <v>148.42243999999999</v>
      </c>
      <c r="H907" s="13">
        <v>148.42243999999999</v>
      </c>
      <c r="I907" s="14">
        <f t="shared" si="14"/>
        <v>-6.1151373582281066E-3</v>
      </c>
      <c r="J907" s="14">
        <f>IF(COUNT(B907)=0,"",B907-(INTERCEPT('3. Cleaned Data'!$B$4:$B$1041,'3. Cleaned Data'!$H$4:$H$1041)+SLOPE('3. Cleaned Data'!$B$4:$B$1041,'3. Cleaned Data'!$H$4:$H$1041)*H907))</f>
        <v>1.5646662630495882</v>
      </c>
    </row>
    <row r="908" spans="1:10" x14ac:dyDescent="0.2">
      <c r="A908" s="12">
        <v>43642</v>
      </c>
      <c r="B908" s="13">
        <v>20.308549272</v>
      </c>
      <c r="C908" s="13">
        <v>151.699997</v>
      </c>
      <c r="D908" s="13">
        <v>152.220001</v>
      </c>
      <c r="E908" s="13">
        <v>150.759995</v>
      </c>
      <c r="F908" s="13">
        <v>150.800003</v>
      </c>
      <c r="G908" s="13">
        <v>148.078766</v>
      </c>
      <c r="H908" s="13">
        <v>148.078766</v>
      </c>
      <c r="I908" s="14">
        <f t="shared" si="14"/>
        <v>-2.3155123982600001E-3</v>
      </c>
      <c r="J908" s="14">
        <f>IF(COUNT(B908)=0,"",B908-(INTERCEPT('3. Cleaned Data'!$B$4:$B$1041,'3. Cleaned Data'!$H$4:$H$1041)+SLOPE('3. Cleaned Data'!$B$4:$B$1041,'3. Cleaned Data'!$H$4:$H$1041)*H908))</f>
        <v>1.8502453210551053</v>
      </c>
    </row>
    <row r="909" spans="1:10" x14ac:dyDescent="0.2">
      <c r="A909" s="12">
        <v>43643</v>
      </c>
      <c r="B909" s="13">
        <v>19.201082291999999</v>
      </c>
      <c r="C909" s="13">
        <v>151.240005</v>
      </c>
      <c r="D909" s="13">
        <v>153.770004</v>
      </c>
      <c r="E909" s="13">
        <v>151.240005</v>
      </c>
      <c r="F909" s="13">
        <v>153.63000500000001</v>
      </c>
      <c r="G909" s="13">
        <v>150.857697</v>
      </c>
      <c r="H909" s="13">
        <v>150.857697</v>
      </c>
      <c r="I909" s="14">
        <f t="shared" si="14"/>
        <v>1.8766573189838764E-2</v>
      </c>
      <c r="J909" s="14">
        <f>IF(COUNT(B909)=0,"",B909-(INTERCEPT('3. Cleaned Data'!$B$4:$B$1041,'3. Cleaned Data'!$H$4:$H$1041)+SLOPE('3. Cleaned Data'!$B$4:$B$1041,'3. Cleaned Data'!$H$4:$H$1041)*H909))</f>
        <v>0.36264162308844661</v>
      </c>
    </row>
    <row r="910" spans="1:10" x14ac:dyDescent="0.2">
      <c r="A910" s="12">
        <v>43644</v>
      </c>
      <c r="B910" s="13">
        <v>18.494602960800002</v>
      </c>
      <c r="C910" s="13">
        <v>153.949997</v>
      </c>
      <c r="D910" s="13">
        <v>156.020004</v>
      </c>
      <c r="E910" s="13">
        <v>153.94000199999999</v>
      </c>
      <c r="F910" s="13">
        <v>155.5</v>
      </c>
      <c r="G910" s="13">
        <v>152.693939</v>
      </c>
      <c r="H910" s="13">
        <v>152.693939</v>
      </c>
      <c r="I910" s="14">
        <f t="shared" si="14"/>
        <v>1.2172014000717546E-2</v>
      </c>
      <c r="J910" s="14">
        <f>IF(COUNT(B910)=0,"",B910-(INTERCEPT('3. Cleaned Data'!$B$4:$B$1041,'3. Cleaned Data'!$H$4:$H$1041)+SLOPE('3. Cleaned Data'!$B$4:$B$1041,'3. Cleaned Data'!$H$4:$H$1041)*H910))</f>
        <v>-0.59502170917977892</v>
      </c>
    </row>
    <row r="911" spans="1:10" x14ac:dyDescent="0.2">
      <c r="A911" s="12">
        <v>43647</v>
      </c>
      <c r="B911" s="13">
        <v>19.077036576000001</v>
      </c>
      <c r="C911" s="13">
        <v>157.53999300000001</v>
      </c>
      <c r="D911" s="13">
        <v>158.029999</v>
      </c>
      <c r="E911" s="13">
        <v>155.220001</v>
      </c>
      <c r="F911" s="13">
        <v>156.10000600000001</v>
      </c>
      <c r="G911" s="13">
        <v>153.28312700000001</v>
      </c>
      <c r="H911" s="13">
        <v>153.28312700000001</v>
      </c>
      <c r="I911" s="14">
        <f t="shared" si="14"/>
        <v>3.8586207406701156E-3</v>
      </c>
      <c r="J911" s="14">
        <f>IF(COUNT(B911)=0,"",B911-(INTERCEPT('3. Cleaned Data'!$B$4:$B$1041,'3. Cleaned Data'!$H$4:$H$1041)+SLOPE('3. Cleaned Data'!$B$4:$B$1041,'3. Cleaned Data'!$H$4:$H$1041)*H911))</f>
        <v>-9.3184550885453632E-2</v>
      </c>
    </row>
    <row r="912" spans="1:10" x14ac:dyDescent="0.2">
      <c r="A912" s="12">
        <v>43648</v>
      </c>
      <c r="B912" s="13">
        <v>18.983901331199998</v>
      </c>
      <c r="C912" s="13">
        <v>156.020004</v>
      </c>
      <c r="D912" s="13">
        <v>156.11999499999999</v>
      </c>
      <c r="E912" s="13">
        <v>154.259995</v>
      </c>
      <c r="F912" s="13">
        <v>155.14999399999999</v>
      </c>
      <c r="G912" s="13">
        <v>152.35024999999999</v>
      </c>
      <c r="H912" s="13">
        <v>152.35024999999999</v>
      </c>
      <c r="I912" s="14">
        <f t="shared" si="14"/>
        <v>-6.0859731808577955E-3</v>
      </c>
      <c r="J912" s="14">
        <f>IF(COUNT(B912)=0,"",B912-(INTERCEPT('3. Cleaned Data'!$B$4:$B$1041,'3. Cleaned Data'!$H$4:$H$1041)+SLOPE('3. Cleaned Data'!$B$4:$B$1041,'3. Cleaned Data'!$H$4:$H$1041)*H912))</f>
        <v>-5.8709286087850643E-2</v>
      </c>
    </row>
    <row r="913" spans="1:10" x14ac:dyDescent="0.2">
      <c r="A913" s="12">
        <v>43649</v>
      </c>
      <c r="B913" s="13">
        <v>18.9470071368</v>
      </c>
      <c r="C913" s="13">
        <v>155.60000600000001</v>
      </c>
      <c r="D913" s="13">
        <v>156.33999600000001</v>
      </c>
      <c r="E913" s="13">
        <v>155.16999799999999</v>
      </c>
      <c r="F913" s="13">
        <v>156.259995</v>
      </c>
      <c r="G913" s="13">
        <v>153.44023100000001</v>
      </c>
      <c r="H913" s="13">
        <v>153.44023100000001</v>
      </c>
      <c r="I913" s="14">
        <f t="shared" si="14"/>
        <v>7.1544418207387661E-3</v>
      </c>
      <c r="J913" s="14">
        <f>IF(COUNT(B913)=0,"",B913-(INTERCEPT('3. Cleaned Data'!$B$4:$B$1041,'3. Cleaned Data'!$H$4:$H$1041)+SLOPE('3. Cleaned Data'!$B$4:$B$1041,'3. Cleaned Data'!$H$4:$H$1041)*H913))</f>
        <v>-0.24470462765055956</v>
      </c>
    </row>
    <row r="914" spans="1:10" x14ac:dyDescent="0.2">
      <c r="A914" s="12">
        <v>43651</v>
      </c>
      <c r="B914" s="13">
        <v>19.396437602399999</v>
      </c>
      <c r="C914" s="13">
        <v>155.490005</v>
      </c>
      <c r="D914" s="13">
        <v>156.740005</v>
      </c>
      <c r="E914" s="13">
        <v>154.86000100000001</v>
      </c>
      <c r="F914" s="13">
        <v>156.679993</v>
      </c>
      <c r="G914" s="13">
        <v>153.85264599999999</v>
      </c>
      <c r="H914" s="13">
        <v>153.85264599999999</v>
      </c>
      <c r="I914" s="14">
        <f t="shared" si="14"/>
        <v>2.6877892278458493E-3</v>
      </c>
      <c r="J914" s="14">
        <f>IF(COUNT(B914)=0,"",B914-(INTERCEPT('3. Cleaned Data'!$B$4:$B$1041,'3. Cleaned Data'!$H$4:$H$1041)+SLOPE('3. Cleaned Data'!$B$4:$B$1041,'3. Cleaned Data'!$H$4:$H$1041)*H914))</f>
        <v>0.14831058886976933</v>
      </c>
    </row>
    <row r="915" spans="1:10" x14ac:dyDescent="0.2">
      <c r="A915" s="12">
        <v>43654</v>
      </c>
      <c r="B915" s="13">
        <v>19.938974635200001</v>
      </c>
      <c r="C915" s="13">
        <v>156.21000699999999</v>
      </c>
      <c r="D915" s="13">
        <v>156.479996</v>
      </c>
      <c r="E915" s="13">
        <v>154.88999899999999</v>
      </c>
      <c r="F915" s="13">
        <v>155.19000199999999</v>
      </c>
      <c r="G915" s="13">
        <v>152.38954200000001</v>
      </c>
      <c r="H915" s="13">
        <v>152.38954200000001</v>
      </c>
      <c r="I915" s="14">
        <f t="shared" si="14"/>
        <v>-9.5097746970175256E-3</v>
      </c>
      <c r="J915" s="14">
        <f>IF(COUNT(B915)=0,"",B915-(INTERCEPT('3. Cleaned Data'!$B$4:$B$1041,'3. Cleaned Data'!$H$4:$H$1041)+SLOPE('3. Cleaned Data'!$B$4:$B$1041,'3. Cleaned Data'!$H$4:$H$1041)*H915))</f>
        <v>0.89098916984202958</v>
      </c>
    </row>
    <row r="916" spans="1:10" x14ac:dyDescent="0.2">
      <c r="A916" s="12">
        <v>43655</v>
      </c>
      <c r="B916" s="13">
        <v>18.7066947468</v>
      </c>
      <c r="C916" s="13">
        <v>154.53999300000001</v>
      </c>
      <c r="D916" s="13">
        <v>155.429993</v>
      </c>
      <c r="E916" s="13">
        <v>154.479996</v>
      </c>
      <c r="F916" s="13">
        <v>155.39999399999999</v>
      </c>
      <c r="G916" s="13">
        <v>152.59573399999999</v>
      </c>
      <c r="H916" s="13">
        <v>152.59573399999999</v>
      </c>
      <c r="I916" s="14">
        <f t="shared" si="14"/>
        <v>1.353058728924994E-3</v>
      </c>
      <c r="J916" s="14">
        <f>IF(COUNT(B916)=0,"",B916-(INTERCEPT('3. Cleaned Data'!$B$4:$B$1041,'3. Cleaned Data'!$H$4:$H$1041)+SLOPE('3. Cleaned Data'!$B$4:$B$1041,'3. Cleaned Data'!$H$4:$H$1041)*H916))</f>
        <v>-0.36949622281517236</v>
      </c>
    </row>
    <row r="917" spans="1:10" x14ac:dyDescent="0.2">
      <c r="A917" s="12">
        <v>43656</v>
      </c>
      <c r="B917" s="13">
        <v>19.141694837999999</v>
      </c>
      <c r="C917" s="13">
        <v>156.199997</v>
      </c>
      <c r="D917" s="13">
        <v>156.55999800000001</v>
      </c>
      <c r="E917" s="13">
        <v>154.85000600000001</v>
      </c>
      <c r="F917" s="13">
        <v>155.66999799999999</v>
      </c>
      <c r="G917" s="13">
        <v>152.86087000000001</v>
      </c>
      <c r="H917" s="13">
        <v>152.86087000000001</v>
      </c>
      <c r="I917" s="14">
        <f t="shared" si="14"/>
        <v>1.7375059777229307E-3</v>
      </c>
      <c r="J917" s="14">
        <f>IF(COUNT(B917)=0,"",B917-(INTERCEPT('3. Cleaned Data'!$B$4:$B$1041,'3. Cleaned Data'!$H$4:$H$1041)+SLOPE('3. Cleaned Data'!$B$4:$B$1041,'3. Cleaned Data'!$H$4:$H$1041)*H917))</f>
        <v>2.9235271267872065E-2</v>
      </c>
    </row>
    <row r="918" spans="1:10" x14ac:dyDescent="0.2">
      <c r="A918" s="12">
        <v>43657</v>
      </c>
      <c r="B918" s="13">
        <v>19.756589992799999</v>
      </c>
      <c r="C918" s="13">
        <v>155.88999899999999</v>
      </c>
      <c r="D918" s="13">
        <v>155.94000199999999</v>
      </c>
      <c r="E918" s="13">
        <v>154.220001</v>
      </c>
      <c r="F918" s="13">
        <v>154.91000399999999</v>
      </c>
      <c r="G918" s="13">
        <v>152.11459400000001</v>
      </c>
      <c r="H918" s="13">
        <v>152.11459400000001</v>
      </c>
      <c r="I918" s="14">
        <f t="shared" si="14"/>
        <v>-4.882060399106658E-3</v>
      </c>
      <c r="J918" s="14">
        <f>IF(COUNT(B918)=0,"",B918-(INTERCEPT('3. Cleaned Data'!$B$4:$B$1041,'3. Cleaned Data'!$H$4:$H$1041)+SLOPE('3. Cleaned Data'!$B$4:$B$1041,'3. Cleaned Data'!$H$4:$H$1041)*H918))</f>
        <v>0.74621533185980482</v>
      </c>
    </row>
    <row r="919" spans="1:10" x14ac:dyDescent="0.2">
      <c r="A919" s="12">
        <v>43658</v>
      </c>
      <c r="B919" s="13">
        <v>18.470988525599999</v>
      </c>
      <c r="C919" s="13">
        <v>155.13999899999999</v>
      </c>
      <c r="D919" s="13">
        <v>156.66999799999999</v>
      </c>
      <c r="E919" s="13">
        <v>154.88000500000001</v>
      </c>
      <c r="F919" s="13">
        <v>156.11000100000001</v>
      </c>
      <c r="G919" s="13">
        <v>153.29293799999999</v>
      </c>
      <c r="H919" s="13">
        <v>153.29293799999999</v>
      </c>
      <c r="I919" s="14">
        <f t="shared" si="14"/>
        <v>7.7464230683874646E-3</v>
      </c>
      <c r="J919" s="14">
        <f>IF(COUNT(B919)=0,"",B919-(INTERCEPT('3. Cleaned Data'!$B$4:$B$1041,'3. Cleaned Data'!$H$4:$H$1041)+SLOPE('3. Cleaned Data'!$B$4:$B$1041,'3. Cleaned Data'!$H$4:$H$1041)*H919))</f>
        <v>-0.70057467179385213</v>
      </c>
    </row>
    <row r="920" spans="1:10" x14ac:dyDescent="0.2">
      <c r="A920" s="12">
        <v>43661</v>
      </c>
      <c r="B920" s="13">
        <v>18.22900632</v>
      </c>
      <c r="C920" s="13">
        <v>156.55999800000001</v>
      </c>
      <c r="D920" s="13">
        <v>156.58999600000001</v>
      </c>
      <c r="E920" s="13">
        <v>154.85000600000001</v>
      </c>
      <c r="F920" s="13">
        <v>155.28999300000001</v>
      </c>
      <c r="G920" s="13">
        <v>152.487717</v>
      </c>
      <c r="H920" s="13">
        <v>152.487717</v>
      </c>
      <c r="I920" s="14">
        <f t="shared" si="14"/>
        <v>-5.2528251497142575E-3</v>
      </c>
      <c r="J920" s="14">
        <f>IF(COUNT(B920)=0,"",B920-(INTERCEPT('3. Cleaned Data'!$B$4:$B$1041,'3. Cleaned Data'!$H$4:$H$1041)+SLOPE('3. Cleaned Data'!$B$4:$B$1041,'3. Cleaned Data'!$H$4:$H$1041)*H920))</f>
        <v>-0.83240874194974523</v>
      </c>
    </row>
    <row r="921" spans="1:10" x14ac:dyDescent="0.2">
      <c r="A921" s="12">
        <v>43662</v>
      </c>
      <c r="B921" s="13">
        <v>18.901274831999999</v>
      </c>
      <c r="C921" s="13">
        <v>155.13000500000001</v>
      </c>
      <c r="D921" s="13">
        <v>156.199997</v>
      </c>
      <c r="E921" s="13">
        <v>154.66999799999999</v>
      </c>
      <c r="F921" s="13">
        <v>155.240005</v>
      </c>
      <c r="G921" s="13">
        <v>152.43864400000001</v>
      </c>
      <c r="H921" s="13">
        <v>152.43864400000001</v>
      </c>
      <c r="I921" s="14">
        <f t="shared" si="14"/>
        <v>-3.2181608437353848E-4</v>
      </c>
      <c r="J921" s="14">
        <f>IF(COUNT(B921)=0,"",B921-(INTERCEPT('3. Cleaned Data'!$B$4:$B$1041,'3. Cleaned Data'!$H$4:$H$1041)+SLOPE('3. Cleaned Data'!$B$4:$B$1041,'3. Cleaned Data'!$H$4:$H$1041)*H921))</f>
        <v>-0.153427415144062</v>
      </c>
    </row>
    <row r="922" spans="1:10" x14ac:dyDescent="0.2">
      <c r="A922" s="12">
        <v>43663</v>
      </c>
      <c r="B922" s="13">
        <v>19.954386668400002</v>
      </c>
      <c r="C922" s="13">
        <v>155.240005</v>
      </c>
      <c r="D922" s="13">
        <v>155.33999600000001</v>
      </c>
      <c r="E922" s="13">
        <v>153.729996</v>
      </c>
      <c r="F922" s="13">
        <v>154.13000500000001</v>
      </c>
      <c r="G922" s="13">
        <v>151.34866299999999</v>
      </c>
      <c r="H922" s="13">
        <v>151.34866299999999</v>
      </c>
      <c r="I922" s="14">
        <f t="shared" si="14"/>
        <v>-7.1502932025557797E-3</v>
      </c>
      <c r="J922" s="14">
        <f>IF(COUNT(B922)=0,"",B922-(INTERCEPT('3. Cleaned Data'!$B$4:$B$1041,'3. Cleaned Data'!$H$4:$H$1041)+SLOPE('3. Cleaned Data'!$B$4:$B$1041,'3. Cleaned Data'!$H$4:$H$1041)*H922))</f>
        <v>1.0487855684186549</v>
      </c>
    </row>
    <row r="923" spans="1:10" x14ac:dyDescent="0.2">
      <c r="A923" s="12">
        <v>43664</v>
      </c>
      <c r="B923" s="13">
        <v>18.523591920000001</v>
      </c>
      <c r="C923" s="13">
        <v>154.08000200000001</v>
      </c>
      <c r="D923" s="13">
        <v>155.009995</v>
      </c>
      <c r="E923" s="13">
        <v>153.729996</v>
      </c>
      <c r="F923" s="13">
        <v>154.71000699999999</v>
      </c>
      <c r="G923" s="13">
        <v>151.91821300000001</v>
      </c>
      <c r="H923" s="13">
        <v>151.91821300000001</v>
      </c>
      <c r="I923" s="14">
        <f t="shared" si="14"/>
        <v>3.7631650568332731E-3</v>
      </c>
      <c r="J923" s="14">
        <f>IF(COUNT(B923)=0,"",B923-(INTERCEPT('3. Cleaned Data'!$B$4:$B$1041,'3. Cleaned Data'!$H$4:$H$1041)+SLOPE('3. Cleaned Data'!$B$4:$B$1041,'3. Cleaned Data'!$H$4:$H$1041)*H923))</f>
        <v>-0.45991930719138452</v>
      </c>
    </row>
    <row r="924" spans="1:10" x14ac:dyDescent="0.2">
      <c r="A924" s="12">
        <v>43665</v>
      </c>
      <c r="B924" s="13">
        <v>18.5838625188</v>
      </c>
      <c r="C924" s="13">
        <v>154.94000199999999</v>
      </c>
      <c r="D924" s="13">
        <v>155.429993</v>
      </c>
      <c r="E924" s="13">
        <v>153.820007</v>
      </c>
      <c r="F924" s="13">
        <v>153.820007</v>
      </c>
      <c r="G924" s="13">
        <v>151.04426599999999</v>
      </c>
      <c r="H924" s="13">
        <v>151.04426599999999</v>
      </c>
      <c r="I924" s="14">
        <f t="shared" si="14"/>
        <v>-5.7527467098366092E-3</v>
      </c>
      <c r="J924" s="14">
        <f>IF(COUNT(B924)=0,"",B924-(INTERCEPT('3. Cleaned Data'!$B$4:$B$1041,'3. Cleaned Data'!$H$4:$H$1041)+SLOPE('3. Cleaned Data'!$B$4:$B$1041,'3. Cleaned Data'!$H$4:$H$1041)*H924))</f>
        <v>-0.28009937655953721</v>
      </c>
    </row>
    <row r="925" spans="1:10" x14ac:dyDescent="0.2">
      <c r="A925" s="12">
        <v>43668</v>
      </c>
      <c r="B925" s="13">
        <v>18.599005680000001</v>
      </c>
      <c r="C925" s="13">
        <v>154.240005</v>
      </c>
      <c r="D925" s="13">
        <v>154.699997</v>
      </c>
      <c r="E925" s="13">
        <v>153.39999399999999</v>
      </c>
      <c r="F925" s="13">
        <v>153.679993</v>
      </c>
      <c r="G925" s="13">
        <v>150.906769</v>
      </c>
      <c r="H925" s="13">
        <v>150.906769</v>
      </c>
      <c r="I925" s="14">
        <f t="shared" si="14"/>
        <v>-9.1030929965918439E-4</v>
      </c>
      <c r="J925" s="14">
        <f>IF(COUNT(B925)=0,"",B925-(INTERCEPT('3. Cleaned Data'!$B$4:$B$1041,'3. Cleaned Data'!$H$4:$H$1041)+SLOPE('3. Cleaned Data'!$B$4:$B$1041,'3. Cleaned Data'!$H$4:$H$1041)*H925))</f>
        <v>-0.24614766692480927</v>
      </c>
    </row>
    <row r="926" spans="1:10" x14ac:dyDescent="0.2">
      <c r="A926" s="12">
        <v>43669</v>
      </c>
      <c r="B926" s="13">
        <v>19.001621527200001</v>
      </c>
      <c r="C926" s="13">
        <v>154.279999</v>
      </c>
      <c r="D926" s="13">
        <v>154.720001</v>
      </c>
      <c r="E926" s="13">
        <v>153.53999300000001</v>
      </c>
      <c r="F926" s="13">
        <v>154.699997</v>
      </c>
      <c r="G926" s="13">
        <v>151.90838600000001</v>
      </c>
      <c r="H926" s="13">
        <v>151.90838600000001</v>
      </c>
      <c r="I926" s="14">
        <f t="shared" si="14"/>
        <v>6.637323207151935E-3</v>
      </c>
      <c r="J926" s="14">
        <f>IF(COUNT(B926)=0,"",B926-(INTERCEPT('3. Cleaned Data'!$B$4:$B$1041,'3. Cleaned Data'!$H$4:$H$1041)+SLOPE('3. Cleaned Data'!$B$4:$B$1041,'3. Cleaned Data'!$H$4:$H$1041)*H926))</f>
        <v>1.9454559195857257E-2</v>
      </c>
    </row>
    <row r="927" spans="1:10" x14ac:dyDescent="0.2">
      <c r="A927" s="12">
        <v>43670</v>
      </c>
      <c r="B927" s="13">
        <v>19.998759396000001</v>
      </c>
      <c r="C927" s="13">
        <v>154.28999300000001</v>
      </c>
      <c r="D927" s="13">
        <v>157.449997</v>
      </c>
      <c r="E927" s="13">
        <v>154.11999499999999</v>
      </c>
      <c r="F927" s="13">
        <v>157.259995</v>
      </c>
      <c r="G927" s="13">
        <v>154.42218</v>
      </c>
      <c r="H927" s="13">
        <v>154.42218</v>
      </c>
      <c r="I927" s="14">
        <f t="shared" si="14"/>
        <v>1.6548092348239285E-2</v>
      </c>
      <c r="J927" s="14">
        <f>IF(COUNT(B927)=0,"",B927-(INTERCEPT('3. Cleaned Data'!$B$4:$B$1041,'3. Cleaned Data'!$H$4:$H$1041)+SLOPE('3. Cleaned Data'!$B$4:$B$1041,'3. Cleaned Data'!$H$4:$H$1041)*H927))</f>
        <v>0.67272444393858066</v>
      </c>
    </row>
    <row r="928" spans="1:10" x14ac:dyDescent="0.2">
      <c r="A928" s="12">
        <v>43671</v>
      </c>
      <c r="B928" s="13">
        <v>18.158987556</v>
      </c>
      <c r="C928" s="13">
        <v>157.179993</v>
      </c>
      <c r="D928" s="13">
        <v>157.240005</v>
      </c>
      <c r="E928" s="13">
        <v>155.08999600000001</v>
      </c>
      <c r="F928" s="13">
        <v>155.36000100000001</v>
      </c>
      <c r="G928" s="13">
        <v>152.55647300000001</v>
      </c>
      <c r="H928" s="13">
        <v>152.55647300000001</v>
      </c>
      <c r="I928" s="14">
        <f t="shared" si="14"/>
        <v>-1.20818589661148E-2</v>
      </c>
      <c r="J928" s="14">
        <f>IF(COUNT(B928)=0,"",B928-(INTERCEPT('3. Cleaned Data'!$B$4:$B$1041,'3. Cleaned Data'!$H$4:$H$1041)+SLOPE('3. Cleaned Data'!$B$4:$B$1041,'3. Cleaned Data'!$H$4:$H$1041)*H928))</f>
        <v>-0.91183280611031492</v>
      </c>
    </row>
    <row r="929" spans="1:10" x14ac:dyDescent="0.2">
      <c r="A929" s="12">
        <v>43672</v>
      </c>
      <c r="B929" s="13">
        <v>19.009070478000002</v>
      </c>
      <c r="C929" s="13">
        <v>155.58000200000001</v>
      </c>
      <c r="D929" s="13">
        <v>157.41999799999999</v>
      </c>
      <c r="E929" s="13">
        <v>155.5</v>
      </c>
      <c r="F929" s="13">
        <v>157.199997</v>
      </c>
      <c r="G929" s="13">
        <v>154.36326600000001</v>
      </c>
      <c r="H929" s="13">
        <v>154.36326600000001</v>
      </c>
      <c r="I929" s="14">
        <f t="shared" si="14"/>
        <v>1.1843437151303204E-2</v>
      </c>
      <c r="J929" s="14">
        <f>IF(COUNT(B929)=0,"",B929-(INTERCEPT('3. Cleaned Data'!$B$4:$B$1041,'3. Cleaned Data'!$H$4:$H$1041)+SLOPE('3. Cleaned Data'!$B$4:$B$1041,'3. Cleaned Data'!$H$4:$H$1041)*H929))</f>
        <v>-0.30890548497450609</v>
      </c>
    </row>
    <row r="930" spans="1:10" x14ac:dyDescent="0.2">
      <c r="A930" s="12">
        <v>43675</v>
      </c>
      <c r="B930" s="13">
        <v>18.831753771599999</v>
      </c>
      <c r="C930" s="13">
        <v>157.19000199999999</v>
      </c>
      <c r="D930" s="13">
        <v>157.36000100000001</v>
      </c>
      <c r="E930" s="13">
        <v>155.60000600000001</v>
      </c>
      <c r="F930" s="13">
        <v>156.14999399999999</v>
      </c>
      <c r="G930" s="13">
        <v>153.332199</v>
      </c>
      <c r="H930" s="13">
        <v>153.332199</v>
      </c>
      <c r="I930" s="14">
        <f t="shared" si="14"/>
        <v>-6.6794842239215058E-3</v>
      </c>
      <c r="J930" s="14">
        <f>IF(COUNT(B930)=0,"",B930-(INTERCEPT('3. Cleaned Data'!$B$4:$B$1041,'3. Cleaned Data'!$H$4:$H$1041)+SLOPE('3. Cleaned Data'!$B$4:$B$1041,'3. Cleaned Data'!$H$4:$H$1041)*H930))</f>
        <v>-0.34518003329871405</v>
      </c>
    </row>
    <row r="931" spans="1:10" x14ac:dyDescent="0.2">
      <c r="A931" s="12">
        <v>43676</v>
      </c>
      <c r="B931" s="13">
        <v>19.354564415999999</v>
      </c>
      <c r="C931" s="13">
        <v>155.05999800000001</v>
      </c>
      <c r="D931" s="13">
        <v>157.83999600000001</v>
      </c>
      <c r="E931" s="13">
        <v>154.71000699999999</v>
      </c>
      <c r="F931" s="13">
        <v>157.83999600000001</v>
      </c>
      <c r="G931" s="13">
        <v>154.991714</v>
      </c>
      <c r="H931" s="13">
        <v>154.991714</v>
      </c>
      <c r="I931" s="14">
        <f t="shared" si="14"/>
        <v>1.0823003979744561E-2</v>
      </c>
      <c r="J931" s="14">
        <f>IF(COUNT(B931)=0,"",B931-(INTERCEPT('3. Cleaned Data'!$B$4:$B$1041,'3. Cleaned Data'!$H$4:$H$1041)+SLOPE('3. Cleaned Data'!$B$4:$B$1041,'3. Cleaned Data'!$H$4:$H$1041)*H931))</f>
        <v>-4.9378474592614907E-2</v>
      </c>
    </row>
    <row r="932" spans="1:10" x14ac:dyDescent="0.2">
      <c r="A932" s="12">
        <v>43677</v>
      </c>
      <c r="B932" s="13">
        <v>18.873206604</v>
      </c>
      <c r="C932" s="13">
        <v>157.779999</v>
      </c>
      <c r="D932" s="13">
        <v>159.229996</v>
      </c>
      <c r="E932" s="13">
        <v>155.550003</v>
      </c>
      <c r="F932" s="13">
        <v>156.55999800000001</v>
      </c>
      <c r="G932" s="13">
        <v>153.734802</v>
      </c>
      <c r="H932" s="13">
        <v>153.734802</v>
      </c>
      <c r="I932" s="14">
        <f t="shared" si="14"/>
        <v>-8.1095431979028021E-3</v>
      </c>
      <c r="J932" s="14">
        <f>IF(COUNT(B932)=0,"",B932-(INTERCEPT('3. Cleaned Data'!$B$4:$B$1041,'3. Cleaned Data'!$H$4:$H$1041)+SLOPE('3. Cleaned Data'!$B$4:$B$1041,'3. Cleaned Data'!$H$4:$H$1041)*H932))</f>
        <v>-0.35880024267755672</v>
      </c>
    </row>
    <row r="933" spans="1:10" x14ac:dyDescent="0.2">
      <c r="A933" s="12">
        <v>43678</v>
      </c>
      <c r="B933" s="13">
        <v>19.168102180799998</v>
      </c>
      <c r="C933" s="13">
        <v>156.88000500000001</v>
      </c>
      <c r="D933" s="13">
        <v>158.16999799999999</v>
      </c>
      <c r="E933" s="13">
        <v>153.58999600000001</v>
      </c>
      <c r="F933" s="13">
        <v>154.28999300000001</v>
      </c>
      <c r="G933" s="13">
        <v>151.505753</v>
      </c>
      <c r="H933" s="13">
        <v>151.505753</v>
      </c>
      <c r="I933" s="14">
        <f t="shared" si="14"/>
        <v>-1.4499312914196261E-2</v>
      </c>
      <c r="J933" s="14">
        <f>IF(COUNT(B933)=0,"",B933-(INTERCEPT('3. Cleaned Data'!$B$4:$B$1041,'3. Cleaned Data'!$H$4:$H$1041)+SLOPE('3. Cleaned Data'!$B$4:$B$1041,'3. Cleaned Data'!$H$4:$H$1041)*H933))</f>
        <v>0.24101235834753254</v>
      </c>
    </row>
    <row r="934" spans="1:10" x14ac:dyDescent="0.2">
      <c r="A934" s="12">
        <v>43679</v>
      </c>
      <c r="B934" s="13">
        <v>17.693650215600002</v>
      </c>
      <c r="C934" s="13">
        <v>153.35000600000001</v>
      </c>
      <c r="D934" s="13">
        <v>153.75</v>
      </c>
      <c r="E934" s="13">
        <v>151.279999</v>
      </c>
      <c r="F934" s="13">
        <v>152.58000200000001</v>
      </c>
      <c r="G934" s="13">
        <v>149.82662999999999</v>
      </c>
      <c r="H934" s="13">
        <v>149.82662999999999</v>
      </c>
      <c r="I934" s="14">
        <f t="shared" si="14"/>
        <v>-1.1082899274458602E-2</v>
      </c>
      <c r="J934" s="14">
        <f>IF(COUNT(B934)=0,"",B934-(INTERCEPT('3. Cleaned Data'!$B$4:$B$1041,'3. Cleaned Data'!$H$4:$H$1041)+SLOPE('3. Cleaned Data'!$B$4:$B$1041,'3. Cleaned Data'!$H$4:$H$1041)*H934))</f>
        <v>-1.0037482952357557</v>
      </c>
    </row>
    <row r="935" spans="1:10" x14ac:dyDescent="0.2">
      <c r="A935" s="12">
        <v>43682</v>
      </c>
      <c r="B935" s="13">
        <v>19.300630087199998</v>
      </c>
      <c r="C935" s="13">
        <v>149.779999</v>
      </c>
      <c r="D935" s="13">
        <v>149.91999799999999</v>
      </c>
      <c r="E935" s="13">
        <v>146.21000699999999</v>
      </c>
      <c r="F935" s="13">
        <v>148</v>
      </c>
      <c r="G935" s="13">
        <v>145.329285</v>
      </c>
      <c r="H935" s="13">
        <v>145.329285</v>
      </c>
      <c r="I935" s="14">
        <f t="shared" si="14"/>
        <v>-3.0016993641250544E-2</v>
      </c>
      <c r="J935" s="14">
        <f>IF(COUNT(B935)=0,"",B935-(INTERCEPT('3. Cleaned Data'!$B$4:$B$1041,'3. Cleaned Data'!$H$4:$H$1041)+SLOPE('3. Cleaned Data'!$B$4:$B$1041,'3. Cleaned Data'!$H$4:$H$1041)*H935))</f>
        <v>1.2184343172252987</v>
      </c>
    </row>
    <row r="936" spans="1:10" x14ac:dyDescent="0.2">
      <c r="A936" s="12">
        <v>43683</v>
      </c>
      <c r="B936" s="13">
        <v>18.589062988799999</v>
      </c>
      <c r="C936" s="13">
        <v>148.89999399999999</v>
      </c>
      <c r="D936" s="13">
        <v>149.699997</v>
      </c>
      <c r="E936" s="13">
        <v>147.38000500000001</v>
      </c>
      <c r="F936" s="13">
        <v>149.36000100000001</v>
      </c>
      <c r="G936" s="13">
        <v>146.664749</v>
      </c>
      <c r="H936" s="13">
        <v>146.664749</v>
      </c>
      <c r="I936" s="14">
        <f t="shared" si="14"/>
        <v>9.1892284476593478E-3</v>
      </c>
      <c r="J936" s="14">
        <f>IF(COUNT(B936)=0,"",B936-(INTERCEPT('3. Cleaned Data'!$B$4:$B$1041,'3. Cleaned Data'!$H$4:$H$1041)+SLOPE('3. Cleaned Data'!$B$4:$B$1041,'3. Cleaned Data'!$H$4:$H$1041)*H936))</f>
        <v>0.32418585612769135</v>
      </c>
    </row>
    <row r="937" spans="1:10" x14ac:dyDescent="0.2">
      <c r="A937" s="12">
        <v>43684</v>
      </c>
      <c r="B937" s="13">
        <v>18.515249308800001</v>
      </c>
      <c r="C937" s="13">
        <v>147.91999799999999</v>
      </c>
      <c r="D937" s="13">
        <v>149.71000699999999</v>
      </c>
      <c r="E937" s="13">
        <v>146.69000199999999</v>
      </c>
      <c r="F937" s="13">
        <v>149.320007</v>
      </c>
      <c r="G937" s="13">
        <v>146.62548799999999</v>
      </c>
      <c r="H937" s="13">
        <v>146.62548799999999</v>
      </c>
      <c r="I937" s="14">
        <f t="shared" si="14"/>
        <v>-2.6769213643840217E-4</v>
      </c>
      <c r="J937" s="14">
        <f>IF(COUNT(B937)=0,"",B937-(INTERCEPT('3. Cleaned Data'!$B$4:$B$1041,'3. Cleaned Data'!$H$4:$H$1041)+SLOPE('3. Cleaned Data'!$B$4:$B$1041,'3. Cleaned Data'!$H$4:$H$1041)*H937))</f>
        <v>0.25574278363255587</v>
      </c>
    </row>
    <row r="938" spans="1:10" x14ac:dyDescent="0.2">
      <c r="A938" s="12">
        <v>43685</v>
      </c>
      <c r="B938" s="13">
        <v>17.688889964400001</v>
      </c>
      <c r="C938" s="13">
        <v>150.14999399999999</v>
      </c>
      <c r="D938" s="13">
        <v>152.63000500000001</v>
      </c>
      <c r="E938" s="13">
        <v>149.990005</v>
      </c>
      <c r="F938" s="13">
        <v>152.53999300000001</v>
      </c>
      <c r="G938" s="13">
        <v>149.78735399999999</v>
      </c>
      <c r="H938" s="13">
        <v>149.78735399999999</v>
      </c>
      <c r="I938" s="14">
        <f t="shared" si="14"/>
        <v>2.1564231724841676E-2</v>
      </c>
      <c r="J938" s="14">
        <f>IF(COUNT(B938)=0,"",B938-(INTERCEPT('3. Cleaned Data'!$B$4:$B$1041,'3. Cleaned Data'!$H$4:$H$1041)+SLOPE('3. Cleaned Data'!$B$4:$B$1041,'3. Cleaned Data'!$H$4:$H$1041)*H938))</f>
        <v>-1.0031358870444791</v>
      </c>
    </row>
    <row r="939" spans="1:10" x14ac:dyDescent="0.2">
      <c r="A939" s="12">
        <v>43686</v>
      </c>
      <c r="B939" s="13">
        <v>18.7519344096</v>
      </c>
      <c r="C939" s="13">
        <v>152.08999600000001</v>
      </c>
      <c r="D939" s="13">
        <v>152.14999399999999</v>
      </c>
      <c r="E939" s="13">
        <v>150.029999</v>
      </c>
      <c r="F939" s="13">
        <v>150.61999499999999</v>
      </c>
      <c r="G939" s="13">
        <v>147.90202300000001</v>
      </c>
      <c r="H939" s="13">
        <v>147.90202300000001</v>
      </c>
      <c r="I939" s="14">
        <f t="shared" si="14"/>
        <v>-1.2586716766490036E-2</v>
      </c>
      <c r="J939" s="14">
        <f>IF(COUNT(B939)=0,"",B939-(INTERCEPT('3. Cleaned Data'!$B$4:$B$1041,'3. Cleaned Data'!$H$4:$H$1041)+SLOPE('3. Cleaned Data'!$B$4:$B$1041,'3. Cleaned Data'!$H$4:$H$1041)*H939))</f>
        <v>0.31780756270827482</v>
      </c>
    </row>
    <row r="940" spans="1:10" x14ac:dyDescent="0.2">
      <c r="A940" s="12">
        <v>43689</v>
      </c>
      <c r="B940" s="13">
        <v>18.629522599200001</v>
      </c>
      <c r="C940" s="13">
        <v>149.80999800000001</v>
      </c>
      <c r="D940" s="13">
        <v>150.11999499999999</v>
      </c>
      <c r="E940" s="13">
        <v>148.33000200000001</v>
      </c>
      <c r="F940" s="13">
        <v>148.66999799999999</v>
      </c>
      <c r="G940" s="13">
        <v>145.987213</v>
      </c>
      <c r="H940" s="13">
        <v>145.987213</v>
      </c>
      <c r="I940" s="14">
        <f t="shared" si="14"/>
        <v>-1.2946476060033407E-2</v>
      </c>
      <c r="J940" s="14">
        <f>IF(COUNT(B940)=0,"",B940-(INTERCEPT('3. Cleaned Data'!$B$4:$B$1041,'3. Cleaned Data'!$H$4:$H$1041)+SLOPE('3. Cleaned Data'!$B$4:$B$1041,'3. Cleaned Data'!$H$4:$H$1041)*H940))</f>
        <v>0.45732726083789998</v>
      </c>
    </row>
    <row r="941" spans="1:10" x14ac:dyDescent="0.2">
      <c r="A941" s="12">
        <v>43690</v>
      </c>
      <c r="B941" s="13">
        <v>18.428758732799999</v>
      </c>
      <c r="C941" s="13">
        <v>148.33999600000001</v>
      </c>
      <c r="D941" s="13">
        <v>151.78999300000001</v>
      </c>
      <c r="E941" s="13">
        <v>147.66999799999999</v>
      </c>
      <c r="F941" s="13">
        <v>150.270004</v>
      </c>
      <c r="G941" s="13">
        <v>147.558334</v>
      </c>
      <c r="H941" s="13">
        <v>147.558334</v>
      </c>
      <c r="I941" s="14">
        <f t="shared" si="14"/>
        <v>1.0762045303241763E-2</v>
      </c>
      <c r="J941" s="14">
        <f>IF(COUNT(B941)=0,"",B941-(INTERCEPT('3. Cleaned Data'!$B$4:$B$1041,'3. Cleaned Data'!$H$4:$H$1041)+SLOPE('3. Cleaned Data'!$B$4:$B$1041,'3. Cleaned Data'!$H$4:$H$1041)*H941))</f>
        <v>4.1645938600204602E-2</v>
      </c>
    </row>
    <row r="942" spans="1:10" x14ac:dyDescent="0.2">
      <c r="A942" s="12">
        <v>43691</v>
      </c>
      <c r="B942" s="13">
        <v>18.032291992800001</v>
      </c>
      <c r="C942" s="13">
        <v>147.949997</v>
      </c>
      <c r="D942" s="13">
        <v>147.979996</v>
      </c>
      <c r="E942" s="13">
        <v>145.720001</v>
      </c>
      <c r="F942" s="13">
        <v>146.070007</v>
      </c>
      <c r="G942" s="13">
        <v>143.43412799999999</v>
      </c>
      <c r="H942" s="13">
        <v>143.43412799999999</v>
      </c>
      <c r="I942" s="14">
        <f t="shared" si="14"/>
        <v>-2.7949664977919952E-2</v>
      </c>
      <c r="J942" s="14">
        <f>IF(COUNT(B942)=0,"",B942-(INTERCEPT('3. Cleaned Data'!$B$4:$B$1041,'3. Cleaned Data'!$H$4:$H$1041)+SLOPE('3. Cleaned Data'!$B$4:$B$1041,'3. Cleaned Data'!$H$4:$H$1041)*H942))</f>
        <v>0.20933934977287194</v>
      </c>
    </row>
    <row r="943" spans="1:10" x14ac:dyDescent="0.2">
      <c r="A943" s="12">
        <v>43692</v>
      </c>
      <c r="B943" s="13">
        <v>17.479413273599999</v>
      </c>
      <c r="C943" s="13">
        <v>146.61999499999999</v>
      </c>
      <c r="D943" s="13">
        <v>146.66999799999999</v>
      </c>
      <c r="E943" s="13">
        <v>144.78999300000001</v>
      </c>
      <c r="F943" s="13">
        <v>145.490005</v>
      </c>
      <c r="G943" s="13">
        <v>142.86457799999999</v>
      </c>
      <c r="H943" s="13">
        <v>142.86457799999999</v>
      </c>
      <c r="I943" s="14">
        <f t="shared" si="14"/>
        <v>-3.9708123020762986E-3</v>
      </c>
      <c r="J943" s="14">
        <f>IF(COUNT(B943)=0,"",B943-(INTERCEPT('3. Cleaned Data'!$B$4:$B$1041,'3. Cleaned Data'!$H$4:$H$1041)+SLOPE('3. Cleaned Data'!$B$4:$B$1041,'3. Cleaned Data'!$H$4:$H$1041)*H943))</f>
        <v>-0.26562924221709494</v>
      </c>
    </row>
    <row r="944" spans="1:10" x14ac:dyDescent="0.2">
      <c r="A944" s="12">
        <v>43693</v>
      </c>
      <c r="B944" s="13">
        <v>17.671720442400002</v>
      </c>
      <c r="C944" s="13">
        <v>146.13999899999999</v>
      </c>
      <c r="D944" s="13">
        <v>148.91000399999999</v>
      </c>
      <c r="E944" s="13">
        <v>146.11000100000001</v>
      </c>
      <c r="F944" s="13">
        <v>148.63000500000001</v>
      </c>
      <c r="G944" s="13">
        <v>145.947937</v>
      </c>
      <c r="H944" s="13">
        <v>145.947937</v>
      </c>
      <c r="I944" s="14">
        <f t="shared" si="14"/>
        <v>2.1582389722944573E-2</v>
      </c>
      <c r="J944" s="14">
        <f>IF(COUNT(B944)=0,"",B944-(INTERCEPT('3. Cleaned Data'!$B$4:$B$1041,'3. Cleaned Data'!$H$4:$H$1041)+SLOPE('3. Cleaned Data'!$B$4:$B$1041,'3. Cleaned Data'!$H$4:$H$1041)*H944))</f>
        <v>-0.49510223657082264</v>
      </c>
    </row>
    <row r="945" spans="1:10" x14ac:dyDescent="0.2">
      <c r="A945" s="12">
        <v>43696</v>
      </c>
      <c r="B945" s="13">
        <v>17.068335600000001</v>
      </c>
      <c r="C945" s="13">
        <v>150.320007</v>
      </c>
      <c r="D945" s="13">
        <v>150.88999899999999</v>
      </c>
      <c r="E945" s="13">
        <v>149.949997</v>
      </c>
      <c r="F945" s="13">
        <v>150.13000500000001</v>
      </c>
      <c r="G945" s="13">
        <v>147.42086800000001</v>
      </c>
      <c r="H945" s="13">
        <v>147.42086800000001</v>
      </c>
      <c r="I945" s="14">
        <f t="shared" si="14"/>
        <v>1.00921673185419E-2</v>
      </c>
      <c r="J945" s="14">
        <f>IF(COUNT(B945)=0,"",B945-(INTERCEPT('3. Cleaned Data'!$B$4:$B$1041,'3. Cleaned Data'!$H$4:$H$1041)+SLOPE('3. Cleaned Data'!$B$4:$B$1041,'3. Cleaned Data'!$H$4:$H$1041)*H945))</f>
        <v>-1.2999728863303268</v>
      </c>
    </row>
    <row r="946" spans="1:10" x14ac:dyDescent="0.2">
      <c r="A946" s="12">
        <v>43697</v>
      </c>
      <c r="B946" s="13">
        <v>18.648873647999999</v>
      </c>
      <c r="C946" s="13">
        <v>149.91999799999999</v>
      </c>
      <c r="D946" s="13">
        <v>150.009995</v>
      </c>
      <c r="E946" s="13">
        <v>148.990005</v>
      </c>
      <c r="F946" s="13">
        <v>149.14999399999999</v>
      </c>
      <c r="G946" s="13">
        <v>146.45851099999999</v>
      </c>
      <c r="H946" s="13">
        <v>146.45851099999999</v>
      </c>
      <c r="I946" s="14">
        <f t="shared" si="14"/>
        <v>-6.5279564084511632E-3</v>
      </c>
      <c r="J946" s="14">
        <f>IF(COUNT(B946)=0,"",B946-(INTERCEPT('3. Cleaned Data'!$B$4:$B$1041,'3. Cleaned Data'!$H$4:$H$1041)+SLOPE('3. Cleaned Data'!$B$4:$B$1041,'3. Cleaned Data'!$H$4:$H$1041)*H946))</f>
        <v>0.41220831203657227</v>
      </c>
    </row>
    <row r="947" spans="1:10" x14ac:dyDescent="0.2">
      <c r="A947" s="12">
        <v>43698</v>
      </c>
      <c r="B947" s="13">
        <v>18.800231700000001</v>
      </c>
      <c r="C947" s="13">
        <v>150.61999499999999</v>
      </c>
      <c r="D947" s="13">
        <v>150.64999399999999</v>
      </c>
      <c r="E947" s="13">
        <v>149.78999300000001</v>
      </c>
      <c r="F947" s="13">
        <v>150.38000500000001</v>
      </c>
      <c r="G947" s="13">
        <v>147.666336</v>
      </c>
      <c r="H947" s="13">
        <v>147.666336</v>
      </c>
      <c r="I947" s="14">
        <f t="shared" si="14"/>
        <v>8.2468747753416949E-3</v>
      </c>
      <c r="J947" s="14">
        <f>IF(COUNT(B947)=0,"",B947-(INTERCEPT('3. Cleaned Data'!$B$4:$B$1041,'3. Cleaned Data'!$H$4:$H$1041)+SLOPE('3. Cleaned Data'!$B$4:$B$1041,'3. Cleaned Data'!$H$4:$H$1041)*H947))</f>
        <v>0.39834505002119158</v>
      </c>
    </row>
    <row r="948" spans="1:10" x14ac:dyDescent="0.2">
      <c r="A948" s="12">
        <v>43699</v>
      </c>
      <c r="B948" s="13">
        <v>17.889263553599999</v>
      </c>
      <c r="C948" s="13">
        <v>150.66999799999999</v>
      </c>
      <c r="D948" s="13">
        <v>151.08000200000001</v>
      </c>
      <c r="E948" s="13">
        <v>149.13999899999999</v>
      </c>
      <c r="F948" s="13">
        <v>150.029999</v>
      </c>
      <c r="G948" s="13">
        <v>147.32264699999999</v>
      </c>
      <c r="H948" s="13">
        <v>147.32264699999999</v>
      </c>
      <c r="I948" s="14">
        <f t="shared" si="14"/>
        <v>-2.3274702231388389E-3</v>
      </c>
      <c r="J948" s="14">
        <f>IF(COUNT(B948)=0,"",B948-(INTERCEPT('3. Cleaned Data'!$B$4:$B$1041,'3. Cleaned Data'!$H$4:$H$1041)+SLOPE('3. Cleaned Data'!$B$4:$B$1041,'3. Cleaned Data'!$H$4:$H$1041)*H948))</f>
        <v>-0.46560904368687517</v>
      </c>
    </row>
    <row r="949" spans="1:10" x14ac:dyDescent="0.2">
      <c r="A949" s="12">
        <v>43700</v>
      </c>
      <c r="B949" s="13">
        <v>17.281616880000001</v>
      </c>
      <c r="C949" s="13">
        <v>149.220001</v>
      </c>
      <c r="D949" s="13">
        <v>150.11000100000001</v>
      </c>
      <c r="E949" s="13">
        <v>144.929993</v>
      </c>
      <c r="F949" s="13">
        <v>145.429993</v>
      </c>
      <c r="G949" s="13">
        <v>142.80566400000001</v>
      </c>
      <c r="H949" s="13">
        <v>142.80566400000001</v>
      </c>
      <c r="I949" s="14">
        <f t="shared" si="14"/>
        <v>-3.0660479512019556E-2</v>
      </c>
      <c r="J949" s="14">
        <f>IF(COUNT(B949)=0,"",B949-(INTERCEPT('3. Cleaned Data'!$B$4:$B$1041,'3. Cleaned Data'!$H$4:$H$1041)+SLOPE('3. Cleaned Data'!$B$4:$B$1041,'3. Cleaned Data'!$H$4:$H$1041)*H949))</f>
        <v>-0.45536664673018024</v>
      </c>
    </row>
    <row r="950" spans="1:10" x14ac:dyDescent="0.2">
      <c r="A950" s="12">
        <v>43703</v>
      </c>
      <c r="B950" s="13">
        <v>18.465897479999999</v>
      </c>
      <c r="C950" s="13">
        <v>146.800003</v>
      </c>
      <c r="D950" s="13">
        <v>147.050003</v>
      </c>
      <c r="E950" s="13">
        <v>145.71000699999999</v>
      </c>
      <c r="F950" s="13">
        <v>147.029999</v>
      </c>
      <c r="G950" s="13">
        <v>144.376801</v>
      </c>
      <c r="H950" s="13">
        <v>144.376801</v>
      </c>
      <c r="I950" s="14">
        <f t="shared" si="14"/>
        <v>1.100192356516061E-2</v>
      </c>
      <c r="J950" s="14">
        <f>IF(COUNT(B950)=0,"",B950-(INTERCEPT('3. Cleaned Data'!$B$4:$B$1041,'3. Cleaned Data'!$H$4:$H$1041)+SLOPE('3. Cleaned Data'!$B$4:$B$1041,'3. Cleaned Data'!$H$4:$H$1041)*H950))</f>
        <v>0.51399430875328278</v>
      </c>
    </row>
    <row r="951" spans="1:10" x14ac:dyDescent="0.2">
      <c r="A951" s="12">
        <v>43704</v>
      </c>
      <c r="B951" s="13">
        <v>18.809387469600001</v>
      </c>
      <c r="C951" s="13">
        <v>147.96000699999999</v>
      </c>
      <c r="D951" s="13">
        <v>148.020004</v>
      </c>
      <c r="E951" s="13">
        <v>144.679993</v>
      </c>
      <c r="F951" s="13">
        <v>144.85000600000001</v>
      </c>
      <c r="G951" s="13">
        <v>142.23613</v>
      </c>
      <c r="H951" s="13">
        <v>142.23613</v>
      </c>
      <c r="I951" s="14">
        <f t="shared" si="14"/>
        <v>-1.482697348308748E-2</v>
      </c>
      <c r="J951" s="14">
        <f>IF(COUNT(B951)=0,"",B951-(INTERCEPT('3. Cleaned Data'!$B$4:$B$1041,'3. Cleaned Data'!$H$4:$H$1041)+SLOPE('3. Cleaned Data'!$B$4:$B$1041,'3. Cleaned Data'!$H$4:$H$1041)*H951))</f>
        <v>1.1503118814010094</v>
      </c>
    </row>
    <row r="952" spans="1:10" x14ac:dyDescent="0.2">
      <c r="A952" s="12">
        <v>43705</v>
      </c>
      <c r="B952" s="13">
        <v>17.840034848399998</v>
      </c>
      <c r="C952" s="13">
        <v>144.55999800000001</v>
      </c>
      <c r="D952" s="13">
        <v>147.38999899999999</v>
      </c>
      <c r="E952" s="13">
        <v>144.25</v>
      </c>
      <c r="F952" s="13">
        <v>146.53999300000001</v>
      </c>
      <c r="G952" s="13">
        <v>143.89563000000001</v>
      </c>
      <c r="H952" s="13">
        <v>143.89563000000001</v>
      </c>
      <c r="I952" s="14">
        <f t="shared" si="14"/>
        <v>1.1667218448645933E-2</v>
      </c>
      <c r="J952" s="14">
        <f>IF(COUNT(B952)=0,"",B952-(INTERCEPT('3. Cleaned Data'!$B$4:$B$1041,'3. Cleaned Data'!$H$4:$H$1041)+SLOPE('3. Cleaned Data'!$B$4:$B$1041,'3. Cleaned Data'!$H$4:$H$1041)*H952))</f>
        <v>-4.604777360647816E-2</v>
      </c>
    </row>
    <row r="953" spans="1:10" x14ac:dyDescent="0.2">
      <c r="A953" s="12">
        <v>43706</v>
      </c>
      <c r="B953" s="13">
        <v>19.5112721076</v>
      </c>
      <c r="C953" s="13">
        <v>148.14999399999999</v>
      </c>
      <c r="D953" s="13">
        <v>149.28999300000001</v>
      </c>
      <c r="E953" s="13">
        <v>147.96000699999999</v>
      </c>
      <c r="F953" s="13">
        <v>149.11000100000001</v>
      </c>
      <c r="G953" s="13">
        <v>146.41925000000001</v>
      </c>
      <c r="H953" s="13">
        <v>146.41925000000001</v>
      </c>
      <c r="I953" s="14">
        <f t="shared" si="14"/>
        <v>1.7537850176547964E-2</v>
      </c>
      <c r="J953" s="14">
        <f>IF(COUNT(B953)=0,"",B953-(INTERCEPT('3. Cleaned Data'!$B$4:$B$1041,'3. Cleaned Data'!$H$4:$H$1041)+SLOPE('3. Cleaned Data'!$B$4:$B$1041,'3. Cleaned Data'!$H$4:$H$1041)*H953))</f>
        <v>1.2799773791414317</v>
      </c>
    </row>
    <row r="954" spans="1:10" x14ac:dyDescent="0.2">
      <c r="A954" s="12">
        <v>43707</v>
      </c>
      <c r="B954" s="13">
        <v>18.310136075999999</v>
      </c>
      <c r="C954" s="13">
        <v>149.88999899999999</v>
      </c>
      <c r="D954" s="13">
        <v>149.970001</v>
      </c>
      <c r="E954" s="13">
        <v>148.03999300000001</v>
      </c>
      <c r="F954" s="13">
        <v>148.83999600000001</v>
      </c>
      <c r="G954" s="13">
        <v>146.15411399999999</v>
      </c>
      <c r="H954" s="13">
        <v>146.15411399999999</v>
      </c>
      <c r="I954" s="14">
        <f t="shared" si="14"/>
        <v>-1.8108001509364868E-3</v>
      </c>
      <c r="J954" s="14">
        <f>IF(COUNT(B954)=0,"",B954-(INTERCEPT('3. Cleaned Data'!$B$4:$B$1041,'3. Cleaned Data'!$H$4:$H$1041)+SLOPE('3. Cleaned Data'!$B$4:$B$1041,'3. Cleaned Data'!$H$4:$H$1041)*H954))</f>
        <v>0.11510994465838564</v>
      </c>
    </row>
    <row r="955" spans="1:10" x14ac:dyDescent="0.2">
      <c r="A955" s="12">
        <v>43711</v>
      </c>
      <c r="B955" s="13">
        <v>18.500024400000001</v>
      </c>
      <c r="C955" s="13">
        <v>147.449997</v>
      </c>
      <c r="D955" s="13">
        <v>148.320007</v>
      </c>
      <c r="E955" s="13">
        <v>146</v>
      </c>
      <c r="F955" s="13">
        <v>146.66000399999999</v>
      </c>
      <c r="G955" s="13">
        <v>144.013474</v>
      </c>
      <c r="H955" s="13">
        <v>144.013474</v>
      </c>
      <c r="I955" s="14">
        <f t="shared" si="14"/>
        <v>-1.4646457368965971E-2</v>
      </c>
      <c r="J955" s="14">
        <f>IF(COUNT(B955)=0,"",B955-(INTERCEPT('3. Cleaned Data'!$B$4:$B$1041,'3. Cleaned Data'!$H$4:$H$1041)+SLOPE('3. Cleaned Data'!$B$4:$B$1041,'3. Cleaned Data'!$H$4:$H$1041)*H955))</f>
        <v>0.59782161114085497</v>
      </c>
    </row>
    <row r="956" spans="1:10" x14ac:dyDescent="0.2">
      <c r="A956" s="12">
        <v>43712</v>
      </c>
      <c r="B956" s="13">
        <v>19.800069146399998</v>
      </c>
      <c r="C956" s="13">
        <v>148.009995</v>
      </c>
      <c r="D956" s="13">
        <v>148.36000100000001</v>
      </c>
      <c r="E956" s="13">
        <v>147.179993</v>
      </c>
      <c r="F956" s="13">
        <v>147.83999600000001</v>
      </c>
      <c r="G956" s="13">
        <v>145.17214999999999</v>
      </c>
      <c r="H956" s="13">
        <v>145.17214999999999</v>
      </c>
      <c r="I956" s="14">
        <f t="shared" si="14"/>
        <v>8.0456082880133728E-3</v>
      </c>
      <c r="J956" s="14">
        <f>IF(COUNT(B956)=0,"",B956-(INTERCEPT('3. Cleaned Data'!$B$4:$B$1041,'3. Cleaned Data'!$H$4:$H$1041)+SLOPE('3. Cleaned Data'!$B$4:$B$1041,'3. Cleaned Data'!$H$4:$H$1041)*H956))</f>
        <v>1.7393682545556644</v>
      </c>
    </row>
    <row r="957" spans="1:10" x14ac:dyDescent="0.2">
      <c r="A957" s="12">
        <v>43713</v>
      </c>
      <c r="B957" s="13">
        <v>18.536553959999999</v>
      </c>
      <c r="C957" s="13">
        <v>149.85000600000001</v>
      </c>
      <c r="D957" s="13">
        <v>151.91000399999999</v>
      </c>
      <c r="E957" s="13">
        <v>149.36999499999999</v>
      </c>
      <c r="F957" s="13">
        <v>150.58999600000001</v>
      </c>
      <c r="G957" s="13">
        <v>147.87254300000001</v>
      </c>
      <c r="H957" s="13">
        <v>147.87254300000001</v>
      </c>
      <c r="I957" s="14">
        <f t="shared" si="14"/>
        <v>1.8601315748234315E-2</v>
      </c>
      <c r="J957" s="14">
        <f>IF(COUNT(B957)=0,"",B957-(INTERCEPT('3. Cleaned Data'!$B$4:$B$1041,'3. Cleaned Data'!$H$4:$H$1041)+SLOPE('3. Cleaned Data'!$B$4:$B$1041,'3. Cleaned Data'!$H$4:$H$1041)*H957))</f>
        <v>0.10645975387756934</v>
      </c>
    </row>
    <row r="958" spans="1:10" x14ac:dyDescent="0.2">
      <c r="A958" s="12">
        <v>43714</v>
      </c>
      <c r="B958" s="13">
        <v>18.9781988256</v>
      </c>
      <c r="C958" s="13">
        <v>150.699997</v>
      </c>
      <c r="D958" s="13">
        <v>151.229996</v>
      </c>
      <c r="E958" s="13">
        <v>149.83000200000001</v>
      </c>
      <c r="F958" s="13">
        <v>149.89999399999999</v>
      </c>
      <c r="G958" s="13">
        <v>147.195007</v>
      </c>
      <c r="H958" s="13">
        <v>147.195007</v>
      </c>
      <c r="I958" s="14">
        <f t="shared" si="14"/>
        <v>-4.5818918526342456E-3</v>
      </c>
      <c r="J958" s="14">
        <f>IF(COUNT(B958)=0,"",B958-(INTERCEPT('3. Cleaned Data'!$B$4:$B$1041,'3. Cleaned Data'!$H$4:$H$1041)+SLOPE('3. Cleaned Data'!$B$4:$B$1041,'3. Cleaned Data'!$H$4:$H$1041)*H958))</f>
        <v>0.6407864137877759</v>
      </c>
    </row>
    <row r="959" spans="1:10" x14ac:dyDescent="0.2">
      <c r="A959" s="12">
        <v>43717</v>
      </c>
      <c r="B959" s="13">
        <v>19.671230815200001</v>
      </c>
      <c r="C959" s="13">
        <v>150.570007</v>
      </c>
      <c r="D959" s="13">
        <v>152.240005</v>
      </c>
      <c r="E959" s="13">
        <v>150.05999800000001</v>
      </c>
      <c r="F959" s="13">
        <v>151.91000399999999</v>
      </c>
      <c r="G959" s="13">
        <v>149.168747</v>
      </c>
      <c r="H959" s="13">
        <v>149.168747</v>
      </c>
      <c r="I959" s="14">
        <f t="shared" si="14"/>
        <v>1.3409014614198078E-2</v>
      </c>
      <c r="J959" s="14">
        <f>IF(COUNT(B959)=0,"",B959-(INTERCEPT('3. Cleaned Data'!$B$4:$B$1041,'3. Cleaned Data'!$H$4:$H$1041)+SLOPE('3. Cleaned Data'!$B$4:$B$1041,'3. Cleaned Data'!$H$4:$H$1041)*H959))</f>
        <v>1.0638257170923957</v>
      </c>
    </row>
    <row r="960" spans="1:10" x14ac:dyDescent="0.2">
      <c r="A960" s="12">
        <v>43718</v>
      </c>
      <c r="B960" s="13">
        <v>18.9967688676</v>
      </c>
      <c r="C960" s="13">
        <v>151.679993</v>
      </c>
      <c r="D960" s="13">
        <v>153.949997</v>
      </c>
      <c r="E960" s="13">
        <v>150.88999899999999</v>
      </c>
      <c r="F960" s="13">
        <v>153.85000600000001</v>
      </c>
      <c r="G960" s="13">
        <v>151.07373000000001</v>
      </c>
      <c r="H960" s="13">
        <v>151.07373000000001</v>
      </c>
      <c r="I960" s="14">
        <f t="shared" si="14"/>
        <v>1.2770657649889827E-2</v>
      </c>
      <c r="J960" s="14">
        <f>IF(COUNT(B960)=0,"",B960-(INTERCEPT('3. Cleaned Data'!$B$4:$B$1041,'3. Cleaned Data'!$H$4:$H$1041)+SLOPE('3. Cleaned Data'!$B$4:$B$1041,'3. Cleaned Data'!$H$4:$H$1041)*H960))</f>
        <v>0.12877652015001217</v>
      </c>
    </row>
    <row r="961" spans="1:10" x14ac:dyDescent="0.2">
      <c r="A961" s="12">
        <v>43719</v>
      </c>
      <c r="B961" s="13">
        <v>19.271605374</v>
      </c>
      <c r="C961" s="13">
        <v>154.520004</v>
      </c>
      <c r="D961" s="13">
        <v>157.16000399999999</v>
      </c>
      <c r="E961" s="13">
        <v>153.55999800000001</v>
      </c>
      <c r="F961" s="13">
        <v>157</v>
      </c>
      <c r="G961" s="13">
        <v>154.16686999999999</v>
      </c>
      <c r="H961" s="13">
        <v>154.16686999999999</v>
      </c>
      <c r="I961" s="14">
        <f t="shared" si="14"/>
        <v>2.0474373671716339E-2</v>
      </c>
      <c r="J961" s="14">
        <f>IF(COUNT(B961)=0,"",B961-(INTERCEPT('3. Cleaned Data'!$B$4:$B$1041,'3. Cleaned Data'!$H$4:$H$1041)+SLOPE('3. Cleaned Data'!$B$4:$B$1041,'3. Cleaned Data'!$H$4:$H$1041)*H961))</f>
        <v>-1.9505103339280794E-2</v>
      </c>
    </row>
    <row r="962" spans="1:10" x14ac:dyDescent="0.2">
      <c r="A962" s="12">
        <v>43720</v>
      </c>
      <c r="B962" s="13">
        <v>18.864476450400002</v>
      </c>
      <c r="C962" s="13">
        <v>157.179993</v>
      </c>
      <c r="D962" s="13">
        <v>157.89999399999999</v>
      </c>
      <c r="E962" s="13">
        <v>155.570007</v>
      </c>
      <c r="F962" s="13">
        <v>157.03999300000001</v>
      </c>
      <c r="G962" s="13">
        <v>154.20614599999999</v>
      </c>
      <c r="H962" s="13">
        <v>154.20614599999999</v>
      </c>
      <c r="I962" s="14">
        <f t="shared" si="14"/>
        <v>2.5476290723158712E-4</v>
      </c>
      <c r="J962" s="14">
        <f>IF(COUNT(B962)=0,"",B962-(INTERCEPT('3. Cleaned Data'!$B$4:$B$1041,'3. Cleaned Data'!$H$4:$H$1041)+SLOPE('3. Cleaned Data'!$B$4:$B$1041,'3. Cleaned Data'!$H$4:$H$1041)*H962))</f>
        <v>-0.43200668633055628</v>
      </c>
    </row>
    <row r="963" spans="1:10" x14ac:dyDescent="0.2">
      <c r="A963" s="12">
        <v>43721</v>
      </c>
      <c r="B963" s="13">
        <v>19.581946307999999</v>
      </c>
      <c r="C963" s="13">
        <v>157.85000600000001</v>
      </c>
      <c r="D963" s="13">
        <v>158.91999799999999</v>
      </c>
      <c r="E963" s="13">
        <v>157.13000500000001</v>
      </c>
      <c r="F963" s="13">
        <v>157.30999800000001</v>
      </c>
      <c r="G963" s="13">
        <v>154.471283</v>
      </c>
      <c r="H963" s="13">
        <v>154.471283</v>
      </c>
      <c r="I963" s="14">
        <f t="shared" si="14"/>
        <v>1.7193672682800365E-3</v>
      </c>
      <c r="J963" s="14">
        <f>IF(COUNT(B963)=0,"",B963-(INTERCEPT('3. Cleaned Data'!$B$4:$B$1041,'3. Cleaned Data'!$H$4:$H$1041)+SLOPE('3. Cleaned Data'!$B$4:$B$1041,'3. Cleaned Data'!$H$4:$H$1041)*H963))</f>
        <v>0.24919443736006031</v>
      </c>
    </row>
    <row r="964" spans="1:10" x14ac:dyDescent="0.2">
      <c r="A964" s="12">
        <v>43724</v>
      </c>
      <c r="B964" s="13">
        <v>18.925885944000001</v>
      </c>
      <c r="C964" s="13">
        <v>156.970001</v>
      </c>
      <c r="D964" s="13">
        <v>158.75</v>
      </c>
      <c r="E964" s="13">
        <v>156.699997</v>
      </c>
      <c r="F964" s="13">
        <v>157.89999399999999</v>
      </c>
      <c r="G964" s="13">
        <v>155.05064400000001</v>
      </c>
      <c r="H964" s="13">
        <v>155.05064400000001</v>
      </c>
      <c r="I964" s="14">
        <f t="shared" si="14"/>
        <v>3.7506065124091048E-3</v>
      </c>
      <c r="J964" s="14">
        <f>IF(COUNT(B964)=0,"",B964-(INTERCEPT('3. Cleaned Data'!$B$4:$B$1041,'3. Cleaned Data'!$H$4:$H$1041)+SLOPE('3. Cleaned Data'!$B$4:$B$1041,'3. Cleaned Data'!$H$4:$H$1041)*H964))</f>
        <v>-0.4861181243583701</v>
      </c>
    </row>
    <row r="965" spans="1:10" x14ac:dyDescent="0.2">
      <c r="A965" s="12">
        <v>43725</v>
      </c>
      <c r="B965" s="13">
        <v>18.222132599999998</v>
      </c>
      <c r="C965" s="13">
        <v>157.36000100000001</v>
      </c>
      <c r="D965" s="13">
        <v>157.570007</v>
      </c>
      <c r="E965" s="13">
        <v>156.449997</v>
      </c>
      <c r="F965" s="13">
        <v>157.490005</v>
      </c>
      <c r="G965" s="13">
        <v>154.64804100000001</v>
      </c>
      <c r="H965" s="13">
        <v>154.64804100000001</v>
      </c>
      <c r="I965" s="14">
        <f t="shared" ref="I965:I1028" si="15">H965/H964-1</f>
        <v>-2.5965903114856248E-3</v>
      </c>
      <c r="J965" s="14">
        <f>IF(COUNT(B965)=0,"",B965-(INTERCEPT('3. Cleaned Data'!$B$4:$B$1041,'3. Cleaned Data'!$H$4:$H$1041)+SLOPE('3. Cleaned Data'!$B$4:$B$1041,'3. Cleaned Data'!$H$4:$H$1041)*H965))</f>
        <v>-1.1347984265795255</v>
      </c>
    </row>
    <row r="966" spans="1:10" x14ac:dyDescent="0.2">
      <c r="A966" s="12">
        <v>43726</v>
      </c>
      <c r="B966" s="13">
        <v>18.919681703999998</v>
      </c>
      <c r="C966" s="13">
        <v>157.479996</v>
      </c>
      <c r="D966" s="13">
        <v>157.5</v>
      </c>
      <c r="E966" s="13">
        <v>155.070007</v>
      </c>
      <c r="F966" s="13">
        <v>156.520004</v>
      </c>
      <c r="G966" s="13">
        <v>153.69554099999999</v>
      </c>
      <c r="H966" s="13">
        <v>153.69554099999999</v>
      </c>
      <c r="I966" s="14">
        <f t="shared" si="15"/>
        <v>-6.159146885022726E-3</v>
      </c>
      <c r="J966" s="14">
        <f>IF(COUNT(B966)=0,"",B966-(INTERCEPT('3. Cleaned Data'!$B$4:$B$1041,'3. Cleaned Data'!$H$4:$H$1041)+SLOPE('3. Cleaned Data'!$B$4:$B$1041,'3. Cleaned Data'!$H$4:$H$1041)*H966))</f>
        <v>-0.30695453517269655</v>
      </c>
    </row>
    <row r="967" spans="1:10" x14ac:dyDescent="0.2">
      <c r="A967" s="12">
        <v>43727</v>
      </c>
      <c r="B967" s="13">
        <v>19.304439695999999</v>
      </c>
      <c r="C967" s="13">
        <v>156.800003</v>
      </c>
      <c r="D967" s="13">
        <v>157.820007</v>
      </c>
      <c r="E967" s="13">
        <v>155.529999</v>
      </c>
      <c r="F967" s="13">
        <v>155.759995</v>
      </c>
      <c r="G967" s="13">
        <v>152.94924900000001</v>
      </c>
      <c r="H967" s="13">
        <v>152.94924900000001</v>
      </c>
      <c r="I967" s="14">
        <f t="shared" si="15"/>
        <v>-4.8556516028007701E-3</v>
      </c>
      <c r="J967" s="14">
        <f>IF(COUNT(B967)=0,"",B967-(INTERCEPT('3. Cleaned Data'!$B$4:$B$1041,'3. Cleaned Data'!$H$4:$H$1041)+SLOPE('3. Cleaned Data'!$B$4:$B$1041,'3. Cleaned Data'!$H$4:$H$1041)*H967))</f>
        <v>0.17989055129807952</v>
      </c>
    </row>
    <row r="968" spans="1:10" x14ac:dyDescent="0.2">
      <c r="A968" s="12">
        <v>43728</v>
      </c>
      <c r="B968" s="13">
        <v>19.5063822804</v>
      </c>
      <c r="C968" s="13">
        <v>155.63999899999999</v>
      </c>
      <c r="D968" s="13">
        <v>156.64999399999999</v>
      </c>
      <c r="E968" s="13">
        <v>154.449997</v>
      </c>
      <c r="F968" s="13">
        <v>155.429993</v>
      </c>
      <c r="G968" s="13">
        <v>152.625214</v>
      </c>
      <c r="H968" s="13">
        <v>152.625214</v>
      </c>
      <c r="I968" s="14">
        <f t="shared" si="15"/>
        <v>-2.1185785619647346E-3</v>
      </c>
      <c r="J968" s="14">
        <f>IF(COUNT(B968)=0,"",B968-(INTERCEPT('3. Cleaned Data'!$B$4:$B$1041,'3. Cleaned Data'!$H$4:$H$1041)+SLOPE('3. Cleaned Data'!$B$4:$B$1041,'3. Cleaned Data'!$H$4:$H$1041)*H968))</f>
        <v>0.42615867001553198</v>
      </c>
    </row>
    <row r="969" spans="1:10" x14ac:dyDescent="0.2">
      <c r="A969" s="12">
        <v>43731</v>
      </c>
      <c r="B969" s="13">
        <v>18.772685020800001</v>
      </c>
      <c r="C969" s="13">
        <v>154.86000100000001</v>
      </c>
      <c r="D969" s="13">
        <v>155.949997</v>
      </c>
      <c r="E969" s="13">
        <v>154.55999800000001</v>
      </c>
      <c r="F969" s="13">
        <v>155.30999800000001</v>
      </c>
      <c r="G969" s="13">
        <v>152.50737000000001</v>
      </c>
      <c r="H969" s="13">
        <v>152.50737000000001</v>
      </c>
      <c r="I969" s="14">
        <f t="shared" si="15"/>
        <v>-7.7211357751150178E-4</v>
      </c>
      <c r="J969" s="14">
        <f>IF(COUNT(B969)=0,"",B969-(INTERCEPT('3. Cleaned Data'!$B$4:$B$1041,'3. Cleaned Data'!$H$4:$H$1041)+SLOPE('3. Cleaned Data'!$B$4:$B$1041,'3. Cleaned Data'!$H$4:$H$1041)*H969))</f>
        <v>-0.29141842273179819</v>
      </c>
    </row>
    <row r="970" spans="1:10" x14ac:dyDescent="0.2">
      <c r="A970" s="12">
        <v>43732</v>
      </c>
      <c r="B970" s="13">
        <v>18.630975975599998</v>
      </c>
      <c r="C970" s="13">
        <v>155.14999399999999</v>
      </c>
      <c r="D970" s="13">
        <v>155.28999300000001</v>
      </c>
      <c r="E970" s="15">
        <v>152.429993</v>
      </c>
      <c r="F970" s="13">
        <v>152.429993</v>
      </c>
      <c r="G970" s="13">
        <v>150.205444</v>
      </c>
      <c r="H970" s="13">
        <v>150.205444</v>
      </c>
      <c r="I970" s="14">
        <f t="shared" si="15"/>
        <v>-1.5093867266873784E-2</v>
      </c>
      <c r="J970" s="14">
        <f>IF(COUNT(B970)=0,"",B970-(INTERCEPT('3. Cleaned Data'!$B$4:$B$1041,'3. Cleaned Data'!$H$4:$H$1041)+SLOPE('3. Cleaned Data'!$B$4:$B$1041,'3. Cleaned Data'!$H$4:$H$1041)*H970))</f>
        <v>-0.11824142195148468</v>
      </c>
    </row>
    <row r="971" spans="1:10" x14ac:dyDescent="0.2">
      <c r="A971" s="12">
        <v>43733</v>
      </c>
      <c r="B971" s="13">
        <v>17.644769649600001</v>
      </c>
      <c r="C971" s="13">
        <v>152.279999</v>
      </c>
      <c r="D971" s="13">
        <v>154.36000100000001</v>
      </c>
      <c r="E971" s="13">
        <v>151.800003</v>
      </c>
      <c r="F971" s="13">
        <v>154.10000600000001</v>
      </c>
      <c r="G971" s="13">
        <v>151.85110499999999</v>
      </c>
      <c r="H971" s="13">
        <v>151.85110499999999</v>
      </c>
      <c r="I971" s="14">
        <f t="shared" si="15"/>
        <v>1.0956067610971454E-2</v>
      </c>
      <c r="J971" s="14">
        <f>IF(COUNT(B971)=0,"",B971-(INTERCEPT('3. Cleaned Data'!$B$4:$B$1041,'3. Cleaned Data'!$H$4:$H$1041)+SLOPE('3. Cleaned Data'!$B$4:$B$1041,'3. Cleaned Data'!$H$4:$H$1041)*H971))</f>
        <v>-1.3295617113517011</v>
      </c>
    </row>
    <row r="972" spans="1:10" x14ac:dyDescent="0.2">
      <c r="A972" s="12">
        <v>43734</v>
      </c>
      <c r="B972" s="13">
        <v>18.870109547999999</v>
      </c>
      <c r="C972" s="13">
        <v>153.91999799999999</v>
      </c>
      <c r="D972" s="13">
        <v>153.91999799999999</v>
      </c>
      <c r="E972" s="13">
        <v>151.949997</v>
      </c>
      <c r="F972" s="13">
        <v>152.38000500000001</v>
      </c>
      <c r="G972" s="13">
        <v>150.156204</v>
      </c>
      <c r="H972" s="13">
        <v>150.156204</v>
      </c>
      <c r="I972" s="14">
        <f t="shared" si="15"/>
        <v>-1.1161598066737777E-2</v>
      </c>
      <c r="J972" s="14">
        <f>IF(COUNT(B972)=0,"",B972-(INTERCEPT('3. Cleaned Data'!$B$4:$B$1041,'3. Cleaned Data'!$H$4:$H$1041)+SLOPE('3. Cleaned Data'!$B$4:$B$1041,'3. Cleaned Data'!$H$4:$H$1041)*H972))</f>
        <v>0.12762780958962949</v>
      </c>
    </row>
    <row r="973" spans="1:10" x14ac:dyDescent="0.2">
      <c r="A973" s="12">
        <v>43735</v>
      </c>
      <c r="B973" s="13">
        <v>19.1893136628</v>
      </c>
      <c r="C973" s="13">
        <v>152.820007</v>
      </c>
      <c r="D973" s="13">
        <v>153.220001</v>
      </c>
      <c r="E973" s="13">
        <v>150.5</v>
      </c>
      <c r="F973" s="13">
        <v>151.16000399999999</v>
      </c>
      <c r="G973" s="13">
        <v>148.95401000000001</v>
      </c>
      <c r="H973" s="13">
        <v>148.95401000000001</v>
      </c>
      <c r="I973" s="14">
        <f t="shared" si="15"/>
        <v>-8.0062892373063965E-3</v>
      </c>
      <c r="J973" s="14">
        <f>IF(COUNT(B973)=0,"",B973-(INTERCEPT('3. Cleaned Data'!$B$4:$B$1041,'3. Cleaned Data'!$H$4:$H$1041)+SLOPE('3. Cleaned Data'!$B$4:$B$1041,'3. Cleaned Data'!$H$4:$H$1041)*H973))</f>
        <v>0.61128296024449824</v>
      </c>
    </row>
    <row r="974" spans="1:10" x14ac:dyDescent="0.2">
      <c r="A974" s="12">
        <v>43738</v>
      </c>
      <c r="B974" s="13">
        <v>17.838273483599998</v>
      </c>
      <c r="C974" s="13">
        <v>151.36999499999999</v>
      </c>
      <c r="D974" s="13">
        <v>152.259995</v>
      </c>
      <c r="E974" s="13">
        <v>150.78999300000001</v>
      </c>
      <c r="F974" s="13">
        <v>151.33999600000001</v>
      </c>
      <c r="G974" s="13">
        <v>149.13136299999999</v>
      </c>
      <c r="H974" s="13">
        <v>149.13136299999999</v>
      </c>
      <c r="I974" s="14">
        <f t="shared" si="15"/>
        <v>1.1906560957974932E-3</v>
      </c>
      <c r="J974" s="14">
        <f>IF(COUNT(B974)=0,"",B974-(INTERCEPT('3. Cleaned Data'!$B$4:$B$1041,'3. Cleaned Data'!$H$4:$H$1041)+SLOPE('3. Cleaned Data'!$B$4:$B$1041,'3. Cleaned Data'!$H$4:$H$1041)*H974))</f>
        <v>-0.76401776638958196</v>
      </c>
    </row>
    <row r="975" spans="1:10" x14ac:dyDescent="0.2">
      <c r="A975" s="12">
        <v>43739</v>
      </c>
      <c r="B975" s="13">
        <v>18.441814576799999</v>
      </c>
      <c r="C975" s="13">
        <v>152.11000100000001</v>
      </c>
      <c r="D975" s="13">
        <v>153.35000600000001</v>
      </c>
      <c r="E975" s="13">
        <v>148.050003</v>
      </c>
      <c r="F975" s="13">
        <v>148.36999499999999</v>
      </c>
      <c r="G975" s="13">
        <v>146.204712</v>
      </c>
      <c r="H975" s="13">
        <v>146.204712</v>
      </c>
      <c r="I975" s="14">
        <f t="shared" si="15"/>
        <v>-1.9624651321667241E-2</v>
      </c>
      <c r="J975" s="14">
        <f>IF(COUNT(B975)=0,"",B975-(INTERCEPT('3. Cleaned Data'!$B$4:$B$1041,'3. Cleaned Data'!$H$4:$H$1041)+SLOPE('3. Cleaned Data'!$B$4:$B$1041,'3. Cleaned Data'!$H$4:$H$1041)*H975))</f>
        <v>0.23986702220042133</v>
      </c>
    </row>
    <row r="976" spans="1:10" x14ac:dyDescent="0.2">
      <c r="A976" s="12">
        <v>43740</v>
      </c>
      <c r="B976" s="13">
        <v>18.8651214864</v>
      </c>
      <c r="C976" s="13">
        <v>147.63000500000001</v>
      </c>
      <c r="D976" s="13">
        <v>147.63000500000001</v>
      </c>
      <c r="E976" s="13">
        <v>145.86000100000001</v>
      </c>
      <c r="F976" s="13">
        <v>147.25</v>
      </c>
      <c r="G976" s="13">
        <v>145.10105899999999</v>
      </c>
      <c r="H976" s="13">
        <v>145.10105899999999</v>
      </c>
      <c r="I976" s="14">
        <f t="shared" si="15"/>
        <v>-7.5486828358857228E-3</v>
      </c>
      <c r="J976" s="14">
        <f>IF(COUNT(B976)=0,"",B976-(INTERCEPT('3. Cleaned Data'!$B$4:$B$1041,'3. Cleaned Data'!$H$4:$H$1041)+SLOPE('3. Cleaned Data'!$B$4:$B$1041,'3. Cleaned Data'!$H$4:$H$1041)*H976))</f>
        <v>0.81414530503496962</v>
      </c>
    </row>
    <row r="977" spans="1:10" x14ac:dyDescent="0.2">
      <c r="A977" s="12">
        <v>43741</v>
      </c>
      <c r="B977" s="13">
        <v>18.473858207999999</v>
      </c>
      <c r="C977" s="13">
        <v>146.69000199999999</v>
      </c>
      <c r="D977" s="13">
        <v>147.94000199999999</v>
      </c>
      <c r="E977" s="13">
        <v>144.929993</v>
      </c>
      <c r="F977" s="13">
        <v>147.740005</v>
      </c>
      <c r="G977" s="13">
        <v>145.58390800000001</v>
      </c>
      <c r="H977" s="13">
        <v>145.58390800000001</v>
      </c>
      <c r="I977" s="14">
        <f t="shared" si="15"/>
        <v>3.3276738524701255E-3</v>
      </c>
      <c r="J977" s="14">
        <f>IF(COUNT(B977)=0,"",B977-(INTERCEPT('3. Cleaned Data'!$B$4:$B$1041,'3. Cleaned Data'!$H$4:$H$1041)+SLOPE('3. Cleaned Data'!$B$4:$B$1041,'3. Cleaned Data'!$H$4:$H$1041)*H977))</f>
        <v>0.35683193970100646</v>
      </c>
    </row>
    <row r="978" spans="1:10" x14ac:dyDescent="0.2">
      <c r="A978" s="12">
        <v>43742</v>
      </c>
      <c r="B978" s="13">
        <v>19.468118736000001</v>
      </c>
      <c r="C978" s="13">
        <v>147.990005</v>
      </c>
      <c r="D978" s="13">
        <v>149.25</v>
      </c>
      <c r="E978" s="13">
        <v>147.11999499999999</v>
      </c>
      <c r="F978" s="13">
        <v>149.13999899999999</v>
      </c>
      <c r="G978" s="13">
        <v>146.96347</v>
      </c>
      <c r="H978" s="13">
        <v>146.96347</v>
      </c>
      <c r="I978" s="14">
        <f t="shared" si="15"/>
        <v>9.4760610492747865E-3</v>
      </c>
      <c r="J978" s="14">
        <f>IF(COUNT(B978)=0,"",B978-(INTERCEPT('3. Cleaned Data'!$B$4:$B$1041,'3. Cleaned Data'!$H$4:$H$1041)+SLOPE('3. Cleaned Data'!$B$4:$B$1041,'3. Cleaned Data'!$H$4:$H$1041)*H978))</f>
        <v>1.1623788325256399</v>
      </c>
    </row>
    <row r="979" spans="1:10" x14ac:dyDescent="0.2">
      <c r="A979" s="12">
        <v>43745</v>
      </c>
      <c r="B979" s="13">
        <v>18.438726362400001</v>
      </c>
      <c r="C979" s="13">
        <v>148.779999</v>
      </c>
      <c r="D979" s="13">
        <v>150.070007</v>
      </c>
      <c r="E979" s="13">
        <v>148.11999499999999</v>
      </c>
      <c r="F979" s="13">
        <v>148.88000500000001</v>
      </c>
      <c r="G979" s="13">
        <v>146.707291</v>
      </c>
      <c r="H979" s="13">
        <v>146.707291</v>
      </c>
      <c r="I979" s="14">
        <f t="shared" si="15"/>
        <v>-1.7431474637881195E-3</v>
      </c>
      <c r="J979" s="14">
        <f>IF(COUNT(B979)=0,"",B979-(INTERCEPT('3. Cleaned Data'!$B$4:$B$1041,'3. Cleaned Data'!$H$4:$H$1041)+SLOPE('3. Cleaned Data'!$B$4:$B$1041,'3. Cleaned Data'!$H$4:$H$1041)*H979))</f>
        <v>0.16802980626747299</v>
      </c>
    </row>
    <row r="980" spans="1:10" x14ac:dyDescent="0.2">
      <c r="A980" s="12">
        <v>43746</v>
      </c>
      <c r="B980" s="13">
        <v>19.175038105199999</v>
      </c>
      <c r="C980" s="13">
        <v>147.41999799999999</v>
      </c>
      <c r="D980" s="13">
        <v>147.929993</v>
      </c>
      <c r="E980" s="13">
        <v>146.11000100000001</v>
      </c>
      <c r="F980" s="13">
        <v>146.46000699999999</v>
      </c>
      <c r="G980" s="13">
        <v>144.32260099999999</v>
      </c>
      <c r="H980" s="13">
        <v>144.32260099999999</v>
      </c>
      <c r="I980" s="14">
        <f t="shared" si="15"/>
        <v>-1.6254747693487226E-2</v>
      </c>
      <c r="J980" s="14">
        <f>IF(COUNT(B980)=0,"",B980-(INTERCEPT('3. Cleaned Data'!$B$4:$B$1041,'3. Cleaned Data'!$H$4:$H$1041)+SLOPE('3. Cleaned Data'!$B$4:$B$1041,'3. Cleaned Data'!$H$4:$H$1041)*H980))</f>
        <v>1.2305490835359087</v>
      </c>
    </row>
    <row r="981" spans="1:10" x14ac:dyDescent="0.2">
      <c r="A981" s="12">
        <v>43747</v>
      </c>
      <c r="B981" s="13">
        <v>19.945486836000001</v>
      </c>
      <c r="C981" s="13">
        <v>147.53999300000001</v>
      </c>
      <c r="D981" s="13">
        <v>147.69000199999999</v>
      </c>
      <c r="E981" s="13">
        <v>146.63999899999999</v>
      </c>
      <c r="F981" s="13">
        <v>147.13000500000001</v>
      </c>
      <c r="G981" s="13">
        <v>144.98281900000001</v>
      </c>
      <c r="H981" s="13">
        <v>144.98281900000001</v>
      </c>
      <c r="I981" s="14">
        <f t="shared" si="15"/>
        <v>4.574598818379183E-3</v>
      </c>
      <c r="J981" s="14">
        <f>IF(COUNT(B981)=0,"",B981-(INTERCEPT('3. Cleaned Data'!$B$4:$B$1041,'3. Cleaned Data'!$H$4:$H$1041)+SLOPE('3. Cleaned Data'!$B$4:$B$1041,'3. Cleaned Data'!$H$4:$H$1041)*H981))</f>
        <v>1.9106849912890205</v>
      </c>
    </row>
    <row r="982" spans="1:10" x14ac:dyDescent="0.2">
      <c r="A982" s="12">
        <v>43748</v>
      </c>
      <c r="B982" s="13">
        <v>19.489614508799999</v>
      </c>
      <c r="C982" s="13">
        <v>147.33999600000001</v>
      </c>
      <c r="D982" s="13">
        <v>148.5</v>
      </c>
      <c r="E982" s="13">
        <v>147.10000600000001</v>
      </c>
      <c r="F982" s="13">
        <v>147.720001</v>
      </c>
      <c r="G982" s="13">
        <v>145.56420900000001</v>
      </c>
      <c r="H982" s="13">
        <v>145.56420900000001</v>
      </c>
      <c r="I982" s="14">
        <f t="shared" si="15"/>
        <v>4.0100613576841138E-3</v>
      </c>
      <c r="J982" s="14">
        <f>IF(COUNT(B982)=0,"",B982-(INTERCEPT('3. Cleaned Data'!$B$4:$B$1041,'3. Cleaned Data'!$H$4:$H$1041)+SLOPE('3. Cleaned Data'!$B$4:$B$1041,'3. Cleaned Data'!$H$4:$H$1041)*H982))</f>
        <v>1.3752829145347363</v>
      </c>
    </row>
    <row r="983" spans="1:10" x14ac:dyDescent="0.2">
      <c r="A983" s="12">
        <v>43749</v>
      </c>
      <c r="B983" s="13">
        <v>19.490087920800001</v>
      </c>
      <c r="C983" s="13">
        <v>149.78999300000001</v>
      </c>
      <c r="D983" s="13">
        <v>151.96000699999999</v>
      </c>
      <c r="E983" s="13">
        <v>147.69000199999999</v>
      </c>
      <c r="F983" s="13">
        <v>150.220001</v>
      </c>
      <c r="G983" s="13">
        <v>148.02771000000001</v>
      </c>
      <c r="H983" s="13">
        <v>148.02771000000001</v>
      </c>
      <c r="I983" s="14">
        <f t="shared" si="15"/>
        <v>1.6923809890657893E-2</v>
      </c>
      <c r="J983" s="14">
        <f>IF(COUNT(B983)=0,"",B983-(INTERCEPT('3. Cleaned Data'!$B$4:$B$1041,'3. Cleaned Data'!$H$4:$H$1041)+SLOPE('3. Cleaned Data'!$B$4:$B$1041,'3. Cleaned Data'!$H$4:$H$1041)*H983))</f>
        <v>1.0387680440449643</v>
      </c>
    </row>
    <row r="984" spans="1:10" x14ac:dyDescent="0.2">
      <c r="A984" s="12">
        <v>43752</v>
      </c>
      <c r="B984" s="13">
        <v>19.876301030400001</v>
      </c>
      <c r="C984" s="13">
        <v>149.91000399999999</v>
      </c>
      <c r="D984" s="13">
        <v>150.14999399999999</v>
      </c>
      <c r="E984" s="13">
        <v>149.10000600000001</v>
      </c>
      <c r="F984" s="13">
        <v>149.66999799999999</v>
      </c>
      <c r="G984" s="13">
        <v>147.485748</v>
      </c>
      <c r="H984" s="13">
        <v>147.485748</v>
      </c>
      <c r="I984" s="14">
        <f t="shared" si="15"/>
        <v>-3.6612199161900616E-3</v>
      </c>
      <c r="J984" s="14">
        <f>IF(COUNT(B984)=0,"",B984-(INTERCEPT('3. Cleaned Data'!$B$4:$B$1041,'3. Cleaned Data'!$H$4:$H$1041)+SLOPE('3. Cleaned Data'!$B$4:$B$1041,'3. Cleaned Data'!$H$4:$H$1041)*H984))</f>
        <v>1.4991174513589591</v>
      </c>
    </row>
    <row r="985" spans="1:10" x14ac:dyDescent="0.2">
      <c r="A985" s="12">
        <v>43753</v>
      </c>
      <c r="B985" s="13">
        <v>18.987909782399999</v>
      </c>
      <c r="C985" s="13">
        <v>150.16999799999999</v>
      </c>
      <c r="D985" s="13">
        <v>152.13000500000001</v>
      </c>
      <c r="E985" s="13">
        <v>149.78999300000001</v>
      </c>
      <c r="F985" s="13">
        <v>151.38999899999999</v>
      </c>
      <c r="G985" s="13">
        <v>149.180634</v>
      </c>
      <c r="H985" s="13">
        <v>149.180634</v>
      </c>
      <c r="I985" s="14">
        <f t="shared" si="15"/>
        <v>1.1491862929020158E-2</v>
      </c>
      <c r="J985" s="14">
        <f>IF(COUNT(B985)=0,"",B985-(INTERCEPT('3. Cleaned Data'!$B$4:$B$1041,'3. Cleaned Data'!$H$4:$H$1041)+SLOPE('3. Cleaned Data'!$B$4:$B$1041,'3. Cleaned Data'!$H$4:$H$1041)*H985))</f>
        <v>0.37887863270404409</v>
      </c>
    </row>
    <row r="986" spans="1:10" x14ac:dyDescent="0.2">
      <c r="A986" s="12">
        <v>43754</v>
      </c>
      <c r="B986" s="13">
        <v>18.4139058192</v>
      </c>
      <c r="C986" s="13">
        <v>151.21000699999999</v>
      </c>
      <c r="D986" s="13">
        <v>152.270004</v>
      </c>
      <c r="E986" s="13">
        <v>151.13999899999999</v>
      </c>
      <c r="F986" s="13">
        <v>151.550003</v>
      </c>
      <c r="G986" s="13">
        <v>149.338303</v>
      </c>
      <c r="H986" s="13">
        <v>149.338303</v>
      </c>
      <c r="I986" s="14">
        <f t="shared" si="15"/>
        <v>1.0568999190605499E-3</v>
      </c>
      <c r="J986" s="14">
        <f>IF(COUNT(B986)=0,"",B986-(INTERCEPT('3. Cleaned Data'!$B$4:$B$1041,'3. Cleaned Data'!$H$4:$H$1041)+SLOPE('3. Cleaned Data'!$B$4:$B$1041,'3. Cleaned Data'!$H$4:$H$1041)*H986))</f>
        <v>-0.21669325578272591</v>
      </c>
    </row>
    <row r="987" spans="1:10" x14ac:dyDescent="0.2">
      <c r="A987" s="12">
        <v>43755</v>
      </c>
      <c r="B987" s="13">
        <v>18.878411979599999</v>
      </c>
      <c r="C987" s="13">
        <v>152.28999300000001</v>
      </c>
      <c r="D987" s="15">
        <v>153.33999600000001</v>
      </c>
      <c r="E987" s="13">
        <v>152.050003</v>
      </c>
      <c r="F987" s="13">
        <v>153.33999600000001</v>
      </c>
      <c r="G987" s="13">
        <v>151.10217299999999</v>
      </c>
      <c r="H987" s="13">
        <v>151.10217299999999</v>
      </c>
      <c r="I987" s="14">
        <f t="shared" si="15"/>
        <v>1.1811236397938796E-2</v>
      </c>
      <c r="J987" s="14">
        <f>IF(COUNT(B987)=0,"",B987-(INTERCEPT('3. Cleaned Data'!$B$4:$B$1041,'3. Cleaned Data'!$H$4:$H$1041)+SLOPE('3. Cleaned Data'!$B$4:$B$1041,'3. Cleaned Data'!$H$4:$H$1041)*H987))</f>
        <v>6.5288451282654592E-3</v>
      </c>
    </row>
    <row r="988" spans="1:10" x14ac:dyDescent="0.2">
      <c r="A988" s="12">
        <v>43756</v>
      </c>
      <c r="B988" s="13">
        <v>18.4870056</v>
      </c>
      <c r="C988" s="13">
        <v>152.929993</v>
      </c>
      <c r="D988" s="13">
        <v>153.5</v>
      </c>
      <c r="E988" s="13">
        <v>151.449997</v>
      </c>
      <c r="F988" s="13">
        <v>152.61000100000001</v>
      </c>
      <c r="G988" s="13">
        <v>150.38282799999999</v>
      </c>
      <c r="H988" s="13">
        <v>150.38282799999999</v>
      </c>
      <c r="I988" s="14">
        <f t="shared" si="15"/>
        <v>-4.7606529126487107E-3</v>
      </c>
      <c r="J988" s="14">
        <f>IF(COUNT(B988)=0,"",B988-(INTERCEPT('3. Cleaned Data'!$B$4:$B$1041,'3. Cleaned Data'!$H$4:$H$1041)+SLOPE('3. Cleaned Data'!$B$4:$B$1041,'3. Cleaned Data'!$H$4:$H$1041)*H988))</f>
        <v>-0.286476585550826</v>
      </c>
    </row>
    <row r="989" spans="1:10" x14ac:dyDescent="0.2">
      <c r="A989" s="12">
        <v>43759</v>
      </c>
      <c r="B989" s="13">
        <v>20.402048568000001</v>
      </c>
      <c r="C989" s="13">
        <v>154.16999799999999</v>
      </c>
      <c r="D989" s="13">
        <v>154.979996</v>
      </c>
      <c r="E989" s="13">
        <v>153.91000399999999</v>
      </c>
      <c r="F989" s="13">
        <v>154.03999300000001</v>
      </c>
      <c r="G989" s="13">
        <v>151.79196200000001</v>
      </c>
      <c r="H989" s="13">
        <v>151.79196200000001</v>
      </c>
      <c r="I989" s="14">
        <f t="shared" si="15"/>
        <v>9.3703118816199638E-3</v>
      </c>
      <c r="J989" s="14">
        <f>IF(COUNT(B989)=0,"",B989-(INTERCEPT('3. Cleaned Data'!$B$4:$B$1041,'3. Cleaned Data'!$H$4:$H$1041)+SLOPE('3. Cleaned Data'!$B$4:$B$1041,'3. Cleaned Data'!$H$4:$H$1041)*H989))</f>
        <v>1.4358075216011628</v>
      </c>
    </row>
    <row r="990" spans="1:10" x14ac:dyDescent="0.2">
      <c r="A990" s="12">
        <v>43760</v>
      </c>
      <c r="B990" s="13">
        <v>19.2252594144</v>
      </c>
      <c r="C990" s="13">
        <v>154.199997</v>
      </c>
      <c r="D990" s="13">
        <v>155.050003</v>
      </c>
      <c r="E990" s="13">
        <v>153.740005</v>
      </c>
      <c r="F990" s="13">
        <v>154.21000699999999</v>
      </c>
      <c r="G990" s="13">
        <v>151.95948799999999</v>
      </c>
      <c r="H990" s="13">
        <v>151.95948799999999</v>
      </c>
      <c r="I990" s="14">
        <f t="shared" si="15"/>
        <v>1.1036552778729281E-3</v>
      </c>
      <c r="J990" s="14">
        <f>IF(COUNT(B990)=0,"",B990-(INTERCEPT('3. Cleaned Data'!$B$4:$B$1041,'3. Cleaned Data'!$H$4:$H$1041)+SLOPE('3. Cleaned Data'!$B$4:$B$1041,'3. Cleaned Data'!$H$4:$H$1041)*H990))</f>
        <v>0.23610207975432118</v>
      </c>
    </row>
    <row r="991" spans="1:10" x14ac:dyDescent="0.2">
      <c r="A991" s="12">
        <v>43761</v>
      </c>
      <c r="B991" s="13">
        <v>20.219944271999999</v>
      </c>
      <c r="C991" s="13">
        <v>154.33999600000001</v>
      </c>
      <c r="D991" s="13">
        <v>154.75</v>
      </c>
      <c r="E991" s="13">
        <v>153.550003</v>
      </c>
      <c r="F991" s="13">
        <v>154.39999399999999</v>
      </c>
      <c r="G991" s="13">
        <v>152.14671300000001</v>
      </c>
      <c r="H991" s="13">
        <v>152.14671300000001</v>
      </c>
      <c r="I991" s="14">
        <f t="shared" si="15"/>
        <v>1.2320718006104681E-3</v>
      </c>
      <c r="J991" s="14">
        <f>IF(COUNT(B991)=0,"",B991-(INTERCEPT('3. Cleaned Data'!$B$4:$B$1041,'3. Cleaned Data'!$H$4:$H$1041)+SLOPE('3. Cleaned Data'!$B$4:$B$1041,'3. Cleaned Data'!$H$4:$H$1041)*H991))</f>
        <v>1.2051759750737503</v>
      </c>
    </row>
    <row r="992" spans="1:10" x14ac:dyDescent="0.2">
      <c r="A992" s="12">
        <v>43762</v>
      </c>
      <c r="B992" s="13">
        <v>20.0037838356</v>
      </c>
      <c r="C992" s="13">
        <v>154.949997</v>
      </c>
      <c r="D992" s="13">
        <v>155.05999800000001</v>
      </c>
      <c r="E992" s="13">
        <v>153.470001</v>
      </c>
      <c r="F992" s="13">
        <v>154.179993</v>
      </c>
      <c r="G992" s="13">
        <v>151.92991599999999</v>
      </c>
      <c r="H992" s="13">
        <v>151.92991599999999</v>
      </c>
      <c r="I992" s="14">
        <f t="shared" si="15"/>
        <v>-1.4249206948033777E-3</v>
      </c>
      <c r="J992" s="14">
        <f>IF(COUNT(B992)=0,"",B992-(INTERCEPT('3. Cleaned Data'!$B$4:$B$1041,'3. Cleaned Data'!$H$4:$H$1041)+SLOPE('3. Cleaned Data'!$B$4:$B$1041,'3. Cleaned Data'!$H$4:$H$1041)*H992))</f>
        <v>1.018671726626966</v>
      </c>
    </row>
    <row r="993" spans="1:10" x14ac:dyDescent="0.2">
      <c r="A993" s="12">
        <v>43763</v>
      </c>
      <c r="B993" s="13">
        <v>18.983593572</v>
      </c>
      <c r="C993" s="13">
        <v>153.91000399999999</v>
      </c>
      <c r="D993" s="13">
        <v>155.529999</v>
      </c>
      <c r="E993" s="13">
        <v>153.89999399999999</v>
      </c>
      <c r="F993" s="13">
        <v>155</v>
      </c>
      <c r="G993" s="13">
        <v>152.73796100000001</v>
      </c>
      <c r="H993" s="13">
        <v>152.73796100000001</v>
      </c>
      <c r="I993" s="14">
        <f t="shared" si="15"/>
        <v>5.3185377921227683E-3</v>
      </c>
      <c r="J993" s="14">
        <f>IF(COUNT(B993)=0,"",B993-(INTERCEPT('3. Cleaned Data'!$B$4:$B$1041,'3. Cleaned Data'!$H$4:$H$1041)+SLOPE('3. Cleaned Data'!$B$4:$B$1041,'3. Cleaned Data'!$H$4:$H$1041)*H993))</f>
        <v>-0.11205297423303406</v>
      </c>
    </row>
    <row r="994" spans="1:10" x14ac:dyDescent="0.2">
      <c r="A994" s="12">
        <v>43766</v>
      </c>
      <c r="B994" s="13">
        <v>19.0074800316</v>
      </c>
      <c r="C994" s="13">
        <v>155.66000399999999</v>
      </c>
      <c r="D994" s="13">
        <v>156.979996</v>
      </c>
      <c r="E994" s="13">
        <v>155.009995</v>
      </c>
      <c r="F994" s="13">
        <v>156.33999600000001</v>
      </c>
      <c r="G994" s="13">
        <v>154.05838</v>
      </c>
      <c r="H994" s="13">
        <v>154.05838</v>
      </c>
      <c r="I994" s="14">
        <f t="shared" si="15"/>
        <v>8.6449955947753843E-3</v>
      </c>
      <c r="J994" s="14">
        <f>IF(COUNT(B994)=0,"",B994-(INTERCEPT('3. Cleaned Data'!$B$4:$B$1041,'3. Cleaned Data'!$H$4:$H$1041)+SLOPE('3. Cleaned Data'!$B$4:$B$1041,'3. Cleaned Data'!$H$4:$H$1041)*H994))</f>
        <v>-0.26878983525553934</v>
      </c>
    </row>
    <row r="995" spans="1:10" x14ac:dyDescent="0.2">
      <c r="A995" s="12">
        <v>43767</v>
      </c>
      <c r="B995" s="13">
        <v>18.710498640000001</v>
      </c>
      <c r="C995" s="13">
        <v>156.009995</v>
      </c>
      <c r="D995" s="13">
        <v>157.33999600000001</v>
      </c>
      <c r="E995" s="13">
        <v>155.86000100000001</v>
      </c>
      <c r="F995" s="13">
        <v>156.85000600000001</v>
      </c>
      <c r="G995" s="13">
        <v>154.56097399999999</v>
      </c>
      <c r="H995" s="13">
        <v>154.56097399999999</v>
      </c>
      <c r="I995" s="14">
        <f t="shared" si="15"/>
        <v>3.2623606713246822E-3</v>
      </c>
      <c r="J995" s="14">
        <f>IF(COUNT(B995)=0,"",B995-(INTERCEPT('3. Cleaned Data'!$B$4:$B$1041,'3. Cleaned Data'!$H$4:$H$1041)+SLOPE('3. Cleaned Data'!$B$4:$B$1041,'3. Cleaned Data'!$H$4:$H$1041)*H995))</f>
        <v>-0.6345222802749042</v>
      </c>
    </row>
    <row r="996" spans="1:10" x14ac:dyDescent="0.2">
      <c r="A996" s="12">
        <v>43768</v>
      </c>
      <c r="B996" s="13">
        <v>19.885772059200001</v>
      </c>
      <c r="C996" s="13">
        <v>156.78999300000001</v>
      </c>
      <c r="D996" s="13">
        <v>156.80999800000001</v>
      </c>
      <c r="E996" s="13">
        <v>155.279999</v>
      </c>
      <c r="F996" s="13">
        <v>156.33000200000001</v>
      </c>
      <c r="G996" s="13">
        <v>154.048553</v>
      </c>
      <c r="H996" s="13">
        <v>154.048553</v>
      </c>
      <c r="I996" s="14">
        <f t="shared" si="15"/>
        <v>-3.3153323684411706E-3</v>
      </c>
      <c r="J996" s="14">
        <f>IF(COUNT(B996)=0,"",B996-(INTERCEPT('3. Cleaned Data'!$B$4:$B$1041,'3. Cleaned Data'!$H$4:$H$1041)+SLOPE('3. Cleaned Data'!$B$4:$B$1041,'3. Cleaned Data'!$H$4:$H$1041)*H996))</f>
        <v>0.61084645153170314</v>
      </c>
    </row>
    <row r="997" spans="1:10" x14ac:dyDescent="0.2">
      <c r="A997" s="12">
        <v>43769</v>
      </c>
      <c r="B997" s="13">
        <v>19.187229139199999</v>
      </c>
      <c r="C997" s="13">
        <v>156.10000600000001</v>
      </c>
      <c r="D997" s="13">
        <v>156.10000600000001</v>
      </c>
      <c r="E997" s="13">
        <v>154.240005</v>
      </c>
      <c r="F997" s="13">
        <v>155.449997</v>
      </c>
      <c r="G997" s="13">
        <v>153.18139600000001</v>
      </c>
      <c r="H997" s="13">
        <v>153.18139600000001</v>
      </c>
      <c r="I997" s="14">
        <f t="shared" si="15"/>
        <v>-5.6291148674404434E-3</v>
      </c>
      <c r="J997" s="14">
        <f>IF(COUNT(B997)=0,"",B997-(INTERCEPT('3. Cleaned Data'!$B$4:$B$1041,'3. Cleaned Data'!$H$4:$H$1041)+SLOPE('3. Cleaned Data'!$B$4:$B$1041,'3. Cleaned Data'!$H$4:$H$1041)*H997))</f>
        <v>3.0924042779304273E-2</v>
      </c>
    </row>
    <row r="998" spans="1:10" x14ac:dyDescent="0.2">
      <c r="A998" s="12">
        <v>43770</v>
      </c>
      <c r="B998" s="13">
        <v>20.653087488000001</v>
      </c>
      <c r="C998" s="13">
        <v>156.39999399999999</v>
      </c>
      <c r="D998" s="13">
        <v>158.19000199999999</v>
      </c>
      <c r="E998" s="13">
        <v>156.050003</v>
      </c>
      <c r="F998" s="13">
        <v>158.10000600000001</v>
      </c>
      <c r="G998" s="13">
        <v>155.792709</v>
      </c>
      <c r="H998" s="13">
        <v>155.792709</v>
      </c>
      <c r="I998" s="14">
        <f t="shared" si="15"/>
        <v>1.7047194164492296E-2</v>
      </c>
      <c r="J998" s="14">
        <f>IF(COUNT(B998)=0,"",B998-(INTERCEPT('3. Cleaned Data'!$B$4:$B$1041,'3. Cleaned Data'!$H$4:$H$1041)+SLOPE('3. Cleaned Data'!$B$4:$B$1041,'3. Cleaned Data'!$H$4:$H$1041)*H998))</f>
        <v>1.1395745467628409</v>
      </c>
    </row>
    <row r="999" spans="1:10" x14ac:dyDescent="0.2">
      <c r="A999" s="12">
        <v>43773</v>
      </c>
      <c r="B999" s="13">
        <v>19.157075409600001</v>
      </c>
      <c r="C999" s="13">
        <v>159.39999399999999</v>
      </c>
      <c r="D999" s="13">
        <v>159.699997</v>
      </c>
      <c r="E999" s="13">
        <v>158.470001</v>
      </c>
      <c r="F999" s="13">
        <v>158.949997</v>
      </c>
      <c r="G999" s="13">
        <v>156.63031000000001</v>
      </c>
      <c r="H999" s="13">
        <v>156.63031000000001</v>
      </c>
      <c r="I999" s="14">
        <f t="shared" si="15"/>
        <v>5.3763812528608845E-3</v>
      </c>
      <c r="J999" s="14">
        <f>IF(COUNT(B999)=0,"",B999-(INTERCEPT('3. Cleaned Data'!$B$4:$B$1041,'3. Cleaned Data'!$H$4:$H$1041)+SLOPE('3. Cleaned Data'!$B$4:$B$1041,'3. Cleaned Data'!$H$4:$H$1041)*H999))</f>
        <v>-0.4710150058909619</v>
      </c>
    </row>
    <row r="1000" spans="1:10" x14ac:dyDescent="0.2">
      <c r="A1000" s="12">
        <v>43774</v>
      </c>
      <c r="B1000" s="13">
        <v>18.701039399999999</v>
      </c>
      <c r="C1000" s="13">
        <v>159.39999399999999</v>
      </c>
      <c r="D1000" s="13">
        <v>160.46000699999999</v>
      </c>
      <c r="E1000" s="13">
        <v>158.970001</v>
      </c>
      <c r="F1000" s="13">
        <v>159.14999399999999</v>
      </c>
      <c r="G1000" s="13">
        <v>156.827393</v>
      </c>
      <c r="H1000" s="13">
        <v>156.827393</v>
      </c>
      <c r="I1000" s="14">
        <f t="shared" si="15"/>
        <v>1.2582685943736127E-3</v>
      </c>
      <c r="J1000" s="14">
        <f>IF(COUNT(B1000)=0,"",B1000-(INTERCEPT('3. Cleaned Data'!$B$4:$B$1041,'3. Cleaned Data'!$H$4:$H$1041)+SLOPE('3. Cleaned Data'!$B$4:$B$1041,'3. Cleaned Data'!$H$4:$H$1041)*H1000))</f>
        <v>-0.95401047752403301</v>
      </c>
    </row>
    <row r="1001" spans="1:10" x14ac:dyDescent="0.2">
      <c r="A1001" s="12">
        <v>43775</v>
      </c>
      <c r="B1001" s="13">
        <v>19.0690275816</v>
      </c>
      <c r="C1001" s="13">
        <v>158.990005</v>
      </c>
      <c r="D1001" s="13">
        <v>158.990005</v>
      </c>
      <c r="E1001" s="13">
        <v>157.80999800000001</v>
      </c>
      <c r="F1001" s="13">
        <v>158.229996</v>
      </c>
      <c r="G1001" s="13">
        <v>155.92082199999999</v>
      </c>
      <c r="H1001" s="13">
        <v>155.92082199999999</v>
      </c>
      <c r="I1001" s="14">
        <f t="shared" si="15"/>
        <v>-5.7806929175951982E-3</v>
      </c>
      <c r="J1001" s="14">
        <f>IF(COUNT(B1001)=0,"",B1001-(INTERCEPT('3. Cleaned Data'!$B$4:$B$1041,'3. Cleaned Data'!$H$4:$H$1041)+SLOPE('3. Cleaned Data'!$B$4:$B$1041,'3. Cleaned Data'!$H$4:$H$1041)*H1001))</f>
        <v>-0.4620102479301238</v>
      </c>
    </row>
    <row r="1002" spans="1:10" x14ac:dyDescent="0.2">
      <c r="A1002" s="12">
        <v>43776</v>
      </c>
      <c r="B1002" s="13">
        <v>20.671297547999998</v>
      </c>
      <c r="C1002" s="13">
        <v>159.740005</v>
      </c>
      <c r="D1002" s="13">
        <v>160.16999799999999</v>
      </c>
      <c r="E1002" s="13">
        <v>158.16999799999999</v>
      </c>
      <c r="F1002" s="13">
        <v>158.64999399999999</v>
      </c>
      <c r="G1002" s="13">
        <v>156.334686</v>
      </c>
      <c r="H1002" s="13">
        <v>156.334686</v>
      </c>
      <c r="I1002" s="14">
        <f t="shared" si="15"/>
        <v>2.6543215632868211E-3</v>
      </c>
      <c r="J1002" s="14">
        <f>IF(COUNT(B1002)=0,"",B1002-(INTERCEPT('3. Cleaned Data'!$B$4:$B$1041,'3. Cleaned Data'!$H$4:$H$1041)+SLOPE('3. Cleaned Data'!$B$4:$B$1041,'3. Cleaned Data'!$H$4:$H$1041)*H1002))</f>
        <v>1.0836462571624281</v>
      </c>
    </row>
    <row r="1003" spans="1:10" x14ac:dyDescent="0.2">
      <c r="A1003" s="12">
        <v>43777</v>
      </c>
      <c r="B1003" s="13">
        <v>20.431821841200001</v>
      </c>
      <c r="C1003" s="13">
        <v>158.279999</v>
      </c>
      <c r="D1003" s="13">
        <v>159.270004</v>
      </c>
      <c r="E1003" s="13">
        <v>157.949997</v>
      </c>
      <c r="F1003" s="13">
        <v>159.08000200000001</v>
      </c>
      <c r="G1003" s="13">
        <v>156.758408</v>
      </c>
      <c r="H1003" s="13">
        <v>156.758408</v>
      </c>
      <c r="I1003" s="14">
        <f t="shared" si="15"/>
        <v>2.7103518153355211E-3</v>
      </c>
      <c r="J1003" s="14">
        <f>IF(COUNT(B1003)=0,"",B1003-(INTERCEPT('3. Cleaned Data'!$B$4:$B$1041,'3. Cleaned Data'!$H$4:$H$1041)+SLOPE('3. Cleaned Data'!$B$4:$B$1041,'3. Cleaned Data'!$H$4:$H$1041)*H1003))</f>
        <v>0.78620858930248971</v>
      </c>
    </row>
    <row r="1004" spans="1:10" x14ac:dyDescent="0.2">
      <c r="A1004" s="12">
        <v>43780</v>
      </c>
      <c r="B1004" s="13">
        <v>20.507867653200002</v>
      </c>
      <c r="C1004" s="13">
        <v>158.029999</v>
      </c>
      <c r="D1004" s="13">
        <v>158.89999399999999</v>
      </c>
      <c r="E1004" s="13">
        <v>157.88000500000001</v>
      </c>
      <c r="F1004" s="13">
        <v>158.779999</v>
      </c>
      <c r="G1004" s="13">
        <v>156.462784</v>
      </c>
      <c r="H1004" s="13">
        <v>156.462784</v>
      </c>
      <c r="I1004" s="14">
        <f t="shared" si="15"/>
        <v>-1.8858573761478814E-3</v>
      </c>
      <c r="J1004" s="14">
        <f>IF(COUNT(B1004)=0,"",B1004-(INTERCEPT('3. Cleaned Data'!$B$4:$B$1041,'3. Cleaned Data'!$H$4:$H$1041)+SLOPE('3. Cleaned Data'!$B$4:$B$1041,'3. Cleaned Data'!$H$4:$H$1041)*H1004))</f>
        <v>0.90269352595588259</v>
      </c>
    </row>
    <row r="1005" spans="1:10" x14ac:dyDescent="0.2">
      <c r="A1005" s="12">
        <v>43781</v>
      </c>
      <c r="B1005" s="13">
        <v>20.430532545599998</v>
      </c>
      <c r="C1005" s="13">
        <v>158.929993</v>
      </c>
      <c r="D1005" s="13">
        <v>159.88000500000001</v>
      </c>
      <c r="E1005" s="13">
        <v>158.490005</v>
      </c>
      <c r="F1005" s="13">
        <v>158.83000200000001</v>
      </c>
      <c r="G1005" s="13">
        <v>156.51205400000001</v>
      </c>
      <c r="H1005" s="13">
        <v>156.51205400000001</v>
      </c>
      <c r="I1005" s="14">
        <f t="shared" si="15"/>
        <v>3.1489916477522861E-4</v>
      </c>
      <c r="J1005" s="14">
        <f>IF(COUNT(B1005)=0,"",B1005-(INTERCEPT('3. Cleaned Data'!$B$4:$B$1041,'3. Cleaned Data'!$H$4:$H$1041)+SLOPE('3. Cleaned Data'!$B$4:$B$1041,'3. Cleaned Data'!$H$4:$H$1041)*H1005))</f>
        <v>0.8186186554419308</v>
      </c>
    </row>
    <row r="1006" spans="1:10" x14ac:dyDescent="0.2">
      <c r="A1006" s="12">
        <v>43782</v>
      </c>
      <c r="B1006" s="13">
        <v>20.516509331999998</v>
      </c>
      <c r="C1006" s="13">
        <v>157.740005</v>
      </c>
      <c r="D1006" s="13">
        <v>158.5</v>
      </c>
      <c r="E1006" s="13">
        <v>157.19000199999999</v>
      </c>
      <c r="F1006" s="13">
        <v>158.14999399999999</v>
      </c>
      <c r="G1006" s="13">
        <v>155.841995</v>
      </c>
      <c r="H1006" s="13">
        <v>155.841995</v>
      </c>
      <c r="I1006" s="14">
        <f t="shared" si="15"/>
        <v>-4.2811974086034432E-3</v>
      </c>
      <c r="J1006" s="14">
        <f>IF(COUNT(B1006)=0,"",B1006-(INTERCEPT('3. Cleaned Data'!$B$4:$B$1041,'3. Cleaned Data'!$H$4:$H$1041)+SLOPE('3. Cleaned Data'!$B$4:$B$1041,'3. Cleaned Data'!$H$4:$H$1041)*H1006))</f>
        <v>0.9962544391700483</v>
      </c>
    </row>
    <row r="1007" spans="1:10" x14ac:dyDescent="0.2">
      <c r="A1007" s="12">
        <v>43783</v>
      </c>
      <c r="B1007" s="13">
        <v>20.580245399999999</v>
      </c>
      <c r="C1007" s="13">
        <v>157.929993</v>
      </c>
      <c r="D1007" s="13">
        <v>158.91000399999999</v>
      </c>
      <c r="E1007" s="13">
        <v>157.78999300000001</v>
      </c>
      <c r="F1007" s="13">
        <v>158.10000600000001</v>
      </c>
      <c r="G1007" s="13">
        <v>155.792709</v>
      </c>
      <c r="H1007" s="13">
        <v>155.792709</v>
      </c>
      <c r="I1007" s="14">
        <f t="shared" si="15"/>
        <v>-3.162562183575135E-4</v>
      </c>
      <c r="J1007" s="14">
        <f>IF(COUNT(B1007)=0,"",B1007-(INTERCEPT('3. Cleaned Data'!$B$4:$B$1041,'3. Cleaned Data'!$H$4:$H$1041)+SLOPE('3. Cleaned Data'!$B$4:$B$1041,'3. Cleaned Data'!$H$4:$H$1041)*H1007))</f>
        <v>1.0667324587628393</v>
      </c>
    </row>
    <row r="1008" spans="1:10" x14ac:dyDescent="0.2">
      <c r="A1008" s="12">
        <v>43784</v>
      </c>
      <c r="B1008" s="13">
        <v>19.106630880000001</v>
      </c>
      <c r="C1008" s="13">
        <v>159.229996</v>
      </c>
      <c r="D1008" s="13">
        <v>159.28999300000001</v>
      </c>
      <c r="E1008" s="13">
        <v>158.35000600000001</v>
      </c>
      <c r="F1008" s="13">
        <v>158.91999799999999</v>
      </c>
      <c r="G1008" s="13">
        <v>156.600739</v>
      </c>
      <c r="H1008" s="13">
        <v>156.600739</v>
      </c>
      <c r="I1008" s="14">
        <f t="shared" si="15"/>
        <v>5.1865713433354443E-3</v>
      </c>
      <c r="J1008" s="14">
        <f>IF(COUNT(B1008)=0,"",B1008-(INTERCEPT('3. Cleaned Data'!$B$4:$B$1041,'3. Cleaned Data'!$H$4:$H$1041)+SLOPE('3. Cleaned Data'!$B$4:$B$1041,'3. Cleaned Data'!$H$4:$H$1041)*H1008))</f>
        <v>-0.51741444661074354</v>
      </c>
    </row>
    <row r="1009" spans="1:10" x14ac:dyDescent="0.2">
      <c r="A1009" s="12">
        <v>43787</v>
      </c>
      <c r="B1009" s="13">
        <v>19.3108369656</v>
      </c>
      <c r="C1009" s="13">
        <v>158.720001</v>
      </c>
      <c r="D1009" s="13">
        <v>158.740005</v>
      </c>
      <c r="E1009" s="13">
        <v>157.94000199999999</v>
      </c>
      <c r="F1009" s="13">
        <v>158.520004</v>
      </c>
      <c r="G1009" s="13">
        <v>156.20658900000001</v>
      </c>
      <c r="H1009" s="13">
        <v>156.20658900000001</v>
      </c>
      <c r="I1009" s="14">
        <f t="shared" si="15"/>
        <v>-2.516910217135071E-3</v>
      </c>
      <c r="J1009" s="14">
        <f>IF(COUNT(B1009)=0,"",B1009-(INTERCEPT('3. Cleaned Data'!$B$4:$B$1041,'3. Cleaned Data'!$H$4:$H$1041)+SLOPE('3. Cleaned Data'!$B$4:$B$1041,'3. Cleaned Data'!$H$4:$H$1041)*H1009))</f>
        <v>-0.25929162562344743</v>
      </c>
    </row>
    <row r="1010" spans="1:10" x14ac:dyDescent="0.2">
      <c r="A1010" s="12">
        <v>43788</v>
      </c>
      <c r="B1010" s="13">
        <v>20.024620511999998</v>
      </c>
      <c r="C1010" s="13">
        <v>159.11000100000001</v>
      </c>
      <c r="D1010" s="13">
        <v>159.699997</v>
      </c>
      <c r="E1010" s="13">
        <v>158.30999800000001</v>
      </c>
      <c r="F1010" s="13">
        <v>159.11000100000001</v>
      </c>
      <c r="G1010" s="13">
        <v>156.78797900000001</v>
      </c>
      <c r="H1010" s="13">
        <v>156.78797900000001</v>
      </c>
      <c r="I1010" s="14">
        <f t="shared" si="15"/>
        <v>3.7219300653188458E-3</v>
      </c>
      <c r="J1010" s="14">
        <f>IF(COUNT(B1010)=0,"",B1010-(INTERCEPT('3. Cleaned Data'!$B$4:$B$1041,'3. Cleaned Data'!$H$4:$H$1041)+SLOPE('3. Cleaned Data'!$B$4:$B$1041,'3. Cleaned Data'!$H$4:$H$1041)*H1010))</f>
        <v>0.37496217122226838</v>
      </c>
    </row>
    <row r="1011" spans="1:10" x14ac:dyDescent="0.2">
      <c r="A1011" s="12">
        <v>43789</v>
      </c>
      <c r="B1011" s="13">
        <v>20.468136657599999</v>
      </c>
      <c r="C1011" s="13">
        <v>158.550003</v>
      </c>
      <c r="D1011" s="13">
        <v>159.60000600000001</v>
      </c>
      <c r="E1011" s="13">
        <v>157.259995</v>
      </c>
      <c r="F1011" s="13">
        <v>158.509995</v>
      </c>
      <c r="G1011" s="13">
        <v>156.196732</v>
      </c>
      <c r="H1011" s="13">
        <v>156.196732</v>
      </c>
      <c r="I1011" s="14">
        <f t="shared" si="15"/>
        <v>-3.7709970099175649E-3</v>
      </c>
      <c r="J1011" s="14">
        <f>IF(COUNT(B1011)=0,"",B1011-(INTERCEPT('3. Cleaned Data'!$B$4:$B$1041,'3. Cleaned Data'!$H$4:$H$1041)+SLOPE('3. Cleaned Data'!$B$4:$B$1041,'3. Cleaned Data'!$H$4:$H$1041)*H1011))</f>
        <v>0.89935642933662407</v>
      </c>
    </row>
    <row r="1012" spans="1:10" x14ac:dyDescent="0.2">
      <c r="A1012" s="12">
        <v>43790</v>
      </c>
      <c r="B1012" s="13">
        <v>19.510534268400001</v>
      </c>
      <c r="C1012" s="13">
        <v>158.820007</v>
      </c>
      <c r="D1012" s="13">
        <v>158.88999899999999</v>
      </c>
      <c r="E1012" s="13">
        <v>157.229996</v>
      </c>
      <c r="F1012" s="13">
        <v>157.729996</v>
      </c>
      <c r="G1012" s="13">
        <v>155.428101</v>
      </c>
      <c r="H1012" s="13">
        <v>155.428101</v>
      </c>
      <c r="I1012" s="14">
        <f t="shared" si="15"/>
        <v>-4.9209160150675002E-3</v>
      </c>
      <c r="J1012" s="14">
        <f>IF(COUNT(B1012)=0,"",B1012-(INTERCEPT('3. Cleaned Data'!$B$4:$B$1041,'3. Cleaned Data'!$H$4:$H$1041)+SLOPE('3. Cleaned Data'!$B$4:$B$1041,'3. Cleaned Data'!$H$4:$H$1041)*H1012))</f>
        <v>4.6896940650324126E-2</v>
      </c>
    </row>
    <row r="1013" spans="1:10" x14ac:dyDescent="0.2">
      <c r="A1013" s="12">
        <v>43791</v>
      </c>
      <c r="B1013" s="13">
        <v>20.392513344000001</v>
      </c>
      <c r="C1013" s="13">
        <v>158.30999800000001</v>
      </c>
      <c r="D1013" s="13">
        <v>158.53999300000001</v>
      </c>
      <c r="E1013" s="13">
        <v>157.35000600000001</v>
      </c>
      <c r="F1013" s="13">
        <v>158.220001</v>
      </c>
      <c r="G1013" s="13">
        <v>155.91095000000001</v>
      </c>
      <c r="H1013" s="13">
        <v>155.91095000000001</v>
      </c>
      <c r="I1013" s="14">
        <f t="shared" si="15"/>
        <v>3.1065746598808452E-3</v>
      </c>
      <c r="J1013" s="14">
        <f>IF(COUNT(B1013)=0,"",B1013-(INTERCEPT('3. Cleaned Data'!$B$4:$B$1041,'3. Cleaned Data'!$H$4:$H$1041)+SLOPE('3. Cleaned Data'!$B$4:$B$1041,'3. Cleaned Data'!$H$4:$H$1041)*H1013))</f>
        <v>0.8628259293163616</v>
      </c>
    </row>
    <row r="1014" spans="1:10" x14ac:dyDescent="0.2">
      <c r="A1014" s="12">
        <v>43794</v>
      </c>
      <c r="B1014" s="13">
        <v>19.012031279999999</v>
      </c>
      <c r="C1014" s="13">
        <v>159.029999</v>
      </c>
      <c r="D1014" s="13">
        <v>161.83000200000001</v>
      </c>
      <c r="E1014" s="13">
        <v>158.88999899999999</v>
      </c>
      <c r="F1014" s="13">
        <v>161.58000200000001</v>
      </c>
      <c r="G1014" s="13">
        <v>159.221924</v>
      </c>
      <c r="H1014" s="13">
        <v>159.221924</v>
      </c>
      <c r="I1014" s="14">
        <f t="shared" si="15"/>
        <v>2.1236314704002446E-2</v>
      </c>
      <c r="J1014" s="14">
        <f>IF(COUNT(B1014)=0,"",B1014-(INTERCEPT('3. Cleaned Data'!$B$4:$B$1041,'3. Cleaned Data'!$H$4:$H$1041)+SLOPE('3. Cleaned Data'!$B$4:$B$1041,'3. Cleaned Data'!$H$4:$H$1041)*H1014))</f>
        <v>-0.97057230627369862</v>
      </c>
    </row>
    <row r="1015" spans="1:10" x14ac:dyDescent="0.2">
      <c r="A1015" s="12">
        <v>43795</v>
      </c>
      <c r="B1015" s="13">
        <v>19.030953360000002</v>
      </c>
      <c r="C1015" s="13">
        <v>161.75</v>
      </c>
      <c r="D1015" s="13">
        <v>162.53999300000001</v>
      </c>
      <c r="E1015" s="13">
        <v>161.28999300000001</v>
      </c>
      <c r="F1015" s="13">
        <v>161.69000199999999</v>
      </c>
      <c r="G1015" s="13">
        <v>159.33033800000001</v>
      </c>
      <c r="H1015" s="13">
        <v>159.33033800000001</v>
      </c>
      <c r="I1015" s="14">
        <f t="shared" si="15"/>
        <v>6.8089869332332853E-4</v>
      </c>
      <c r="J1015" s="14">
        <f>IF(COUNT(B1015)=0,"",B1015-(INTERCEPT('3. Cleaned Data'!$B$4:$B$1041,'3. Cleaned Data'!$H$4:$H$1041)+SLOPE('3. Cleaned Data'!$B$4:$B$1041,'3. Cleaned Data'!$H$4:$H$1041)*H1015))</f>
        <v>-0.96648044053293702</v>
      </c>
    </row>
    <row r="1016" spans="1:10" x14ac:dyDescent="0.2">
      <c r="A1016" s="12">
        <v>43796</v>
      </c>
      <c r="B1016" s="13">
        <v>20.215922832</v>
      </c>
      <c r="C1016" s="13">
        <v>162.38000500000001</v>
      </c>
      <c r="D1016" s="13">
        <v>162.929993</v>
      </c>
      <c r="E1016" s="13">
        <v>162.08000200000001</v>
      </c>
      <c r="F1016" s="13">
        <v>162.83000200000001</v>
      </c>
      <c r="G1016" s="13">
        <v>160.45368999999999</v>
      </c>
      <c r="H1016" s="13">
        <v>160.45368999999999</v>
      </c>
      <c r="I1016" s="14">
        <f t="shared" si="15"/>
        <v>7.0504589025599529E-3</v>
      </c>
      <c r="J1016" s="14">
        <f>IF(COUNT(B1016)=0,"",B1016-(INTERCEPT('3. Cleaned Data'!$B$4:$B$1041,'3. Cleaned Data'!$H$4:$H$1041)+SLOPE('3. Cleaned Data'!$B$4:$B$1041,'3. Cleaned Data'!$H$4:$H$1041)*H1016))</f>
        <v>6.4822984198787736E-2</v>
      </c>
    </row>
    <row r="1017" spans="1:10" x14ac:dyDescent="0.2">
      <c r="A1017" s="12">
        <v>43798</v>
      </c>
      <c r="B1017" s="13">
        <v>19.9852682016</v>
      </c>
      <c r="C1017" s="13">
        <v>162.41000399999999</v>
      </c>
      <c r="D1017" s="13">
        <v>162.78999300000001</v>
      </c>
      <c r="E1017" s="13">
        <v>161.66999799999999</v>
      </c>
      <c r="F1017" s="13">
        <v>161.770004</v>
      </c>
      <c r="G1017" s="13">
        <v>159.409164</v>
      </c>
      <c r="H1017" s="13">
        <v>159.409164</v>
      </c>
      <c r="I1017" s="14">
        <f t="shared" si="15"/>
        <v>-6.5098284744962154E-3</v>
      </c>
      <c r="J1017" s="14">
        <f>IF(COUNT(B1017)=0,"",B1017-(INTERCEPT('3. Cleaned Data'!$B$4:$B$1041,'3. Cleaned Data'!$H$4:$H$1041)+SLOPE('3. Cleaned Data'!$B$4:$B$1041,'3. Cleaned Data'!$H$4:$H$1041)*H1017))</f>
        <v>-2.2948398840686224E-2</v>
      </c>
    </row>
    <row r="1018" spans="1:10" x14ac:dyDescent="0.2">
      <c r="A1018" s="12">
        <v>43801</v>
      </c>
      <c r="B1018" s="13">
        <v>20.382134697600002</v>
      </c>
      <c r="C1018" s="13">
        <v>162.14999399999999</v>
      </c>
      <c r="D1018" s="13">
        <v>162.21000699999999</v>
      </c>
      <c r="E1018" s="13">
        <v>159.91000399999999</v>
      </c>
      <c r="F1018" s="13">
        <v>160.19000199999999</v>
      </c>
      <c r="G1018" s="13">
        <v>157.85221899999999</v>
      </c>
      <c r="H1018" s="13">
        <v>157.85221899999999</v>
      </c>
      <c r="I1018" s="14">
        <f t="shared" si="15"/>
        <v>-9.7669729953543394E-3</v>
      </c>
      <c r="J1018" s="14">
        <f>IF(COUNT(B1018)=0,"",B1018-(INTERCEPT('3. Cleaned Data'!$B$4:$B$1041,'3. Cleaned Data'!$H$4:$H$1041)+SLOPE('3. Cleaned Data'!$B$4:$B$1041,'3. Cleaned Data'!$H$4:$H$1041)*H1018))</f>
        <v>0.58689638354159968</v>
      </c>
    </row>
    <row r="1019" spans="1:10" x14ac:dyDescent="0.2">
      <c r="A1019" s="12">
        <v>43802</v>
      </c>
      <c r="B1019" s="13">
        <v>19.22251644</v>
      </c>
      <c r="C1019" s="13">
        <v>158.820007</v>
      </c>
      <c r="D1019" s="13">
        <v>159.759995</v>
      </c>
      <c r="E1019" s="13">
        <v>158.10000600000001</v>
      </c>
      <c r="F1019" s="13">
        <v>159.679993</v>
      </c>
      <c r="G1019" s="13">
        <v>157.34963999999999</v>
      </c>
      <c r="H1019" s="13">
        <v>157.34963999999999</v>
      </c>
      <c r="I1019" s="14">
        <f t="shared" si="15"/>
        <v>-3.1838576814684494E-3</v>
      </c>
      <c r="J1019" s="14">
        <f>IF(COUNT(B1019)=0,"",B1019-(INTERCEPT('3. Cleaned Data'!$B$4:$B$1041,'3. Cleaned Data'!$H$4:$H$1041)+SLOPE('3. Cleaned Data'!$B$4:$B$1041,'3. Cleaned Data'!$H$4:$H$1041)*H1019))</f>
        <v>-0.50397287252545198</v>
      </c>
    </row>
    <row r="1020" spans="1:10" x14ac:dyDescent="0.2">
      <c r="A1020" s="12">
        <v>43803</v>
      </c>
      <c r="B1020" s="13">
        <v>19.388064</v>
      </c>
      <c r="C1020" s="13">
        <v>160.5</v>
      </c>
      <c r="D1020" s="13">
        <v>161.220001</v>
      </c>
      <c r="E1020" s="13">
        <v>160.300003</v>
      </c>
      <c r="F1020" s="13">
        <v>160.779999</v>
      </c>
      <c r="G1020" s="13">
        <v>158.433594</v>
      </c>
      <c r="H1020" s="13">
        <v>158.433594</v>
      </c>
      <c r="I1020" s="14">
        <f t="shared" si="15"/>
        <v>6.888824149835937E-3</v>
      </c>
      <c r="J1020" s="14">
        <f>IF(COUNT(B1020)=0,"",B1020-(INTERCEPT('3. Cleaned Data'!$B$4:$B$1041,'3. Cleaned Data'!$H$4:$H$1041)+SLOPE('3. Cleaned Data'!$B$4:$B$1041,'3. Cleaned Data'!$H$4:$H$1041)*H1020))</f>
        <v>-0.48670201172627259</v>
      </c>
    </row>
    <row r="1021" spans="1:10" x14ac:dyDescent="0.2">
      <c r="A1021" s="12">
        <v>43804</v>
      </c>
      <c r="B1021" s="13">
        <v>19.699838870400001</v>
      </c>
      <c r="C1021" s="13">
        <v>161.470001</v>
      </c>
      <c r="D1021" s="13">
        <v>161.64999399999999</v>
      </c>
      <c r="E1021" s="13">
        <v>160.449997</v>
      </c>
      <c r="F1021" s="13">
        <v>160.94000199999999</v>
      </c>
      <c r="G1021" s="13">
        <v>158.59127799999999</v>
      </c>
      <c r="H1021" s="13">
        <v>158.59127799999999</v>
      </c>
      <c r="I1021" s="14">
        <f t="shared" si="15"/>
        <v>9.9526871807253947E-4</v>
      </c>
      <c r="J1021" s="14">
        <f>IF(COUNT(B1021)=0,"",B1021-(INTERCEPT('3. Cleaned Data'!$B$4:$B$1041,'3. Cleaned Data'!$H$4:$H$1041)+SLOPE('3. Cleaned Data'!$B$4:$B$1041,'3. Cleaned Data'!$H$4:$H$1041)*H1021))</f>
        <v>-0.19649711849945461</v>
      </c>
    </row>
    <row r="1022" spans="1:10" x14ac:dyDescent="0.2">
      <c r="A1022" s="12">
        <v>43805</v>
      </c>
      <c r="B1022" s="13">
        <v>21.394667051999999</v>
      </c>
      <c r="C1022" s="13">
        <v>162.58999600000001</v>
      </c>
      <c r="D1022" s="13">
        <v>163.41000399999999</v>
      </c>
      <c r="E1022" s="13">
        <v>162.5</v>
      </c>
      <c r="F1022" s="13">
        <v>162.820007</v>
      </c>
      <c r="G1022" s="13">
        <v>160.44383199999999</v>
      </c>
      <c r="H1022" s="13">
        <v>160.44383199999999</v>
      </c>
      <c r="I1022" s="14">
        <f t="shared" si="15"/>
        <v>1.1681310746483708E-2</v>
      </c>
      <c r="J1022" s="14">
        <f>IF(COUNT(B1022)=0,"",B1022-(INTERCEPT('3. Cleaned Data'!$B$4:$B$1041,'3. Cleaned Data'!$H$4:$H$1041)+SLOPE('3. Cleaned Data'!$B$4:$B$1041,'3. Cleaned Data'!$H$4:$H$1041)*H1022))</f>
        <v>1.244915703951289</v>
      </c>
    </row>
    <row r="1023" spans="1:10" x14ac:dyDescent="0.2">
      <c r="A1023" s="12">
        <v>43808</v>
      </c>
      <c r="B1023" s="13">
        <v>20.133426480000001</v>
      </c>
      <c r="C1023" s="13">
        <v>162.75</v>
      </c>
      <c r="D1023" s="13">
        <v>163.16000399999999</v>
      </c>
      <c r="E1023" s="13">
        <v>162.38999899999999</v>
      </c>
      <c r="F1023" s="13">
        <v>162.509995</v>
      </c>
      <c r="G1023" s="13">
        <v>160.13836699999999</v>
      </c>
      <c r="H1023" s="13">
        <v>160.13836699999999</v>
      </c>
      <c r="I1023" s="14">
        <f t="shared" si="15"/>
        <v>-1.9038749959550127E-3</v>
      </c>
      <c r="J1023" s="14">
        <f>IF(COUNT(B1023)=0,"",B1023-(INTERCEPT('3. Cleaned Data'!$B$4:$B$1041,'3. Cleaned Data'!$H$4:$H$1041)+SLOPE('3. Cleaned Data'!$B$4:$B$1041,'3. Cleaned Data'!$H$4:$H$1041)*H1023))</f>
        <v>2.5460430885910768E-2</v>
      </c>
    </row>
    <row r="1024" spans="1:10" x14ac:dyDescent="0.2">
      <c r="A1024" s="12">
        <v>43809</v>
      </c>
      <c r="B1024" s="13">
        <v>20.564243531999999</v>
      </c>
      <c r="C1024" s="13">
        <v>162.41000399999999</v>
      </c>
      <c r="D1024" s="13">
        <v>162.96000699999999</v>
      </c>
      <c r="E1024" s="13">
        <v>161.94000199999999</v>
      </c>
      <c r="F1024" s="13">
        <v>162.61000100000001</v>
      </c>
      <c r="G1024" s="13">
        <v>160.236908</v>
      </c>
      <c r="H1024" s="13">
        <v>160.236908</v>
      </c>
      <c r="I1024" s="14">
        <f t="shared" si="15"/>
        <v>6.1534909994431786E-4</v>
      </c>
      <c r="J1024" s="14">
        <f>IF(COUNT(B1024)=0,"",B1024-(INTERCEPT('3. Cleaned Data'!$B$4:$B$1041,'3. Cleaned Data'!$H$4:$H$1041)+SLOPE('3. Cleaned Data'!$B$4:$B$1041,'3. Cleaned Data'!$H$4:$H$1041)*H1024))</f>
        <v>0.44279782026558578</v>
      </c>
    </row>
    <row r="1025" spans="1:10" x14ac:dyDescent="0.2">
      <c r="A1025" s="12">
        <v>43810</v>
      </c>
      <c r="B1025" s="13">
        <v>20.0626423848</v>
      </c>
      <c r="C1025" s="13">
        <v>162.88000500000001</v>
      </c>
      <c r="D1025" s="13">
        <v>163.08000200000001</v>
      </c>
      <c r="E1025" s="13">
        <v>161.949997</v>
      </c>
      <c r="F1025" s="13">
        <v>162.55999800000001</v>
      </c>
      <c r="G1025" s="13">
        <v>160.187637</v>
      </c>
      <c r="H1025" s="13">
        <v>160.187637</v>
      </c>
      <c r="I1025" s="14">
        <f t="shared" si="15"/>
        <v>-3.0748845952521808E-4</v>
      </c>
      <c r="J1025" s="14">
        <f>IF(COUNT(B1025)=0,"",B1025-(INTERCEPT('3. Cleaned Data'!$B$4:$B$1041,'3. Cleaned Data'!$H$4:$H$1041)+SLOPE('3. Cleaned Data'!$B$4:$B$1041,'3. Cleaned Data'!$H$4:$H$1041)*H1025))</f>
        <v>-5.206342722803825E-2</v>
      </c>
    </row>
    <row r="1026" spans="1:10" x14ac:dyDescent="0.2">
      <c r="A1026" s="12">
        <v>43811</v>
      </c>
      <c r="B1026" s="13">
        <v>21.667517256</v>
      </c>
      <c r="C1026" s="13">
        <v>162.75</v>
      </c>
      <c r="D1026" s="13">
        <v>165.10000600000001</v>
      </c>
      <c r="E1026" s="13">
        <v>162.25</v>
      </c>
      <c r="F1026" s="13">
        <v>163.96000699999999</v>
      </c>
      <c r="G1026" s="13">
        <v>161.56720000000001</v>
      </c>
      <c r="H1026" s="13">
        <v>161.56720000000001</v>
      </c>
      <c r="I1026" s="14">
        <f t="shared" si="15"/>
        <v>8.6121689902949328E-3</v>
      </c>
      <c r="J1026" s="14">
        <f>IF(COUNT(B1026)=0,"",B1026-(INTERCEPT('3. Cleaned Data'!$B$4:$B$1041,'3. Cleaned Data'!$H$4:$H$1041)+SLOPE('3. Cleaned Data'!$B$4:$B$1041,'3. Cleaned Data'!$H$4:$H$1041)*H1026))</f>
        <v>1.3640976720041635</v>
      </c>
    </row>
    <row r="1027" spans="1:10" x14ac:dyDescent="0.2">
      <c r="A1027" s="12">
        <v>43812</v>
      </c>
      <c r="B1027" s="13">
        <v>20.131647343200001</v>
      </c>
      <c r="C1027" s="13">
        <v>163.729996</v>
      </c>
      <c r="D1027" s="13">
        <v>164.80999800000001</v>
      </c>
      <c r="E1027" s="13">
        <v>162.550003</v>
      </c>
      <c r="F1027" s="13">
        <v>163.33000200000001</v>
      </c>
      <c r="G1027" s="13">
        <v>160.94639599999999</v>
      </c>
      <c r="H1027" s="13">
        <v>160.94639599999999</v>
      </c>
      <c r="I1027" s="14">
        <f t="shared" si="15"/>
        <v>-3.8423888016876351E-3</v>
      </c>
      <c r="J1027" s="14">
        <f>IF(COUNT(B1027)=0,"",B1027-(INTERCEPT('3. Cleaned Data'!$B$4:$B$1041,'3. Cleaned Data'!$H$4:$H$1041)+SLOPE('3. Cleaned Data'!$B$4:$B$1041,'3. Cleaned Data'!$H$4:$H$1041)*H1027))</f>
        <v>-8.6850954495247379E-2</v>
      </c>
    </row>
    <row r="1028" spans="1:10" x14ac:dyDescent="0.2">
      <c r="A1028" s="12">
        <v>43815</v>
      </c>
      <c r="B1028" s="13">
        <v>21.166746676799999</v>
      </c>
      <c r="C1028" s="13">
        <v>164.05999800000001</v>
      </c>
      <c r="D1028" s="13">
        <v>164.85000600000001</v>
      </c>
      <c r="E1028" s="13">
        <v>163.740005</v>
      </c>
      <c r="F1028" s="13">
        <v>163.88000500000001</v>
      </c>
      <c r="G1028" s="13">
        <v>162.08081100000001</v>
      </c>
      <c r="H1028" s="13">
        <v>162.08081100000001</v>
      </c>
      <c r="I1028" s="14">
        <f t="shared" si="15"/>
        <v>7.0484026246850906E-3</v>
      </c>
      <c r="J1028" s="14">
        <f>IF(COUNT(B1028)=0,"",B1028-(INTERCEPT('3. Cleaned Data'!$B$4:$B$1041,'3. Cleaned Data'!$H$4:$H$1041)+SLOPE('3. Cleaned Data'!$B$4:$B$1041,'3. Cleaned Data'!$H$4:$H$1041)*H1028))</f>
        <v>0.7930689972085645</v>
      </c>
    </row>
    <row r="1029" spans="1:10" x14ac:dyDescent="0.2">
      <c r="A1029" s="12">
        <v>43816</v>
      </c>
      <c r="B1029" s="13">
        <v>19.979826302399999</v>
      </c>
      <c r="C1029" s="13">
        <v>164.13999899999999</v>
      </c>
      <c r="D1029" s="13">
        <v>164.699997</v>
      </c>
      <c r="E1029" s="13">
        <v>163.699997</v>
      </c>
      <c r="F1029" s="13">
        <v>164.699997</v>
      </c>
      <c r="G1029" s="13">
        <v>162.89179999999999</v>
      </c>
      <c r="H1029" s="13">
        <v>162.89179999999999</v>
      </c>
      <c r="I1029" s="14">
        <f t="shared" ref="I1029:I1092" si="16">H1029/H1028-1</f>
        <v>5.0036089713296761E-3</v>
      </c>
      <c r="J1029" s="14">
        <f>IF(COUNT(B1029)=0,"",B1029-(INTERCEPT('3. Cleaned Data'!$B$4:$B$1041,'3. Cleaned Data'!$H$4:$H$1041)+SLOPE('3. Cleaned Data'!$B$4:$B$1041,'3. Cleaned Data'!$H$4:$H$1041)*H1029))</f>
        <v>-0.5047885313586491</v>
      </c>
    </row>
    <row r="1030" spans="1:10" x14ac:dyDescent="0.2">
      <c r="A1030" s="12">
        <v>43817</v>
      </c>
      <c r="B1030" s="13">
        <v>19.881534435599999</v>
      </c>
      <c r="C1030" s="13">
        <v>165.05999800000001</v>
      </c>
      <c r="D1030" s="13">
        <v>165.279999</v>
      </c>
      <c r="E1030" s="13">
        <v>164.320007</v>
      </c>
      <c r="F1030" s="13">
        <v>165.020004</v>
      </c>
      <c r="G1030" s="13">
        <v>163.208282</v>
      </c>
      <c r="H1030" s="13">
        <v>163.208282</v>
      </c>
      <c r="I1030" s="14">
        <f t="shared" si="16"/>
        <v>1.9428970641861554E-3</v>
      </c>
      <c r="J1030" s="14">
        <f>IF(COUNT(B1030)=0,"",B1030-(INTERCEPT('3. Cleaned Data'!$B$4:$B$1041,'3. Cleaned Data'!$H$4:$H$1041)+SLOPE('3. Cleaned Data'!$B$4:$B$1041,'3. Cleaned Data'!$H$4:$H$1041)*H1030))</f>
        <v>-0.64637273926950556</v>
      </c>
    </row>
    <row r="1031" spans="1:10" x14ac:dyDescent="0.2">
      <c r="A1031" s="12">
        <v>43818</v>
      </c>
      <c r="B1031" s="13">
        <v>20.223887836799999</v>
      </c>
      <c r="C1031" s="13">
        <v>165.279999</v>
      </c>
      <c r="D1031" s="13">
        <v>165.729996</v>
      </c>
      <c r="E1031" s="13">
        <v>164.88000500000001</v>
      </c>
      <c r="F1031" s="13">
        <v>165.729996</v>
      </c>
      <c r="G1031" s="13">
        <v>163.91047699999999</v>
      </c>
      <c r="H1031" s="13">
        <v>163.91047699999999</v>
      </c>
      <c r="I1031" s="14">
        <f t="shared" si="16"/>
        <v>4.3024471025312483E-3</v>
      </c>
      <c r="J1031" s="14">
        <f>IF(COUNT(B1031)=0,"",B1031-(INTERCEPT('3. Cleaned Data'!$B$4:$B$1041,'3. Cleaned Data'!$H$4:$H$1041)+SLOPE('3. Cleaned Data'!$B$4:$B$1041,'3. Cleaned Data'!$H$4:$H$1041)*H1031))</f>
        <v>-0.40007429685494955</v>
      </c>
    </row>
    <row r="1032" spans="1:10" x14ac:dyDescent="0.2">
      <c r="A1032" s="12">
        <v>43819</v>
      </c>
      <c r="B1032" s="13">
        <v>19.858757562000001</v>
      </c>
      <c r="C1032" s="13">
        <v>166.14999399999999</v>
      </c>
      <c r="D1032" s="13">
        <v>166.41000399999999</v>
      </c>
      <c r="E1032" s="13">
        <v>165.720001</v>
      </c>
      <c r="F1032" s="13">
        <v>165.970001</v>
      </c>
      <c r="G1032" s="13">
        <v>164.14785800000001</v>
      </c>
      <c r="H1032" s="13">
        <v>164.14785800000001</v>
      </c>
      <c r="I1032" s="14">
        <f t="shared" si="16"/>
        <v>1.448235673184195E-3</v>
      </c>
      <c r="J1032" s="14">
        <f>IF(COUNT(B1032)=0,"",B1032-(INTERCEPT('3. Cleaned Data'!$B$4:$B$1041,'3. Cleaned Data'!$H$4:$H$1041)+SLOPE('3. Cleaned Data'!$B$4:$B$1041,'3. Cleaned Data'!$H$4:$H$1041)*H1032))</f>
        <v>-0.79767649494043269</v>
      </c>
    </row>
    <row r="1033" spans="1:10" x14ac:dyDescent="0.2">
      <c r="A1033" s="12">
        <v>43822</v>
      </c>
      <c r="B1033" s="13">
        <v>20.855705131200001</v>
      </c>
      <c r="C1033" s="13">
        <v>166.240005</v>
      </c>
      <c r="D1033" s="13">
        <v>166.36000100000001</v>
      </c>
      <c r="E1033" s="13">
        <v>165.36000100000001</v>
      </c>
      <c r="F1033" s="13">
        <v>166.300003</v>
      </c>
      <c r="G1033" s="13">
        <v>164.474243</v>
      </c>
      <c r="H1033" s="13">
        <v>164.474243</v>
      </c>
      <c r="I1033" s="14">
        <f t="shared" si="16"/>
        <v>1.9883597871863667E-3</v>
      </c>
      <c r="J1033" s="14">
        <f>IF(COUNT(B1033)=0,"",B1033-(INTERCEPT('3. Cleaned Data'!$B$4:$B$1041,'3. Cleaned Data'!$H$4:$H$1041)+SLOPE('3. Cleaned Data'!$B$4:$B$1041,'3. Cleaned Data'!$H$4:$H$1041)*H1033))</f>
        <v>0.15462407773696896</v>
      </c>
    </row>
    <row r="1034" spans="1:10" x14ac:dyDescent="0.2">
      <c r="A1034" s="12">
        <v>43823</v>
      </c>
      <c r="B1034" s="13">
        <v>21.361875764400001</v>
      </c>
      <c r="C1034" s="13">
        <v>166.449997</v>
      </c>
      <c r="D1034" s="13">
        <v>166.699997</v>
      </c>
      <c r="E1034" s="13">
        <v>166.03999300000001</v>
      </c>
      <c r="F1034" s="13">
        <v>166.679993</v>
      </c>
      <c r="G1034" s="13">
        <v>164.85005200000001</v>
      </c>
      <c r="H1034" s="13">
        <v>164.85005200000001</v>
      </c>
      <c r="I1034" s="14">
        <f t="shared" si="16"/>
        <v>2.2849109571521087E-3</v>
      </c>
      <c r="J1034" s="14">
        <f>IF(COUNT(B1034)=0,"",B1034-(INTERCEPT('3. Cleaned Data'!$B$4:$B$1041,'3. Cleaned Data'!$H$4:$H$1041)+SLOPE('3. Cleaned Data'!$B$4:$B$1041,'3. Cleaned Data'!$H$4:$H$1041)*H1034))</f>
        <v>0.60938688546655229</v>
      </c>
    </row>
    <row r="1035" spans="1:10" x14ac:dyDescent="0.2">
      <c r="A1035" s="12">
        <v>43825</v>
      </c>
      <c r="B1035" s="13">
        <v>20.0166433632</v>
      </c>
      <c r="C1035" s="13">
        <v>166.83000200000001</v>
      </c>
      <c r="D1035" s="13">
        <v>166.979996</v>
      </c>
      <c r="E1035" s="13">
        <v>166.36000100000001</v>
      </c>
      <c r="F1035" s="13">
        <v>166.679993</v>
      </c>
      <c r="G1035" s="13">
        <v>164.85005200000001</v>
      </c>
      <c r="H1035" s="13">
        <v>164.85005200000001</v>
      </c>
      <c r="I1035" s="14">
        <f t="shared" si="16"/>
        <v>0</v>
      </c>
      <c r="J1035" s="14">
        <f>IF(COUNT(B1035)=0,"",B1035-(INTERCEPT('3. Cleaned Data'!$B$4:$B$1041,'3. Cleaned Data'!$H$4:$H$1041)+SLOPE('3. Cleaned Data'!$B$4:$B$1041,'3. Cleaned Data'!$H$4:$H$1041)*H1035))</f>
        <v>-0.73584551573344825</v>
      </c>
    </row>
    <row r="1036" spans="1:10" x14ac:dyDescent="0.2">
      <c r="A1036" s="12">
        <v>43826</v>
      </c>
      <c r="B1036" s="13"/>
      <c r="C1036" s="13">
        <v>167.11999499999999</v>
      </c>
      <c r="D1036" s="13">
        <v>167.11999499999999</v>
      </c>
      <c r="E1036" s="13">
        <v>165.429993</v>
      </c>
      <c r="F1036" s="13">
        <v>165.86000100000001</v>
      </c>
      <c r="G1036" s="13">
        <v>164.039063</v>
      </c>
      <c r="H1036" s="13">
        <v>164.039063</v>
      </c>
      <c r="I1036" s="14">
        <f t="shared" si="16"/>
        <v>-4.9195556213715852E-3</v>
      </c>
      <c r="J1036" s="14" t="str">
        <f>IF(COUNT(B1036)=0,"",B1036-(INTERCEPT('3. Cleaned Data'!$B$4:$B$1041,'3. Cleaned Data'!$H$4:$H$1041)+SLOPE('3. Cleaned Data'!$B$4:$B$1041,'3. Cleaned Data'!$H$4:$H$1041)*H1036))</f>
        <v/>
      </c>
    </row>
    <row r="1037" spans="1:10" x14ac:dyDescent="0.2">
      <c r="A1037" s="12">
        <v>43829</v>
      </c>
      <c r="B1037" s="13"/>
      <c r="C1037" s="13">
        <v>165.979996</v>
      </c>
      <c r="D1037" s="13">
        <v>166.21000699999999</v>
      </c>
      <c r="E1037" s="13">
        <v>164.570007</v>
      </c>
      <c r="F1037" s="13">
        <v>165.44000199999999</v>
      </c>
      <c r="G1037" s="13">
        <v>163.62368799999999</v>
      </c>
      <c r="H1037" s="13">
        <v>163.62368799999999</v>
      </c>
      <c r="I1037" s="14">
        <f t="shared" si="16"/>
        <v>-2.5321712548431741E-3</v>
      </c>
      <c r="J1037" s="14" t="str">
        <f>IF(COUNT(B1037)=0,"",B1037-(INTERCEPT('3. Cleaned Data'!$B$4:$B$1041,'3. Cleaned Data'!$H$4:$H$1041)+SLOPE('3. Cleaned Data'!$B$4:$B$1041,'3. Cleaned Data'!$H$4:$H$1041)*H1037))</f>
        <v/>
      </c>
    </row>
    <row r="1038" spans="1:10" x14ac:dyDescent="0.2">
      <c r="A1038" s="12">
        <v>43830</v>
      </c>
      <c r="B1038" s="13"/>
      <c r="C1038" s="13">
        <v>165.08000200000001</v>
      </c>
      <c r="D1038" s="13">
        <v>166.35000600000001</v>
      </c>
      <c r="E1038" s="13">
        <v>164.71000699999999</v>
      </c>
      <c r="F1038" s="13">
        <v>165.66999799999999</v>
      </c>
      <c r="G1038" s="13">
        <v>163.851135</v>
      </c>
      <c r="H1038" s="13">
        <v>163.851135</v>
      </c>
      <c r="I1038" s="14">
        <f t="shared" si="16"/>
        <v>1.3900615661468496E-3</v>
      </c>
      <c r="J1038" s="14" t="str">
        <f>IF(COUNT(B1038)=0,"",B1038-(INTERCEPT('3. Cleaned Data'!$B$4:$B$1041,'3. Cleaned Data'!$H$4:$H$1041)+SLOPE('3. Cleaned Data'!$B$4:$B$1041,'3. Cleaned Data'!$H$4:$H$1041)*H1038))</f>
        <v/>
      </c>
    </row>
    <row r="1039" spans="1:10" x14ac:dyDescent="0.2">
      <c r="A1039" s="12">
        <v>43832</v>
      </c>
      <c r="B1039" s="13"/>
      <c r="C1039" s="13">
        <v>166.740005</v>
      </c>
      <c r="D1039" s="13">
        <v>166.75</v>
      </c>
      <c r="E1039" s="13">
        <v>164.229996</v>
      </c>
      <c r="F1039" s="13">
        <v>165.779999</v>
      </c>
      <c r="G1039" s="13">
        <v>163.959946</v>
      </c>
      <c r="H1039" s="13">
        <v>163.959946</v>
      </c>
      <c r="I1039" s="14">
        <f t="shared" si="16"/>
        <v>6.640845057312994E-4</v>
      </c>
      <c r="J1039" s="14" t="str">
        <f>IF(COUNT(B1039)=0,"",B1039-(INTERCEPT('3. Cleaned Data'!$B$4:$B$1041,'3. Cleaned Data'!$H$4:$H$1041)+SLOPE('3. Cleaned Data'!$B$4:$B$1041,'3. Cleaned Data'!$H$4:$H$1041)*H1039))</f>
        <v/>
      </c>
    </row>
    <row r="1040" spans="1:10" x14ac:dyDescent="0.2">
      <c r="A1040" s="12">
        <v>43833</v>
      </c>
      <c r="B1040" s="13"/>
      <c r="C1040" s="13">
        <v>163.740005</v>
      </c>
      <c r="D1040" s="13">
        <v>165.41000399999999</v>
      </c>
      <c r="E1040" s="13">
        <v>163.699997</v>
      </c>
      <c r="F1040" s="13">
        <v>165.13000500000001</v>
      </c>
      <c r="G1040" s="13">
        <v>163.317093</v>
      </c>
      <c r="H1040" s="13">
        <v>163.317093</v>
      </c>
      <c r="I1040" s="14">
        <f t="shared" si="16"/>
        <v>-3.9207929478093373E-3</v>
      </c>
      <c r="J1040" s="14" t="str">
        <f>IF(COUNT(B1040)=0,"",B1040-(INTERCEPT('3. Cleaned Data'!$B$4:$B$1041,'3. Cleaned Data'!$H$4:$H$1041)+SLOPE('3. Cleaned Data'!$B$4:$B$1041,'3. Cleaned Data'!$H$4:$H$1041)*H1040))</f>
        <v/>
      </c>
    </row>
    <row r="1041" spans="1:10" x14ac:dyDescent="0.2">
      <c r="A1041" s="12">
        <v>43836</v>
      </c>
      <c r="B1041" s="13"/>
      <c r="C1041" s="13">
        <v>163.85000600000001</v>
      </c>
      <c r="D1041" s="13">
        <v>165.53999300000001</v>
      </c>
      <c r="E1041" s="13">
        <v>163.53999300000001</v>
      </c>
      <c r="F1041" s="13">
        <v>165.35000600000001</v>
      </c>
      <c r="G1041" s="13">
        <v>163.53466800000001</v>
      </c>
      <c r="H1041" s="13">
        <v>163.53466800000001</v>
      </c>
      <c r="I1041" s="14">
        <f t="shared" si="16"/>
        <v>1.3322243006126389E-3</v>
      </c>
      <c r="J1041" s="14" t="str">
        <f>IF(COUNT(B1041)=0,"",B1041-(INTERCEPT('3. Cleaned Data'!$B$4:$B$1041,'3. Cleaned Data'!$H$4:$H$1041)+SLOPE('3. Cleaned Data'!$B$4:$B$1041,'3. Cleaned Data'!$H$4:$H$1041)*H1041))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Data Quality</vt:lpstr>
      <vt:lpstr>2. Signal Analysis</vt:lpstr>
      <vt:lpstr>3. 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Fangfang Tang</cp:lastModifiedBy>
  <cp:revision>1</cp:revision>
  <dcterms:created xsi:type="dcterms:W3CDTF">2026-08-16T10:13:59Z</dcterms:created>
  <dcterms:modified xsi:type="dcterms:W3CDTF">2026-08-16T10:22:20Z</dcterms:modified>
  <dc:language>en-US</dc:language>
</cp:coreProperties>
</file>