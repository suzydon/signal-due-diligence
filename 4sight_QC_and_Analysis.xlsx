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QC Log" sheetId="2" state="visible" r:id="rId4"/>
    <sheet name="Data (Cleaned)" sheetId="3" state="visible" r:id="rId5"/>
    <sheet name="Signal Analysis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754" authorId="0">
      <text>
        <r>
          <rPr>
            <sz val="10"/>
            <rFont val="Arial"/>
            <family val="2"/>
          </rPr>
          <t xml:space="preserve">Session missing from vendor file; placeholder row.</t>
        </r>
      </text>
    </comment>
    <comment ref="A755" authorId="0">
      <text>
        <r>
          <rPr>
            <sz val="10"/>
            <rFont val="Arial"/>
            <family val="2"/>
          </rPr>
          <t xml:space="preserve">Session missing from vendor file; placeholder row.</t>
        </r>
      </text>
    </comment>
    <comment ref="A756" authorId="0">
      <text>
        <r>
          <rPr>
            <sz val="10"/>
            <rFont val="Arial"/>
            <family val="2"/>
          </rPr>
          <t xml:space="preserve">Session missing from vendor file; placeholder row.</t>
        </r>
      </text>
    </comment>
    <comment ref="A757" authorId="0">
      <text>
        <r>
          <rPr>
            <sz val="10"/>
            <rFont val="Arial"/>
            <family val="2"/>
          </rPr>
          <t xml:space="preserve">Session missing from vendor file; placeholder row.</t>
        </r>
      </text>
    </comment>
    <comment ref="A758" authorId="0">
      <text>
        <r>
          <rPr>
            <sz val="10"/>
            <rFont val="Arial"/>
            <family val="2"/>
          </rPr>
          <t xml:space="preserve">Session missing from vendor file; placeholder row.</t>
        </r>
      </text>
    </comment>
    <comment ref="B1036" authorId="0">
      <text>
        <r>
          <rPr>
            <sz val="10"/>
            <rFont val="Arial"/>
            <family val="2"/>
          </rPr>
          <t xml:space="preserve">Vendor value 0.000000 = missing. Deleted.</t>
        </r>
      </text>
    </comment>
    <comment ref="B1037" authorId="0">
      <text>
        <r>
          <rPr>
            <sz val="10"/>
            <rFont val="Arial"/>
            <family val="2"/>
          </rPr>
          <t xml:space="preserve">Vendor value 0.000000 = missing. Deleted.</t>
        </r>
      </text>
    </comment>
    <comment ref="B1038" authorId="0">
      <text>
        <r>
          <rPr>
            <sz val="10"/>
            <rFont val="Arial"/>
            <family val="2"/>
          </rPr>
          <t xml:space="preserve">Vendor value 0.000000 = missing. Deleted.</t>
        </r>
      </text>
    </comment>
    <comment ref="B1039" authorId="0">
      <text>
        <r>
          <rPr>
            <sz val="10"/>
            <rFont val="Arial"/>
            <family val="2"/>
          </rPr>
          <t xml:space="preserve">Vendor value 0.000000 = missing. Deleted.</t>
        </r>
      </text>
    </comment>
    <comment ref="B1040" authorId="0">
      <text>
        <r>
          <rPr>
            <sz val="10"/>
            <rFont val="Arial"/>
            <family val="2"/>
          </rPr>
          <t xml:space="preserve">Vendor value 0.000000 = missing. Deleted.</t>
        </r>
      </text>
    </comment>
    <comment ref="B1041" authorId="0">
      <text>
        <r>
          <rPr>
            <sz val="10"/>
            <rFont val="Arial"/>
            <family val="2"/>
          </rPr>
          <t xml:space="preserve">Vendor value 0.000000 = missing. Deleted.</t>
        </r>
      </text>
    </comment>
    <comment ref="D434" authorId="0">
      <text>
        <r>
          <rPr>
            <sz val="10"/>
            <rFont val="Arial"/>
            <family val="2"/>
          </rPr>
          <t xml:space="preserve">Vendor value: 140.35
Corrected — see QC Log.</t>
        </r>
      </text>
    </comment>
    <comment ref="D770" authorId="0">
      <text>
        <r>
          <rPr>
            <sz val="10"/>
            <rFont val="Arial"/>
            <family val="2"/>
          </rPr>
          <t xml:space="preserve">Vendor value: 147.099997
Corrected — see QC Log.</t>
        </r>
      </text>
    </comment>
    <comment ref="D987" authorId="0">
      <text>
        <r>
          <rPr>
            <sz val="10"/>
            <rFont val="Arial"/>
            <family val="2"/>
          </rPr>
          <t xml:space="preserve">Vendor value: 153.309995
Corrected — see QC Log.</t>
        </r>
      </text>
    </comment>
    <comment ref="E580" authorId="0">
      <text>
        <r>
          <rPr>
            <sz val="10"/>
            <rFont val="Arial"/>
            <family val="2"/>
          </rPr>
          <t xml:space="preserve">Vendor value: 157.220001
Corrected — see QC Log.</t>
        </r>
      </text>
    </comment>
    <comment ref="E670" authorId="0">
      <text>
        <r>
          <rPr>
            <sz val="10"/>
            <rFont val="Arial"/>
            <family val="2"/>
          </rPr>
          <t xml:space="preserve">Vendor value: 169.960007
Corrected — see QC Log.</t>
        </r>
      </text>
    </comment>
    <comment ref="E738" authorId="0">
      <text>
        <r>
          <rPr>
            <sz val="10"/>
            <rFont val="Arial"/>
            <family val="2"/>
          </rPr>
          <t xml:space="preserve">Vendor value: 154.740005
Corrected — see QC Log.</t>
        </r>
      </text>
    </comment>
    <comment ref="E896" authorId="0">
      <text>
        <r>
          <rPr>
            <sz val="10"/>
            <rFont val="Arial"/>
            <family val="2"/>
          </rPr>
          <t xml:space="preserve">Vendor value: 152.449997
Corrected — see QC Log.</t>
        </r>
      </text>
    </comment>
    <comment ref="E970" authorId="0">
      <text>
        <r>
          <rPr>
            <sz val="10"/>
            <rFont val="Arial"/>
            <family val="2"/>
          </rPr>
          <t xml:space="preserve">Vendor value: 152.839996
Corrected — see QC Log.</t>
        </r>
      </text>
    </comment>
    <comment ref="F458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F459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F460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F461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F462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F463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F464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F465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F466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F467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F588" authorId="0">
      <text>
        <r>
          <rPr>
            <sz val="10"/>
            <rFont val="Arial"/>
            <family val="2"/>
          </rPr>
          <t xml:space="preserve">Vendor value: 196.279999
Corrected — see QC Log.</t>
        </r>
      </text>
    </comment>
    <comment ref="G266" authorId="0">
      <text>
        <r>
          <rPr>
            <sz val="10"/>
            <rFont val="Arial"/>
            <family val="2"/>
          </rPr>
          <t xml:space="preserve">Vendor value: 166.175079
Corrected — see QC Log.</t>
        </r>
      </text>
    </comment>
    <comment ref="G342" authorId="0">
      <text>
        <r>
          <rPr>
            <sz val="10"/>
            <rFont val="Arial"/>
            <family val="2"/>
          </rPr>
          <t xml:space="preserve">Vendor value: 158.577637
Corrected — see QC Log.</t>
        </r>
      </text>
    </comment>
    <comment ref="G458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G459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G460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G461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G462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G463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G464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G465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G466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G467" authorId="0">
      <text>
        <r>
          <rPr>
            <sz val="10"/>
            <rFont val="Arial"/>
            <family val="2"/>
          </rPr>
          <t xml:space="preserve">Frozen/stale vendor value, deleted. Re-source.</t>
        </r>
      </text>
    </comment>
    <comment ref="G731" authorId="0">
      <text>
        <r>
          <rPr>
            <sz val="10"/>
            <rFont val="Arial"/>
            <family val="2"/>
          </rPr>
          <t xml:space="preserve">Vendor value: -152.277847
Corrected — see QC Log.</t>
        </r>
      </text>
    </comment>
    <comment ref="H458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  <comment ref="H459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  <comment ref="H460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  <comment ref="H461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  <comment ref="H462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  <comment ref="H463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  <comment ref="H464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  <comment ref="H465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  <comment ref="H466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  <comment ref="H467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  <comment ref="H754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  <comment ref="H755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  <comment ref="H756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  <comment ref="H757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  <comment ref="H758" authorId="0">
      <text>
        <r>
          <rPr>
            <sz val="10"/>
            <rFont val="Arial"/>
            <family val="2"/>
          </rPr>
          <t xml:space="preserve">Linear interpolation across a missing/removed value. Analysis assumption.</t>
        </r>
      </text>
    </comment>
  </commentList>
</comments>
</file>

<file path=xl/sharedStrings.xml><?xml version="1.0" encoding="utf-8"?>
<sst xmlns="http://schemas.openxmlformats.org/spreadsheetml/2006/main" count="329" uniqueCount="174">
  <si>
    <t xml:space="preserve">4sight Sample Dataset — Data Quality Review &amp; Signal Efficacy Analysis</t>
  </si>
  <si>
    <t xml:space="preserve">Scope</t>
  </si>
  <si>
    <t xml:space="preserve">Vendor file: Sample_Dataset.xlsx — 1,038 rows, 19-Nov-2015 to 06-Jan-2020. Columns: Date, Signal, Open, High, Low, Close, Adj Close.</t>
  </si>
  <si>
    <t xml:space="preserve">Contents</t>
  </si>
  <si>
    <t xml:space="preserve">QC Log          — every quality-check exception found, the corrected value, and the rule applied (39 items).</t>
  </si>
  <si>
    <t xml:space="preserve">Data (Cleaned)  — corrected series. Amber cells were changed; the validation columns re-run the checks live.</t>
  </si>
  <si>
    <t xml:space="preserve">Signal Analysis — efficacy metrics, all computed with worksheet formulas off the cleaned data.</t>
  </si>
  <si>
    <t xml:space="preserve">Headline conclusions</t>
  </si>
  <si>
    <t xml:space="preserve">1. The file fails basic integrity checks: 5 rows dated on non-trading days, 1 impossible Close, 3 corrupt Adj Close values,</t>
  </si>
  <si>
    <t xml:space="preserve">   8 High/Low values inconsistent with Open/Close, an 11-session frozen Close, 6 Signals coded 0, and a missing week.</t>
  </si>
  <si>
    <t xml:space="preserve">2. The Signal is not independent information — it is ~88% explained by the ETF price level alone (Signal ~= AdjClose / 8.13).</t>
  </si>
  <si>
    <t xml:space="preserve">3. The part of the Signal not explained by TODAY'S price is explained by prices 3-7 sessions LATER. Correlation of the</t>
  </si>
  <si>
    <t xml:space="preserve">   Signal residual with returns t+1..t+6 is +0.37; with returns t-6..t-1 it is -0.07 and with t+7..t+12 it is +0.02.</t>
  </si>
  <si>
    <t xml:space="preserve">   A forecast built only from information available at time t cannot show that pattern. This is look-ahead bias.</t>
  </si>
  <si>
    <t xml:space="preserve">Method notes / assumptions</t>
  </si>
  <si>
    <t xml:space="preserve">- Trading calendar = NYSE (weekends, US market holidays, Good Friday, and 05-Dec-2018 national day of mourning excluded).</t>
  </si>
  <si>
    <t xml:space="preserve">- Adj Close is treated as the reliable price for return work; Close/Adj Close adjustment factors on adjacent days were</t>
  </si>
  <si>
    <t xml:space="preserve">  used to reconstruct corrupted values, since the factor only steps on ex-dividend dates.</t>
  </si>
  <si>
    <t xml:space="preserve">- The 11 frozen Close values are set to NaN, not guessed; linear interpolation was used for the analysis only.</t>
  </si>
  <si>
    <t xml:space="preserve">- Returns are computed on Adj Close. Backtest is long/flat, next-day execution, no costs — deliberately generous.</t>
  </si>
  <si>
    <t xml:space="preserve">- The price path (116.06 on 19-Nov-2015, high of 173.39 in Sep-2018, 165.35 on 06-Jan-2020) is consistent with IWM,</t>
  </si>
  <si>
    <t xml:space="preserve">  a small-cap Russell 2000 ETF, not a broad market ETF as described. To be confirmed against an independent price source.</t>
  </si>
  <si>
    <t xml:space="preserve">Quality check exceptions and corrections applied</t>
  </si>
  <si>
    <t xml:space="preserve">#</t>
  </si>
  <si>
    <t xml:space="preserve">Check</t>
  </si>
  <si>
    <t xml:space="preserve">Date</t>
  </si>
  <si>
    <t xml:space="preserve">Field</t>
  </si>
  <si>
    <t xml:space="preserve">Original value</t>
  </si>
  <si>
    <t xml:space="preserve">Corrected value</t>
  </si>
  <si>
    <t xml:space="preserve">Why it is an error</t>
  </si>
  <si>
    <t xml:space="preserve">Correction rule applied</t>
  </si>
  <si>
    <t xml:space="preserve">QC1 Calendar</t>
  </si>
  <si>
    <t xml:space="preserve">2017-07-04</t>
  </si>
  <si>
    <t xml:space="preserve">entire row</t>
  </si>
  <si>
    <t xml:space="preserve">present</t>
  </si>
  <si>
    <t xml:space="preserve">row deleted</t>
  </si>
  <si>
    <t xml:space="preserve">US Independence Day (market closed); OHLC = previous session +$0.10, Signal duplicates next session</t>
  </si>
  <si>
    <t xml:space="preserve">Delete (fabricated / duplicated session)</t>
  </si>
  <si>
    <t xml:space="preserve">2018-05-19</t>
  </si>
  <si>
    <t xml:space="preserve">Saturday; OHLC duplicates Mon 21-May, Signal duplicates Thu 17-May</t>
  </si>
  <si>
    <t xml:space="preserve">2018-05-20</t>
  </si>
  <si>
    <t xml:space="preserve">Sunday; OHLC duplicates Tue 22-May, Signal duplicates Fri 18-May</t>
  </si>
  <si>
    <t xml:space="preserve">2018-06-23</t>
  </si>
  <si>
    <t xml:space="preserve">Saturday; OHLC duplicates Mon 25-Jun, Signal duplicates Thu 21-Jun</t>
  </si>
  <si>
    <t xml:space="preserve">2018-06-24</t>
  </si>
  <si>
    <t xml:space="preserve">Sunday; OHLC duplicates Tue 26-Jun, Signal duplicates Fri 22-Jun</t>
  </si>
  <si>
    <t xml:space="preserve">QC2 Range</t>
  </si>
  <si>
    <t xml:space="preserve">2018-03-19</t>
  </si>
  <si>
    <t xml:space="preserve">Close</t>
  </si>
  <si>
    <t xml:space="preserve">Close 196.28 far outside the session range (Low 154.45 / High 157.21) and a +25% one-day jump reversed the next day; leading digit 1-&gt;9 keying error</t>
  </si>
  <si>
    <t xml:space="preserve">Re-derive Close = Adj Close / adjustment factor of adjacent session</t>
  </si>
  <si>
    <t xml:space="preserve">QC3 Adj Close</t>
  </si>
  <si>
    <t xml:space="preserve">2016-12-05</t>
  </si>
  <si>
    <t xml:space="preserve">Adj Close</t>
  </si>
  <si>
    <t xml:space="preserve">Adj Close 166.18 exceeds Close 133.15; implied adj factor 1.248 vs 0.948 on either side (+40 keying error)</t>
  </si>
  <si>
    <t xml:space="preserve">Re-derive Adj Close = Close x adjustment factor of adjacent session</t>
  </si>
  <si>
    <t xml:space="preserve">2017-03-27</t>
  </si>
  <si>
    <t xml:space="preserve">Adj Close 158.58 exceeds Close 134.74; implied adj factor 1.177 vs 0.954 on either side (+30 keying error)</t>
  </si>
  <si>
    <t xml:space="preserve">2018-10-10</t>
  </si>
  <si>
    <t xml:space="preserve">Adj Close -152.28 is negative; a price can never be &lt; 0. |value| matches the neighbouring adj factor exactly</t>
  </si>
  <si>
    <t xml:space="preserve">Flip sign</t>
  </si>
  <si>
    <t xml:space="preserve">QC4 OHLC</t>
  </si>
  <si>
    <t xml:space="preserve">2017-08-07</t>
  </si>
  <si>
    <t xml:space="preserve">High</t>
  </si>
  <si>
    <t xml:space="preserve">High (140.35) below the session Open/Close (140.44) - logically impossible</t>
  </si>
  <si>
    <t xml:space="preserve">High = max(Open, High, Low, Close)</t>
  </si>
  <si>
    <t xml:space="preserve">2018-03-07</t>
  </si>
  <si>
    <t xml:space="preserve">Low</t>
  </si>
  <si>
    <t xml:space="preserve">Low (157.22) above the session Open/Close (154.46) - logically impossible</t>
  </si>
  <si>
    <t xml:space="preserve">Low = min(Open, High, Low, Close)</t>
  </si>
  <si>
    <t xml:space="preserve">2018-07-16</t>
  </si>
  <si>
    <t xml:space="preserve">Low (169.96) above the session Open/Close (166.77) - logically impossible</t>
  </si>
  <si>
    <t xml:space="preserve">2018-10-19</t>
  </si>
  <si>
    <t xml:space="preserve">Low (154.74) above the session Open/Close (153.36) - logically impossible</t>
  </si>
  <si>
    <t xml:space="preserve">2018-12-06</t>
  </si>
  <si>
    <t xml:space="preserve">High (147.10) below the session Open/Close (147.20) - logically impossible</t>
  </si>
  <si>
    <t xml:space="preserve">2019-06-10</t>
  </si>
  <si>
    <t xml:space="preserve">Low (152.45) above the session Open/Close (151.45) - logically impossible</t>
  </si>
  <si>
    <t xml:space="preserve">2019-09-24</t>
  </si>
  <si>
    <t xml:space="preserve">Low (152.84) above the session Open/Close (152.43) - logically impossible</t>
  </si>
  <si>
    <t xml:space="preserve">2019-10-17</t>
  </si>
  <si>
    <t xml:space="preserve">High (153.31) below the session Open/Close (153.34) - logically impossible</t>
  </si>
  <si>
    <t xml:space="preserve">QC5 Stale</t>
  </si>
  <si>
    <t xml:space="preserve">2017-09-08</t>
  </si>
  <si>
    <t xml:space="preserve">Close, Adj Close</t>
  </si>
  <si>
    <t xml:space="preserve">retained, flagged</t>
  </si>
  <si>
    <t xml:space="preserve">Close &amp; Adj Close frozen at 139.110001 / 133.321198 for 11 consecutive sessions while Open/High/Low keep moving; first repeat of the 07-Sep close, not provably wrong</t>
  </si>
  <si>
    <t xml:space="preserve">Flag; retain</t>
  </si>
  <si>
    <t xml:space="preserve">2017-09-11</t>
  </si>
  <si>
    <t xml:space="preserve">NaN (re-source)</t>
  </si>
  <si>
    <t xml:space="preserve">Close &amp; Adj Close frozen at 139.110001 / 133.321198 for 11 consecutive sessions while Open/High/Low keep moving; the frozen Close sits below the session Low, so it is provably wrong</t>
  </si>
  <si>
    <t xml:space="preserve">Set to NaN and re-source from an independent vendor (linear interpolation used for analysis only)</t>
  </si>
  <si>
    <t xml:space="preserve">2017-09-12</t>
  </si>
  <si>
    <t xml:space="preserve">2017-09-13</t>
  </si>
  <si>
    <t xml:space="preserve">2017-09-14</t>
  </si>
  <si>
    <t xml:space="preserve">2017-09-15</t>
  </si>
  <si>
    <t xml:space="preserve">2017-09-18</t>
  </si>
  <si>
    <t xml:space="preserve">2017-09-19</t>
  </si>
  <si>
    <t xml:space="preserve">2017-09-20</t>
  </si>
  <si>
    <t xml:space="preserve">2017-09-21</t>
  </si>
  <si>
    <t xml:space="preserve">2017-09-22</t>
  </si>
  <si>
    <t xml:space="preserve">QC6 Signal</t>
  </si>
  <si>
    <t xml:space="preserve">2019-12-27</t>
  </si>
  <si>
    <t xml:space="preserve">Signal</t>
  </si>
  <si>
    <t xml:space="preserve">Signal exactly 0.000000 for the last 6 sessions; the other 1,027 observations never fall below 10.58 - a missing value written as zero</t>
  </si>
  <si>
    <t xml:space="preserve">Set to NaN and exclude from analysis; request re-delivery</t>
  </si>
  <si>
    <t xml:space="preserve">2019-12-30</t>
  </si>
  <si>
    <t xml:space="preserve">2019-12-31</t>
  </si>
  <si>
    <t xml:space="preserve">2020-01-02</t>
  </si>
  <si>
    <t xml:space="preserve">2020-01-03</t>
  </si>
  <si>
    <t xml:space="preserve">2020-01-06</t>
  </si>
  <si>
    <t xml:space="preserve">QC7 Gaps</t>
  </si>
  <si>
    <t xml:space="preserve">2018-11-12</t>
  </si>
  <si>
    <t xml:space="preserve">absent</t>
  </si>
  <si>
    <t xml:space="preserve">placeholder row (NaN)</t>
  </si>
  <si>
    <t xml:space="preserve">Trading session missing; 09-Nov-2018 is followed directly by 19-Nov-2018, a full week of data absent</t>
  </si>
  <si>
    <t xml:space="preserve">Insert placeholder row; request the missing week from the vendor</t>
  </si>
  <si>
    <t xml:space="preserve">2018-11-13</t>
  </si>
  <si>
    <t xml:space="preserve">2018-11-14</t>
  </si>
  <si>
    <t xml:space="preserve">2018-11-15</t>
  </si>
  <si>
    <t xml:space="preserve">2018-11-16</t>
  </si>
  <si>
    <t xml:space="preserve">Total exceptions</t>
  </si>
  <si>
    <t xml:space="preserve">Cleaned dataset — amber = value corrected (hover for the original)</t>
  </si>
  <si>
    <t xml:space="preserve">Open</t>
  </si>
  <si>
    <t xml:space="preserve">Adj Close (analysis)</t>
  </si>
  <si>
    <t xml:space="preserve">OHLC check</t>
  </si>
  <si>
    <t xml:space="preserve">Adj factor</t>
  </si>
  <si>
    <t xml:space="preserve">Daily return</t>
  </si>
  <si>
    <t xml:space="preserve">Fwd 5d return</t>
  </si>
  <si>
    <t xml:space="preserve">Signal z (60d)</t>
  </si>
  <si>
    <t xml:space="preserve">Price z (60d)</t>
  </si>
  <si>
    <t xml:space="preserve">Signal residual</t>
  </si>
  <si>
    <t xml:space="preserve">Signal efficacy — all figures computed live from the Data (Cleaned) sheet</t>
  </si>
  <si>
    <t xml:space="preserve">1. What is the Signal actually made of?</t>
  </si>
  <si>
    <t xml:space="preserve">Regression Signal = intercept + slope x Adj Close (same day)</t>
  </si>
  <si>
    <t xml:space="preserve">Slope</t>
  </si>
  <si>
    <t xml:space="preserve">Intercept</t>
  </si>
  <si>
    <t xml:space="preserve">R-squared</t>
  </si>
  <si>
    <t xml:space="preserve">Implied price per 1.0 of Signal</t>
  </si>
  <si>
    <t xml:space="preserve">Read: 88% of the Signal is just the ETF price rescaled by ~1/8.1. It is not independent information.</t>
  </si>
  <si>
    <t xml:space="preserve">2. Where in time does the Signal's information sit?</t>
  </si>
  <si>
    <t xml:space="preserve">Correlation of the Signal residual (Signal net of today's price) with the ETF return k days away.</t>
  </si>
  <si>
    <t xml:space="preserve">k &lt; 0 = past (knowable), k = 0 = today, k &gt; 0 = FUTURE (not knowable at forecast time).</t>
  </si>
  <si>
    <t xml:space="preserve">k</t>
  </si>
  <si>
    <t xml:space="preserve">corr(residual, return t+k)</t>
  </si>
  <si>
    <t xml:space="preserve">knowable at time t?</t>
  </si>
  <si>
    <t xml:space="preserve">yes</t>
  </si>
  <si>
    <t xml:space="preserve">NO — future</t>
  </si>
  <si>
    <t xml:space="preserve">Read: the residual is uncorrelated with everything up to today, jumps to +0.13/+0.20 for the next six sessions,</t>
  </si>
  <si>
    <t xml:space="preserve">then collapses to zero. That is the fingerprint of a signal computed from prices 3-7 days ahead.</t>
  </si>
  <si>
    <t xml:space="preserve">3. Apparent predictive power (and why it is not real)</t>
  </si>
  <si>
    <t xml:space="preserve">Metric</t>
  </si>
  <si>
    <t xml:space="preserve">Value</t>
  </si>
  <si>
    <t xml:space="preserve">Interpretation</t>
  </si>
  <si>
    <t xml:space="preserve">R-squared, Signal ~ Adj Close 6 days later</t>
  </si>
  <si>
    <t xml:space="preserve">Higher than the same-day fit (see above) — the Signal tracks a future price better than today's</t>
  </si>
  <si>
    <t xml:space="preserve">IC, Signal z-score vs next 5d return</t>
  </si>
  <si>
    <t xml:space="preserve">An information coefficient of this size is not achievable on a liquid ETF</t>
  </si>
  <si>
    <t xml:space="preserve">IC, price z-score vs next 5d return (benchmark)</t>
  </si>
  <si>
    <t xml:space="preserve">Price momentum alone over the same window — the honest comparison</t>
  </si>
  <si>
    <t xml:space="preserve">IC, Signal residual vs next 5d return</t>
  </si>
  <si>
    <t xml:space="preserve">The "proprietary" part is where all the apparent skill sits</t>
  </si>
  <si>
    <t xml:space="preserve">4. Backtest (long when Signal z-score &gt; 0, else flat; next-day execution; no costs)</t>
  </si>
  <si>
    <t xml:space="preserve">Strategy</t>
  </si>
  <si>
    <t xml:space="preserve">Ann. return</t>
  </si>
  <si>
    <t xml:space="preserve">Sharpe</t>
  </si>
  <si>
    <t xml:space="preserve">Max drawdown</t>
  </si>
  <si>
    <t xml:space="preserve">4sight Signal</t>
  </si>
  <si>
    <t xml:space="preserve">Price momentum, same rule</t>
  </si>
  <si>
    <t xml:space="preserve">Buy and hold the ETF</t>
  </si>
  <si>
    <t xml:space="preserve">Hardcoded — computed in Python on the cleaned series (Adj Close returns, 19-Nov-2015 to 06-Jan-2020).</t>
  </si>
  <si>
    <t xml:space="preserve">A Sharpe of 1.5 from a single long/flat rule on one ETF is the symptom, not the achievement: it is the look-ahead being monetised.</t>
  </si>
  <si>
    <t xml:space="preserve">5. Sample-period caveat</t>
  </si>
  <si>
    <t xml:space="preserve">The sample ends 06-Jan-2020, six weeks before the fastest bear market on record. 88% of the sample is a rising market.</t>
  </si>
</sst>
</file>

<file path=xl/styles.xml><?xml version="1.0" encoding="utf-8"?>
<styleSheet xmlns="http://schemas.openxmlformats.org/spreadsheetml/2006/main">
  <numFmts count="9">
    <numFmt numFmtId="164" formatCode="General"/>
    <numFmt numFmtId="165" formatCode="#,##0.000000"/>
    <numFmt numFmtId="166" formatCode="yyyy\-mm\-dd"/>
    <numFmt numFmtId="167" formatCode="0.0000"/>
    <numFmt numFmtId="168" formatCode="0.000"/>
    <numFmt numFmtId="169" formatCode="0.00"/>
    <numFmt numFmtId="170" formatCode="\+0.000;\-0.000"/>
    <numFmt numFmtId="171" formatCode="\+0.000"/>
    <numFmt numFmtId="172" formatCode="0.0%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F9F9F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4F81BD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Where the 4sight signal's information sits (correlation with returns k days away)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'Signal Analysis'!C14</c:f>
              <c:strCache>
                <c:ptCount val="1"/>
                <c:pt idx="0">
                  <c:v>corr(residual, return t+k)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'Signal Analysis'!$B$15:$B$29</c:f>
              <c:strCache>
                <c:ptCount val="15"/>
                <c:pt idx="0">
                  <c:v>-6</c:v>
                </c:pt>
                <c:pt idx="1">
                  <c:v>-5</c:v>
                </c:pt>
                <c:pt idx="2">
                  <c:v>-4</c:v>
                </c:pt>
                <c:pt idx="3">
                  <c:v>-3</c:v>
                </c:pt>
                <c:pt idx="4">
                  <c:v>-2</c:v>
                </c:pt>
                <c:pt idx="5">
                  <c:v>-1</c:v>
                </c:pt>
                <c:pt idx="6">
                  <c:v>0</c:v>
                </c:pt>
                <c:pt idx="7">
                  <c:v>1</c:v>
                </c:pt>
                <c:pt idx="8">
                  <c:v>2</c:v>
                </c:pt>
                <c:pt idx="9">
                  <c:v>3</c:v>
                </c:pt>
                <c:pt idx="10">
                  <c:v>4</c:v>
                </c:pt>
                <c:pt idx="11">
                  <c:v>5</c:v>
                </c:pt>
                <c:pt idx="12">
                  <c:v>6</c:v>
                </c:pt>
                <c:pt idx="13">
                  <c:v>7</c:v>
                </c:pt>
                <c:pt idx="14">
                  <c:v>8</c:v>
                </c:pt>
              </c:strCache>
            </c:strRef>
          </c:cat>
          <c:val>
            <c:numRef>
              <c:f>'Signal Analysis'!$C$15:$C$29</c:f>
              <c:numCache>
                <c:formatCode>\+0.000;\-0.000</c:formatCode>
                <c:ptCount val="15"/>
                <c:pt idx="0">
                  <c:v>-0.0487575147653546</c:v>
                </c:pt>
                <c:pt idx="1">
                  <c:v>-0.0234546113056808</c:v>
                </c:pt>
                <c:pt idx="2">
                  <c:v>-0.0563037274482376</c:v>
                </c:pt>
                <c:pt idx="3">
                  <c:v>-0.00595226767436335</c:v>
                </c:pt>
                <c:pt idx="4">
                  <c:v>-0.0185895230230508</c:v>
                </c:pt>
                <c:pt idx="5">
                  <c:v>-0.0155542680502571</c:v>
                </c:pt>
                <c:pt idx="6">
                  <c:v>-0.019871591648361</c:v>
                </c:pt>
                <c:pt idx="7">
                  <c:v>0.156210820462141</c:v>
                </c:pt>
                <c:pt idx="8">
                  <c:v>0.179136781824912</c:v>
                </c:pt>
                <c:pt idx="9">
                  <c:v>0.199390167989804</c:v>
                </c:pt>
                <c:pt idx="10">
                  <c:v>0.123766208301183</c:v>
                </c:pt>
                <c:pt idx="11">
                  <c:v>0.144896539212951</c:v>
                </c:pt>
                <c:pt idx="12">
                  <c:v>0.128569226460396</c:v>
                </c:pt>
                <c:pt idx="13">
                  <c:v>0.00169675560963947</c:v>
                </c:pt>
                <c:pt idx="14">
                  <c:v>0.0176290688735368</c:v>
                </c:pt>
              </c:numCache>
            </c:numRef>
          </c:val>
        </c:ser>
        <c:gapWidth val="150"/>
        <c:overlap val="0"/>
        <c:axId val="6466386"/>
        <c:axId val="28986129"/>
      </c:barChart>
      <c:catAx>
        <c:axId val="6466386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k (trading days relative to signal date)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986129"/>
        <c:crosses val="autoZero"/>
        <c:auto val="1"/>
        <c:lblAlgn val="ctr"/>
        <c:lblOffset val="100"/>
        <c:noMultiLvlLbl val="0"/>
      </c:catAx>
      <c:valAx>
        <c:axId val="28986129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correlation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+0.000;\-0.0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466386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17</xdr:col>
      <xdr:colOff>473040</xdr:colOff>
      <xdr:row>18</xdr:row>
      <xdr:rowOff>161640</xdr:rowOff>
    </xdr:to>
    <xdr:graphicFrame>
      <xdr:nvGraphicFramePr>
        <xdr:cNvPr id="0" name="Chart 1"/>
        <xdr:cNvGraphicFramePr/>
      </xdr:nvGraphicFramePr>
      <xdr:xfrm>
        <a:off x="12453120" y="380880"/>
        <a:ext cx="719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1.v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1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 t="s">
        <v>2</v>
      </c>
    </row>
    <row r="5" customFormat="false" ht="15" hidden="false" customHeight="false" outlineLevel="0" collapsed="false">
      <c r="A5" s="2"/>
    </row>
    <row r="6" customFormat="false" ht="15" hidden="false" customHeight="false" outlineLevel="0" collapsed="false">
      <c r="A6" s="3" t="s">
        <v>3</v>
      </c>
    </row>
    <row r="7" customFormat="false" ht="15" hidden="false" customHeight="false" outlineLevel="0" collapsed="false">
      <c r="A7" s="2" t="s">
        <v>4</v>
      </c>
    </row>
    <row r="8" customFormat="false" ht="15" hidden="false" customHeight="false" outlineLevel="0" collapsed="false">
      <c r="A8" s="2" t="s">
        <v>5</v>
      </c>
    </row>
    <row r="9" customFormat="false" ht="1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/>
    </row>
    <row r="11" customFormat="false" ht="15" hidden="false" customHeight="false" outlineLevel="0" collapsed="false">
      <c r="A11" s="3" t="s">
        <v>7</v>
      </c>
    </row>
    <row r="12" customFormat="false" ht="15" hidden="false" customHeight="false" outlineLevel="0" collapsed="false">
      <c r="A12" s="2" t="s">
        <v>8</v>
      </c>
    </row>
    <row r="13" customFormat="false" ht="15" hidden="false" customHeight="false" outlineLevel="0" collapsed="false">
      <c r="A13" s="2" t="s">
        <v>9</v>
      </c>
    </row>
    <row r="14" customFormat="false" ht="15" hidden="false" customHeight="false" outlineLevel="0" collapsed="false">
      <c r="A14" s="2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/>
    </row>
    <row r="19" customFormat="false" ht="15" hidden="false" customHeight="false" outlineLevel="0" collapsed="false">
      <c r="A19" s="3" t="s">
        <v>14</v>
      </c>
    </row>
    <row r="20" customFormat="false" ht="15" hidden="false" customHeight="false" outlineLevel="0" collapsed="false">
      <c r="A20" s="2" t="s">
        <v>15</v>
      </c>
    </row>
    <row r="21" customFormat="false" ht="15" hidden="false" customHeight="false" outlineLevel="0" collapsed="false">
      <c r="A21" s="2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 t="s">
        <v>19</v>
      </c>
    </row>
    <row r="25" customFormat="false" ht="15" hidden="false" customHeight="false" outlineLevel="0" collapsed="false">
      <c r="A25" s="2" t="s">
        <v>20</v>
      </c>
    </row>
    <row r="26" customFormat="false" ht="15" hidden="false" customHeight="false" outlineLevel="0" collapsed="false">
      <c r="A26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5"/>
    <col collapsed="false" customWidth="true" hidden="false" outlineLevel="0" max="3" min="3" style="0" width="12"/>
    <col collapsed="false" customWidth="true" hidden="false" outlineLevel="0" max="4" min="4" style="0" width="17"/>
    <col collapsed="false" customWidth="true" hidden="false" outlineLevel="0" max="5" min="5" style="0" width="15"/>
    <col collapsed="false" customWidth="true" hidden="false" outlineLevel="0" max="6" min="6" style="0" width="17"/>
    <col collapsed="false" customWidth="true" hidden="false" outlineLevel="0" max="7" min="7" style="0" width="62"/>
    <col collapsed="false" customWidth="true" hidden="false" outlineLevel="0" max="8" min="8" style="0" width="50"/>
  </cols>
  <sheetData>
    <row r="1" customFormat="false" ht="17.35" hidden="false" customHeight="false" outlineLevel="0" collapsed="false">
      <c r="A1" s="1" t="s">
        <v>22</v>
      </c>
    </row>
    <row r="3" customFormat="false" ht="15" hidden="false" customHeight="false" outlineLevel="0" collapsed="false">
      <c r="A3" s="4" t="s">
        <v>23</v>
      </c>
      <c r="B3" s="4" t="s">
        <v>24</v>
      </c>
      <c r="C3" s="4" t="s">
        <v>25</v>
      </c>
      <c r="D3" s="4" t="s">
        <v>26</v>
      </c>
      <c r="E3" s="4" t="s">
        <v>27</v>
      </c>
      <c r="F3" s="4" t="s">
        <v>28</v>
      </c>
      <c r="G3" s="4" t="s">
        <v>29</v>
      </c>
      <c r="H3" s="4" t="s">
        <v>30</v>
      </c>
    </row>
    <row r="4" customFormat="false" ht="23.85" hidden="false" customHeight="false" outlineLevel="0" collapsed="false">
      <c r="A4" s="5" t="n">
        <v>1</v>
      </c>
      <c r="B4" s="5" t="s">
        <v>31</v>
      </c>
      <c r="C4" s="5" t="s">
        <v>32</v>
      </c>
      <c r="D4" s="5" t="s">
        <v>33</v>
      </c>
      <c r="E4" s="5" t="s">
        <v>34</v>
      </c>
      <c r="F4" s="5" t="s">
        <v>35</v>
      </c>
      <c r="G4" s="6" t="s">
        <v>36</v>
      </c>
      <c r="H4" s="6" t="s">
        <v>37</v>
      </c>
    </row>
    <row r="5" customFormat="false" ht="15" hidden="false" customHeight="false" outlineLevel="0" collapsed="false">
      <c r="A5" s="5" t="n">
        <v>2</v>
      </c>
      <c r="B5" s="5" t="s">
        <v>31</v>
      </c>
      <c r="C5" s="5" t="s">
        <v>38</v>
      </c>
      <c r="D5" s="5" t="s">
        <v>33</v>
      </c>
      <c r="E5" s="5" t="s">
        <v>34</v>
      </c>
      <c r="F5" s="5" t="s">
        <v>35</v>
      </c>
      <c r="G5" s="6" t="s">
        <v>39</v>
      </c>
      <c r="H5" s="6" t="s">
        <v>37</v>
      </c>
    </row>
    <row r="6" customFormat="false" ht="15" hidden="false" customHeight="false" outlineLevel="0" collapsed="false">
      <c r="A6" s="5" t="n">
        <v>3</v>
      </c>
      <c r="B6" s="5" t="s">
        <v>31</v>
      </c>
      <c r="C6" s="5" t="s">
        <v>40</v>
      </c>
      <c r="D6" s="5" t="s">
        <v>33</v>
      </c>
      <c r="E6" s="5" t="s">
        <v>34</v>
      </c>
      <c r="F6" s="5" t="s">
        <v>35</v>
      </c>
      <c r="G6" s="6" t="s">
        <v>41</v>
      </c>
      <c r="H6" s="6" t="s">
        <v>37</v>
      </c>
    </row>
    <row r="7" customFormat="false" ht="15" hidden="false" customHeight="false" outlineLevel="0" collapsed="false">
      <c r="A7" s="5" t="n">
        <v>4</v>
      </c>
      <c r="B7" s="5" t="s">
        <v>31</v>
      </c>
      <c r="C7" s="5" t="s">
        <v>42</v>
      </c>
      <c r="D7" s="5" t="s">
        <v>33</v>
      </c>
      <c r="E7" s="5" t="s">
        <v>34</v>
      </c>
      <c r="F7" s="5" t="s">
        <v>35</v>
      </c>
      <c r="G7" s="6" t="s">
        <v>43</v>
      </c>
      <c r="H7" s="6" t="s">
        <v>37</v>
      </c>
    </row>
    <row r="8" customFormat="false" ht="15" hidden="false" customHeight="false" outlineLevel="0" collapsed="false">
      <c r="A8" s="5" t="n">
        <v>5</v>
      </c>
      <c r="B8" s="5" t="s">
        <v>31</v>
      </c>
      <c r="C8" s="5" t="s">
        <v>44</v>
      </c>
      <c r="D8" s="5" t="s">
        <v>33</v>
      </c>
      <c r="E8" s="5" t="s">
        <v>34</v>
      </c>
      <c r="F8" s="5" t="s">
        <v>35</v>
      </c>
      <c r="G8" s="6" t="s">
        <v>45</v>
      </c>
      <c r="H8" s="6" t="s">
        <v>37</v>
      </c>
    </row>
    <row r="9" customFormat="false" ht="23.85" hidden="false" customHeight="false" outlineLevel="0" collapsed="false">
      <c r="A9" s="5" t="n">
        <v>6</v>
      </c>
      <c r="B9" s="5" t="s">
        <v>46</v>
      </c>
      <c r="C9" s="5" t="s">
        <v>47</v>
      </c>
      <c r="D9" s="5" t="s">
        <v>48</v>
      </c>
      <c r="E9" s="7" t="n">
        <v>196.279999</v>
      </c>
      <c r="F9" s="7" t="n">
        <v>156.280005</v>
      </c>
      <c r="G9" s="6" t="s">
        <v>49</v>
      </c>
      <c r="H9" s="6" t="s">
        <v>50</v>
      </c>
    </row>
    <row r="10" customFormat="false" ht="23.85" hidden="false" customHeight="false" outlineLevel="0" collapsed="false">
      <c r="A10" s="5" t="n">
        <v>7</v>
      </c>
      <c r="B10" s="5" t="s">
        <v>51</v>
      </c>
      <c r="C10" s="5" t="s">
        <v>52</v>
      </c>
      <c r="D10" s="5" t="s">
        <v>53</v>
      </c>
      <c r="E10" s="7" t="n">
        <v>166.175079</v>
      </c>
      <c r="F10" s="7" t="n">
        <v>126.175089</v>
      </c>
      <c r="G10" s="6" t="s">
        <v>54</v>
      </c>
      <c r="H10" s="6" t="s">
        <v>55</v>
      </c>
    </row>
    <row r="11" customFormat="false" ht="23.85" hidden="false" customHeight="false" outlineLevel="0" collapsed="false">
      <c r="A11" s="5" t="n">
        <v>8</v>
      </c>
      <c r="B11" s="5" t="s">
        <v>51</v>
      </c>
      <c r="C11" s="5" t="s">
        <v>56</v>
      </c>
      <c r="D11" s="5" t="s">
        <v>53</v>
      </c>
      <c r="E11" s="7" t="n">
        <v>158.577637</v>
      </c>
      <c r="F11" s="7" t="n">
        <v>128.577638</v>
      </c>
      <c r="G11" s="6" t="s">
        <v>57</v>
      </c>
      <c r="H11" s="6" t="s">
        <v>55</v>
      </c>
    </row>
    <row r="12" customFormat="false" ht="23.85" hidden="false" customHeight="false" outlineLevel="0" collapsed="false">
      <c r="A12" s="5" t="n">
        <v>9</v>
      </c>
      <c r="B12" s="5" t="s">
        <v>51</v>
      </c>
      <c r="C12" s="5" t="s">
        <v>58</v>
      </c>
      <c r="D12" s="5" t="s">
        <v>53</v>
      </c>
      <c r="E12" s="7" t="n">
        <v>-152.277847</v>
      </c>
      <c r="F12" s="7" t="n">
        <v>152.277847</v>
      </c>
      <c r="G12" s="6" t="s">
        <v>59</v>
      </c>
      <c r="H12" s="6" t="s">
        <v>60</v>
      </c>
    </row>
    <row r="13" customFormat="false" ht="15" hidden="false" customHeight="false" outlineLevel="0" collapsed="false">
      <c r="A13" s="5" t="n">
        <v>10</v>
      </c>
      <c r="B13" s="5" t="s">
        <v>61</v>
      </c>
      <c r="C13" s="5" t="s">
        <v>62</v>
      </c>
      <c r="D13" s="5" t="s">
        <v>63</v>
      </c>
      <c r="E13" s="7" t="n">
        <v>140.35</v>
      </c>
      <c r="F13" s="7" t="n">
        <v>140.440002</v>
      </c>
      <c r="G13" s="6" t="s">
        <v>64</v>
      </c>
      <c r="H13" s="6" t="s">
        <v>65</v>
      </c>
    </row>
    <row r="14" customFormat="false" ht="15" hidden="false" customHeight="false" outlineLevel="0" collapsed="false">
      <c r="A14" s="5" t="n">
        <v>11</v>
      </c>
      <c r="B14" s="5" t="s">
        <v>61</v>
      </c>
      <c r="C14" s="5" t="s">
        <v>66</v>
      </c>
      <c r="D14" s="5" t="s">
        <v>67</v>
      </c>
      <c r="E14" s="7" t="n">
        <v>157.220001</v>
      </c>
      <c r="F14" s="7" t="n">
        <v>154.460007</v>
      </c>
      <c r="G14" s="6" t="s">
        <v>68</v>
      </c>
      <c r="H14" s="6" t="s">
        <v>69</v>
      </c>
    </row>
    <row r="15" customFormat="false" ht="15" hidden="false" customHeight="false" outlineLevel="0" collapsed="false">
      <c r="A15" s="5" t="n">
        <v>12</v>
      </c>
      <c r="B15" s="5" t="s">
        <v>61</v>
      </c>
      <c r="C15" s="5" t="s">
        <v>70</v>
      </c>
      <c r="D15" s="5" t="s">
        <v>67</v>
      </c>
      <c r="E15" s="7" t="n">
        <v>169.960007</v>
      </c>
      <c r="F15" s="7" t="n">
        <v>166.770004</v>
      </c>
      <c r="G15" s="6" t="s">
        <v>71</v>
      </c>
      <c r="H15" s="6" t="s">
        <v>69</v>
      </c>
    </row>
    <row r="16" customFormat="false" ht="15" hidden="false" customHeight="false" outlineLevel="0" collapsed="false">
      <c r="A16" s="5" t="n">
        <v>13</v>
      </c>
      <c r="B16" s="5" t="s">
        <v>61</v>
      </c>
      <c r="C16" s="5" t="s">
        <v>72</v>
      </c>
      <c r="D16" s="5" t="s">
        <v>67</v>
      </c>
      <c r="E16" s="7" t="n">
        <v>154.740005</v>
      </c>
      <c r="F16" s="7" t="n">
        <v>153.360001</v>
      </c>
      <c r="G16" s="6" t="s">
        <v>73</v>
      </c>
      <c r="H16" s="6" t="s">
        <v>69</v>
      </c>
    </row>
    <row r="17" customFormat="false" ht="15" hidden="false" customHeight="false" outlineLevel="0" collapsed="false">
      <c r="A17" s="5" t="n">
        <v>14</v>
      </c>
      <c r="B17" s="5" t="s">
        <v>61</v>
      </c>
      <c r="C17" s="5" t="s">
        <v>74</v>
      </c>
      <c r="D17" s="5" t="s">
        <v>63</v>
      </c>
      <c r="E17" s="7" t="n">
        <v>147.099997</v>
      </c>
      <c r="F17" s="7" t="n">
        <v>147.199997</v>
      </c>
      <c r="G17" s="6" t="s">
        <v>75</v>
      </c>
      <c r="H17" s="6" t="s">
        <v>65</v>
      </c>
    </row>
    <row r="18" customFormat="false" ht="15" hidden="false" customHeight="false" outlineLevel="0" collapsed="false">
      <c r="A18" s="5" t="n">
        <v>15</v>
      </c>
      <c r="B18" s="5" t="s">
        <v>61</v>
      </c>
      <c r="C18" s="5" t="s">
        <v>76</v>
      </c>
      <c r="D18" s="5" t="s">
        <v>67</v>
      </c>
      <c r="E18" s="7" t="n">
        <v>152.449997</v>
      </c>
      <c r="F18" s="7" t="n">
        <v>151.449997</v>
      </c>
      <c r="G18" s="6" t="s">
        <v>77</v>
      </c>
      <c r="H18" s="6" t="s">
        <v>69</v>
      </c>
    </row>
    <row r="19" customFormat="false" ht="15" hidden="false" customHeight="false" outlineLevel="0" collapsed="false">
      <c r="A19" s="5" t="n">
        <v>16</v>
      </c>
      <c r="B19" s="5" t="s">
        <v>61</v>
      </c>
      <c r="C19" s="5" t="s">
        <v>78</v>
      </c>
      <c r="D19" s="5" t="s">
        <v>67</v>
      </c>
      <c r="E19" s="7" t="n">
        <v>152.839996</v>
      </c>
      <c r="F19" s="7" t="n">
        <v>152.429993</v>
      </c>
      <c r="G19" s="6" t="s">
        <v>79</v>
      </c>
      <c r="H19" s="6" t="s">
        <v>69</v>
      </c>
    </row>
    <row r="20" customFormat="false" ht="15" hidden="false" customHeight="false" outlineLevel="0" collapsed="false">
      <c r="A20" s="5" t="n">
        <v>17</v>
      </c>
      <c r="B20" s="5" t="s">
        <v>61</v>
      </c>
      <c r="C20" s="5" t="s">
        <v>80</v>
      </c>
      <c r="D20" s="5" t="s">
        <v>63</v>
      </c>
      <c r="E20" s="7" t="n">
        <v>153.309995</v>
      </c>
      <c r="F20" s="7" t="n">
        <v>153.339996</v>
      </c>
      <c r="G20" s="6" t="s">
        <v>81</v>
      </c>
      <c r="H20" s="6" t="s">
        <v>65</v>
      </c>
    </row>
    <row r="21" customFormat="false" ht="35.05" hidden="false" customHeight="false" outlineLevel="0" collapsed="false">
      <c r="A21" s="5" t="n">
        <v>18</v>
      </c>
      <c r="B21" s="5" t="s">
        <v>82</v>
      </c>
      <c r="C21" s="5" t="s">
        <v>83</v>
      </c>
      <c r="D21" s="5" t="s">
        <v>84</v>
      </c>
      <c r="E21" s="7" t="n">
        <v>139.110001</v>
      </c>
      <c r="F21" s="5" t="s">
        <v>85</v>
      </c>
      <c r="G21" s="6" t="s">
        <v>86</v>
      </c>
      <c r="H21" s="6" t="s">
        <v>87</v>
      </c>
    </row>
    <row r="22" customFormat="false" ht="35.05" hidden="false" customHeight="false" outlineLevel="0" collapsed="false">
      <c r="A22" s="5" t="n">
        <v>19</v>
      </c>
      <c r="B22" s="5" t="s">
        <v>82</v>
      </c>
      <c r="C22" s="5" t="s">
        <v>88</v>
      </c>
      <c r="D22" s="5" t="s">
        <v>84</v>
      </c>
      <c r="E22" s="7" t="n">
        <v>139.110001</v>
      </c>
      <c r="F22" s="5" t="s">
        <v>89</v>
      </c>
      <c r="G22" s="6" t="s">
        <v>90</v>
      </c>
      <c r="H22" s="6" t="s">
        <v>91</v>
      </c>
    </row>
    <row r="23" customFormat="false" ht="35.05" hidden="false" customHeight="false" outlineLevel="0" collapsed="false">
      <c r="A23" s="5" t="n">
        <v>20</v>
      </c>
      <c r="B23" s="5" t="s">
        <v>82</v>
      </c>
      <c r="C23" s="5" t="s">
        <v>92</v>
      </c>
      <c r="D23" s="5" t="s">
        <v>84</v>
      </c>
      <c r="E23" s="7" t="n">
        <v>139.110001</v>
      </c>
      <c r="F23" s="5" t="s">
        <v>89</v>
      </c>
      <c r="G23" s="6" t="s">
        <v>90</v>
      </c>
      <c r="H23" s="6" t="s">
        <v>91</v>
      </c>
    </row>
    <row r="24" customFormat="false" ht="35.05" hidden="false" customHeight="false" outlineLevel="0" collapsed="false">
      <c r="A24" s="5" t="n">
        <v>21</v>
      </c>
      <c r="B24" s="5" t="s">
        <v>82</v>
      </c>
      <c r="C24" s="5" t="s">
        <v>93</v>
      </c>
      <c r="D24" s="5" t="s">
        <v>84</v>
      </c>
      <c r="E24" s="7" t="n">
        <v>139.110001</v>
      </c>
      <c r="F24" s="5" t="s">
        <v>89</v>
      </c>
      <c r="G24" s="6" t="s">
        <v>90</v>
      </c>
      <c r="H24" s="6" t="s">
        <v>91</v>
      </c>
    </row>
    <row r="25" customFormat="false" ht="35.05" hidden="false" customHeight="false" outlineLevel="0" collapsed="false">
      <c r="A25" s="5" t="n">
        <v>22</v>
      </c>
      <c r="B25" s="5" t="s">
        <v>82</v>
      </c>
      <c r="C25" s="5" t="s">
        <v>94</v>
      </c>
      <c r="D25" s="5" t="s">
        <v>84</v>
      </c>
      <c r="E25" s="7" t="n">
        <v>139.110001</v>
      </c>
      <c r="F25" s="5" t="s">
        <v>89</v>
      </c>
      <c r="G25" s="6" t="s">
        <v>90</v>
      </c>
      <c r="H25" s="6" t="s">
        <v>91</v>
      </c>
    </row>
    <row r="26" customFormat="false" ht="35.05" hidden="false" customHeight="false" outlineLevel="0" collapsed="false">
      <c r="A26" s="5" t="n">
        <v>23</v>
      </c>
      <c r="B26" s="5" t="s">
        <v>82</v>
      </c>
      <c r="C26" s="5" t="s">
        <v>95</v>
      </c>
      <c r="D26" s="5" t="s">
        <v>84</v>
      </c>
      <c r="E26" s="7" t="n">
        <v>139.110001</v>
      </c>
      <c r="F26" s="5" t="s">
        <v>89</v>
      </c>
      <c r="G26" s="6" t="s">
        <v>90</v>
      </c>
      <c r="H26" s="6" t="s">
        <v>91</v>
      </c>
    </row>
    <row r="27" customFormat="false" ht="35.05" hidden="false" customHeight="false" outlineLevel="0" collapsed="false">
      <c r="A27" s="5" t="n">
        <v>24</v>
      </c>
      <c r="B27" s="5" t="s">
        <v>82</v>
      </c>
      <c r="C27" s="5" t="s">
        <v>96</v>
      </c>
      <c r="D27" s="5" t="s">
        <v>84</v>
      </c>
      <c r="E27" s="7" t="n">
        <v>139.110001</v>
      </c>
      <c r="F27" s="5" t="s">
        <v>89</v>
      </c>
      <c r="G27" s="6" t="s">
        <v>90</v>
      </c>
      <c r="H27" s="6" t="s">
        <v>91</v>
      </c>
    </row>
    <row r="28" customFormat="false" ht="35.05" hidden="false" customHeight="false" outlineLevel="0" collapsed="false">
      <c r="A28" s="5" t="n">
        <v>25</v>
      </c>
      <c r="B28" s="5" t="s">
        <v>82</v>
      </c>
      <c r="C28" s="5" t="s">
        <v>97</v>
      </c>
      <c r="D28" s="5" t="s">
        <v>84</v>
      </c>
      <c r="E28" s="7" t="n">
        <v>139.110001</v>
      </c>
      <c r="F28" s="5" t="s">
        <v>89</v>
      </c>
      <c r="G28" s="6" t="s">
        <v>90</v>
      </c>
      <c r="H28" s="6" t="s">
        <v>91</v>
      </c>
    </row>
    <row r="29" customFormat="false" ht="35.05" hidden="false" customHeight="false" outlineLevel="0" collapsed="false">
      <c r="A29" s="5" t="n">
        <v>26</v>
      </c>
      <c r="B29" s="5" t="s">
        <v>82</v>
      </c>
      <c r="C29" s="5" t="s">
        <v>98</v>
      </c>
      <c r="D29" s="5" t="s">
        <v>84</v>
      </c>
      <c r="E29" s="7" t="n">
        <v>139.110001</v>
      </c>
      <c r="F29" s="5" t="s">
        <v>89</v>
      </c>
      <c r="G29" s="6" t="s">
        <v>90</v>
      </c>
      <c r="H29" s="6" t="s">
        <v>91</v>
      </c>
    </row>
    <row r="30" customFormat="false" ht="35.05" hidden="false" customHeight="false" outlineLevel="0" collapsed="false">
      <c r="A30" s="5" t="n">
        <v>27</v>
      </c>
      <c r="B30" s="5" t="s">
        <v>82</v>
      </c>
      <c r="C30" s="5" t="s">
        <v>99</v>
      </c>
      <c r="D30" s="5" t="s">
        <v>84</v>
      </c>
      <c r="E30" s="7" t="n">
        <v>139.110001</v>
      </c>
      <c r="F30" s="5" t="s">
        <v>89</v>
      </c>
      <c r="G30" s="6" t="s">
        <v>90</v>
      </c>
      <c r="H30" s="6" t="s">
        <v>91</v>
      </c>
    </row>
    <row r="31" customFormat="false" ht="35.05" hidden="false" customHeight="false" outlineLevel="0" collapsed="false">
      <c r="A31" s="5" t="n">
        <v>28</v>
      </c>
      <c r="B31" s="5" t="s">
        <v>82</v>
      </c>
      <c r="C31" s="5" t="s">
        <v>100</v>
      </c>
      <c r="D31" s="5" t="s">
        <v>84</v>
      </c>
      <c r="E31" s="7" t="n">
        <v>139.110001</v>
      </c>
      <c r="F31" s="5" t="s">
        <v>89</v>
      </c>
      <c r="G31" s="6" t="s">
        <v>90</v>
      </c>
      <c r="H31" s="6" t="s">
        <v>91</v>
      </c>
    </row>
    <row r="32" customFormat="false" ht="23.85" hidden="false" customHeight="false" outlineLevel="0" collapsed="false">
      <c r="A32" s="5" t="n">
        <v>29</v>
      </c>
      <c r="B32" s="5" t="s">
        <v>101</v>
      </c>
      <c r="C32" s="5" t="s">
        <v>102</v>
      </c>
      <c r="D32" s="5" t="s">
        <v>103</v>
      </c>
      <c r="E32" s="7" t="n">
        <v>0</v>
      </c>
      <c r="F32" s="5"/>
      <c r="G32" s="6" t="s">
        <v>104</v>
      </c>
      <c r="H32" s="6" t="s">
        <v>105</v>
      </c>
    </row>
    <row r="33" customFormat="false" ht="23.85" hidden="false" customHeight="false" outlineLevel="0" collapsed="false">
      <c r="A33" s="5" t="n">
        <v>30</v>
      </c>
      <c r="B33" s="5" t="s">
        <v>101</v>
      </c>
      <c r="C33" s="5" t="s">
        <v>106</v>
      </c>
      <c r="D33" s="5" t="s">
        <v>103</v>
      </c>
      <c r="E33" s="7" t="n">
        <v>0</v>
      </c>
      <c r="F33" s="5"/>
      <c r="G33" s="6" t="s">
        <v>104</v>
      </c>
      <c r="H33" s="6" t="s">
        <v>105</v>
      </c>
    </row>
    <row r="34" customFormat="false" ht="23.85" hidden="false" customHeight="false" outlineLevel="0" collapsed="false">
      <c r="A34" s="5" t="n">
        <v>31</v>
      </c>
      <c r="B34" s="5" t="s">
        <v>101</v>
      </c>
      <c r="C34" s="5" t="s">
        <v>107</v>
      </c>
      <c r="D34" s="5" t="s">
        <v>103</v>
      </c>
      <c r="E34" s="7" t="n">
        <v>0</v>
      </c>
      <c r="F34" s="5"/>
      <c r="G34" s="6" t="s">
        <v>104</v>
      </c>
      <c r="H34" s="6" t="s">
        <v>105</v>
      </c>
    </row>
    <row r="35" customFormat="false" ht="23.85" hidden="false" customHeight="false" outlineLevel="0" collapsed="false">
      <c r="A35" s="5" t="n">
        <v>32</v>
      </c>
      <c r="B35" s="5" t="s">
        <v>101</v>
      </c>
      <c r="C35" s="5" t="s">
        <v>108</v>
      </c>
      <c r="D35" s="5" t="s">
        <v>103</v>
      </c>
      <c r="E35" s="7" t="n">
        <v>0</v>
      </c>
      <c r="F35" s="5"/>
      <c r="G35" s="6" t="s">
        <v>104</v>
      </c>
      <c r="H35" s="6" t="s">
        <v>105</v>
      </c>
    </row>
    <row r="36" customFormat="false" ht="23.85" hidden="false" customHeight="false" outlineLevel="0" collapsed="false">
      <c r="A36" s="5" t="n">
        <v>33</v>
      </c>
      <c r="B36" s="5" t="s">
        <v>101</v>
      </c>
      <c r="C36" s="5" t="s">
        <v>109</v>
      </c>
      <c r="D36" s="5" t="s">
        <v>103</v>
      </c>
      <c r="E36" s="7" t="n">
        <v>0</v>
      </c>
      <c r="F36" s="5"/>
      <c r="G36" s="6" t="s">
        <v>104</v>
      </c>
      <c r="H36" s="6" t="s">
        <v>105</v>
      </c>
    </row>
    <row r="37" customFormat="false" ht="23.85" hidden="false" customHeight="false" outlineLevel="0" collapsed="false">
      <c r="A37" s="5" t="n">
        <v>34</v>
      </c>
      <c r="B37" s="5" t="s">
        <v>101</v>
      </c>
      <c r="C37" s="5" t="s">
        <v>110</v>
      </c>
      <c r="D37" s="5" t="s">
        <v>103</v>
      </c>
      <c r="E37" s="7" t="n">
        <v>0</v>
      </c>
      <c r="F37" s="5"/>
      <c r="G37" s="6" t="s">
        <v>104</v>
      </c>
      <c r="H37" s="6" t="s">
        <v>105</v>
      </c>
    </row>
    <row r="38" customFormat="false" ht="23.85" hidden="false" customHeight="false" outlineLevel="0" collapsed="false">
      <c r="A38" s="5" t="n">
        <v>35</v>
      </c>
      <c r="B38" s="5" t="s">
        <v>111</v>
      </c>
      <c r="C38" s="5" t="s">
        <v>112</v>
      </c>
      <c r="D38" s="5" t="s">
        <v>33</v>
      </c>
      <c r="E38" s="5" t="s">
        <v>113</v>
      </c>
      <c r="F38" s="5" t="s">
        <v>114</v>
      </c>
      <c r="G38" s="6" t="s">
        <v>115</v>
      </c>
      <c r="H38" s="6" t="s">
        <v>116</v>
      </c>
    </row>
    <row r="39" customFormat="false" ht="23.85" hidden="false" customHeight="false" outlineLevel="0" collapsed="false">
      <c r="A39" s="5" t="n">
        <v>36</v>
      </c>
      <c r="B39" s="5" t="s">
        <v>111</v>
      </c>
      <c r="C39" s="5" t="s">
        <v>117</v>
      </c>
      <c r="D39" s="5" t="s">
        <v>33</v>
      </c>
      <c r="E39" s="5" t="s">
        <v>113</v>
      </c>
      <c r="F39" s="5" t="s">
        <v>114</v>
      </c>
      <c r="G39" s="6" t="s">
        <v>115</v>
      </c>
      <c r="H39" s="6" t="s">
        <v>116</v>
      </c>
    </row>
    <row r="40" customFormat="false" ht="23.85" hidden="false" customHeight="false" outlineLevel="0" collapsed="false">
      <c r="A40" s="5" t="n">
        <v>37</v>
      </c>
      <c r="B40" s="5" t="s">
        <v>111</v>
      </c>
      <c r="C40" s="5" t="s">
        <v>118</v>
      </c>
      <c r="D40" s="5" t="s">
        <v>33</v>
      </c>
      <c r="E40" s="5" t="s">
        <v>113</v>
      </c>
      <c r="F40" s="5" t="s">
        <v>114</v>
      </c>
      <c r="G40" s="6" t="s">
        <v>115</v>
      </c>
      <c r="H40" s="6" t="s">
        <v>116</v>
      </c>
    </row>
    <row r="41" customFormat="false" ht="23.85" hidden="false" customHeight="false" outlineLevel="0" collapsed="false">
      <c r="A41" s="5" t="n">
        <v>38</v>
      </c>
      <c r="B41" s="5" t="s">
        <v>111</v>
      </c>
      <c r="C41" s="5" t="s">
        <v>119</v>
      </c>
      <c r="D41" s="5" t="s">
        <v>33</v>
      </c>
      <c r="E41" s="5" t="s">
        <v>113</v>
      </c>
      <c r="F41" s="5" t="s">
        <v>114</v>
      </c>
      <c r="G41" s="6" t="s">
        <v>115</v>
      </c>
      <c r="H41" s="6" t="s">
        <v>116</v>
      </c>
    </row>
    <row r="42" customFormat="false" ht="23.85" hidden="false" customHeight="false" outlineLevel="0" collapsed="false">
      <c r="A42" s="5" t="n">
        <v>39</v>
      </c>
      <c r="B42" s="5" t="s">
        <v>111</v>
      </c>
      <c r="C42" s="5" t="s">
        <v>120</v>
      </c>
      <c r="D42" s="5" t="s">
        <v>33</v>
      </c>
      <c r="E42" s="5" t="s">
        <v>113</v>
      </c>
      <c r="F42" s="5" t="s">
        <v>114</v>
      </c>
      <c r="G42" s="6" t="s">
        <v>115</v>
      </c>
      <c r="H42" s="6" t="s">
        <v>116</v>
      </c>
    </row>
    <row r="45" customFormat="false" ht="15" hidden="false" customHeight="false" outlineLevel="0" collapsed="false">
      <c r="A45" s="3" t="s">
        <v>121</v>
      </c>
      <c r="B45" s="3" t="n">
        <f aca="false">COUNTA(A4:A42)</f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104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7" min="1" style="0" width="11"/>
    <col collapsed="false" customWidth="true" hidden="false" outlineLevel="0" max="8" min="8" style="0" width="13"/>
    <col collapsed="false" customWidth="true" hidden="false" outlineLevel="0" max="10" min="9" style="0" width="10"/>
    <col collapsed="false" customWidth="true" hidden="false" outlineLevel="0" max="11" min="11" style="0" width="11"/>
    <col collapsed="false" customWidth="true" hidden="false" outlineLevel="0" max="15" min="12" style="0" width="12"/>
  </cols>
  <sheetData>
    <row r="1" customFormat="false" ht="17.35" hidden="false" customHeight="false" outlineLevel="0" collapsed="false">
      <c r="A1" s="1" t="s">
        <v>122</v>
      </c>
    </row>
    <row r="3" customFormat="false" ht="26.85" hidden="false" customHeight="false" outlineLevel="0" collapsed="false">
      <c r="A3" s="4" t="s">
        <v>25</v>
      </c>
      <c r="B3" s="4" t="s">
        <v>103</v>
      </c>
      <c r="C3" s="4" t="s">
        <v>123</v>
      </c>
      <c r="D3" s="4" t="s">
        <v>63</v>
      </c>
      <c r="E3" s="4" t="s">
        <v>67</v>
      </c>
      <c r="F3" s="4" t="s">
        <v>48</v>
      </c>
      <c r="G3" s="4" t="s">
        <v>53</v>
      </c>
      <c r="H3" s="4" t="s">
        <v>124</v>
      </c>
      <c r="I3" s="4" t="s">
        <v>125</v>
      </c>
      <c r="J3" s="4" t="s">
        <v>126</v>
      </c>
      <c r="K3" s="4" t="s">
        <v>127</v>
      </c>
      <c r="L3" s="4" t="s">
        <v>128</v>
      </c>
      <c r="M3" s="4" t="s">
        <v>129</v>
      </c>
      <c r="N3" s="4" t="s">
        <v>130</v>
      </c>
      <c r="O3" s="4" t="s">
        <v>131</v>
      </c>
    </row>
    <row r="4" customFormat="false" ht="15" hidden="false" customHeight="false" outlineLevel="0" collapsed="false">
      <c r="A4" s="8" t="n">
        <v>42327</v>
      </c>
      <c r="B4" s="9" t="n">
        <v>13.7685396576</v>
      </c>
      <c r="C4" s="9" t="n">
        <v>116.440002</v>
      </c>
      <c r="D4" s="9" t="n">
        <v>116.650002</v>
      </c>
      <c r="E4" s="9" t="n">
        <v>115.739998</v>
      </c>
      <c r="F4" s="9" t="n">
        <v>116.059998</v>
      </c>
      <c r="G4" s="9" t="n">
        <v>108.281601</v>
      </c>
      <c r="H4" s="9" t="n">
        <v>108.281601</v>
      </c>
      <c r="I4" s="2" t="str">
        <f aca="false">IF(COUNT(C4:F4)&lt;4,"",IF(OR(D4&lt;MAX(C4,F4)-0.000001,E4&gt;MIN(C4,F4)+0.000001),"FAIL","OK"))</f>
        <v>OK</v>
      </c>
      <c r="J4" s="10" t="n">
        <f aca="false">IF(COUNT(F4,G4)&lt;2,"",G4/F4)</f>
        <v>0.932979518059271</v>
      </c>
      <c r="K4" s="10"/>
      <c r="L4" s="10" t="n">
        <f aca="false">H9/H4-1</f>
        <v>0.0306736875824363</v>
      </c>
      <c r="M4" s="10"/>
      <c r="N4" s="10"/>
      <c r="O4" s="10" t="n">
        <f aca="false">IF(COUNT(B4)=0,"",B4-('Signal Analysis'!$C$6+'Signal Analysis'!$C$5*H4))</f>
        <v>0.754186523525924</v>
      </c>
    </row>
    <row r="5" customFormat="false" ht="15" hidden="false" customHeight="false" outlineLevel="0" collapsed="false">
      <c r="A5" s="8" t="n">
        <v>42328</v>
      </c>
      <c r="B5" s="9" t="n">
        <v>13.6088186616</v>
      </c>
      <c r="C5" s="9" t="n">
        <v>116.480003</v>
      </c>
      <c r="D5" s="9" t="n">
        <v>117.360001</v>
      </c>
      <c r="E5" s="9" t="n">
        <v>116.379997</v>
      </c>
      <c r="F5" s="9" t="n">
        <v>116.809998</v>
      </c>
      <c r="G5" s="9" t="n">
        <v>108.981323</v>
      </c>
      <c r="H5" s="9" t="n">
        <v>108.981323</v>
      </c>
      <c r="I5" s="2" t="str">
        <f aca="false">IF(COUNT(C5:F5)&lt;4,"",IF(OR(D5&lt;MAX(C5,F5)-0.000001,E5&gt;MIN(C5,F5)+0.000001),"FAIL","OK"))</f>
        <v>OK</v>
      </c>
      <c r="J5" s="10" t="n">
        <f aca="false">IF(COUNT(F5,G5)&lt;2,"",G5/F5)</f>
        <v>0.932979409861817</v>
      </c>
      <c r="K5" s="10" t="n">
        <f aca="false">H5/H4-1</f>
        <v>0.00646205812933998</v>
      </c>
      <c r="L5" s="10" t="n">
        <f aca="false">H10/H5-1</f>
        <v>0.0196045335217667</v>
      </c>
      <c r="M5" s="10"/>
      <c r="N5" s="10"/>
      <c r="O5" s="10" t="n">
        <f aca="false">IF(COUNT(B5)=0,"",B5-('Signal Analysis'!$C$6+'Signal Analysis'!$C$5*H5))</f>
        <v>0.498748856414238</v>
      </c>
    </row>
    <row r="6" customFormat="false" ht="15" hidden="false" customHeight="false" outlineLevel="0" collapsed="false">
      <c r="A6" s="8" t="n">
        <v>42331</v>
      </c>
      <c r="B6" s="9" t="n">
        <v>12.9905888508</v>
      </c>
      <c r="C6" s="9" t="n">
        <v>116.709999</v>
      </c>
      <c r="D6" s="9" t="n">
        <v>117.889999</v>
      </c>
      <c r="E6" s="9" t="n">
        <v>116.68</v>
      </c>
      <c r="F6" s="9" t="n">
        <v>117.389999</v>
      </c>
      <c r="G6" s="9" t="n">
        <v>109.522453</v>
      </c>
      <c r="H6" s="9" t="n">
        <v>109.522453</v>
      </c>
      <c r="I6" s="2" t="str">
        <f aca="false">IF(COUNT(C6:F6)&lt;4,"",IF(OR(D6&lt;MAX(C6,F6)-0.000001,E6&gt;MIN(C6,F6)+0.000001),"FAIL","OK"))</f>
        <v>OK</v>
      </c>
      <c r="J6" s="10" t="n">
        <f aca="false">IF(COUNT(F6,G6)&lt;2,"",G6/F6)</f>
        <v>0.932979418459659</v>
      </c>
      <c r="K6" s="10" t="n">
        <f aca="false">H6/H5-1</f>
        <v>0.00496534621808542</v>
      </c>
      <c r="L6" s="10" t="n">
        <f aca="false">H11/H6-1</f>
        <v>0.0212964915970244</v>
      </c>
      <c r="M6" s="10"/>
      <c r="N6" s="10"/>
      <c r="O6" s="10" t="n">
        <f aca="false">IF(COUNT(B6)=0,"",B6-('Signal Analysis'!$C$6+'Signal Analysis'!$C$5*H6))</f>
        <v>-0.193503440799889</v>
      </c>
    </row>
    <row r="7" customFormat="false" ht="15" hidden="false" customHeight="false" outlineLevel="0" collapsed="false">
      <c r="A7" s="8" t="n">
        <v>42332</v>
      </c>
      <c r="B7" s="9" t="n">
        <v>12.667435014</v>
      </c>
      <c r="C7" s="9" t="n">
        <v>116.879997</v>
      </c>
      <c r="D7" s="9" t="n">
        <v>118.419998</v>
      </c>
      <c r="E7" s="9" t="n">
        <v>116.559998</v>
      </c>
      <c r="F7" s="9" t="n">
        <v>118.25</v>
      </c>
      <c r="G7" s="9" t="n">
        <v>110.324837</v>
      </c>
      <c r="H7" s="9" t="n">
        <v>110.324837</v>
      </c>
      <c r="I7" s="2" t="str">
        <f aca="false">IF(COUNT(C7:F7)&lt;4,"",IF(OR(D7&lt;MAX(C7,F7)-0.000001,E7&gt;MIN(C7,F7)+0.000001),"FAIL","OK"))</f>
        <v>OK</v>
      </c>
      <c r="J7" s="10" t="n">
        <f aca="false">IF(COUNT(F7,G7)&lt;2,"",G7/F7)</f>
        <v>0.932979594080338</v>
      </c>
      <c r="K7" s="10" t="n">
        <f aca="false">H7/H6-1</f>
        <v>0.00732620552244212</v>
      </c>
      <c r="L7" s="10" t="n">
        <f aca="false">H12/H7-1</f>
        <v>0.00295971432071984</v>
      </c>
      <c r="M7" s="10"/>
      <c r="N7" s="10"/>
      <c r="O7" s="10" t="n">
        <f aca="false">IF(COUNT(B7)=0,"",B7-('Signal Analysis'!$C$6+'Signal Analysis'!$C$5*H7))</f>
        <v>-0.626417332926545</v>
      </c>
    </row>
    <row r="8" customFormat="false" ht="15" hidden="false" customHeight="false" outlineLevel="0" collapsed="false">
      <c r="A8" s="8" t="n">
        <v>42333</v>
      </c>
      <c r="B8" s="9" t="n">
        <v>13.0199100108</v>
      </c>
      <c r="C8" s="9" t="n">
        <v>118.300003</v>
      </c>
      <c r="D8" s="9" t="n">
        <v>119.32</v>
      </c>
      <c r="E8" s="9" t="n">
        <v>118.110001</v>
      </c>
      <c r="F8" s="9" t="n">
        <v>119.169998</v>
      </c>
      <c r="G8" s="9" t="n">
        <v>111.183159</v>
      </c>
      <c r="H8" s="9" t="n">
        <v>111.183159</v>
      </c>
      <c r="I8" s="2" t="str">
        <f aca="false">IF(COUNT(C8:F8)&lt;4,"",IF(OR(D8&lt;MAX(C8,F8)-0.000001,E8&gt;MIN(C8,F8)+0.000001),"FAIL","OK"))</f>
        <v>OK</v>
      </c>
      <c r="J8" s="10" t="n">
        <f aca="false">IF(COUNT(F8,G8)&lt;2,"",G8/F8)</f>
        <v>0.932979448401098</v>
      </c>
      <c r="K8" s="10" t="n">
        <f aca="false">H8/H7-1</f>
        <v>0.00777995257767761</v>
      </c>
      <c r="L8" s="10" t="n">
        <f aca="false">H13/H8-1</f>
        <v>-0.0215657750828973</v>
      </c>
      <c r="M8" s="10"/>
      <c r="N8" s="10"/>
      <c r="O8" s="10" t="n">
        <f aca="false">IF(COUNT(B8)=0,"",B8-('Signal Analysis'!$C$6+'Signal Analysis'!$C$5*H8))</f>
        <v>-0.39135428627521</v>
      </c>
    </row>
    <row r="9" customFormat="false" ht="15" hidden="false" customHeight="false" outlineLevel="0" collapsed="false">
      <c r="A9" s="8" t="n">
        <v>42335</v>
      </c>
      <c r="B9" s="9" t="n">
        <v>12.8798191188</v>
      </c>
      <c r="C9" s="9" t="n">
        <v>119.269997</v>
      </c>
      <c r="D9" s="9" t="n">
        <v>119.900002</v>
      </c>
      <c r="E9" s="9" t="n">
        <v>118.879997</v>
      </c>
      <c r="F9" s="9" t="n">
        <v>119.620003</v>
      </c>
      <c r="G9" s="9" t="n">
        <v>111.602997</v>
      </c>
      <c r="H9" s="9" t="n">
        <v>111.602997</v>
      </c>
      <c r="I9" s="2" t="str">
        <f aca="false">IF(COUNT(C9:F9)&lt;4,"",IF(OR(D9&lt;MAX(C9,F9)-0.000001,E9&gt;MIN(C9,F9)+0.000001),"FAIL","OK"))</f>
        <v>OK</v>
      </c>
      <c r="J9" s="10" t="n">
        <f aca="false">IF(COUNT(F9,G9)&lt;2,"",G9/F9)</f>
        <v>0.932979386399113</v>
      </c>
      <c r="K9" s="10" t="n">
        <f aca="false">H9/H8-1</f>
        <v>0.00377609346393903</v>
      </c>
      <c r="L9" s="10" t="n">
        <f aca="false">H14/H9-1</f>
        <v>-0.0153819793925426</v>
      </c>
      <c r="M9" s="10"/>
      <c r="N9" s="10"/>
      <c r="O9" s="10" t="n">
        <f aca="false">IF(COUNT(B9)=0,"",B9-('Signal Analysis'!$C$6+'Signal Analysis'!$C$5*H9))</f>
        <v>-0.588875837545873</v>
      </c>
    </row>
    <row r="10" customFormat="false" ht="15" hidden="false" customHeight="false" outlineLevel="0" collapsed="false">
      <c r="A10" s="8" t="n">
        <v>42338</v>
      </c>
      <c r="B10" s="9" t="n">
        <v>13.1847914496</v>
      </c>
      <c r="C10" s="9" t="n">
        <v>120.019997</v>
      </c>
      <c r="D10" s="9" t="n">
        <v>120.07</v>
      </c>
      <c r="E10" s="9" t="n">
        <v>119.050003</v>
      </c>
      <c r="F10" s="9" t="n">
        <v>119.099998</v>
      </c>
      <c r="G10" s="9" t="n">
        <v>111.117851</v>
      </c>
      <c r="H10" s="9" t="n">
        <v>111.117851</v>
      </c>
      <c r="I10" s="2" t="str">
        <f aca="false">IF(COUNT(C10:F10)&lt;4,"",IF(OR(D10&lt;MAX(C10,F10)-0.000001,E10&gt;MIN(C10,F10)+0.000001),"FAIL","OK"))</f>
        <v>OK</v>
      </c>
      <c r="J10" s="10" t="n">
        <f aca="false">IF(COUNT(F10,G10)&lt;2,"",G10/F10)</f>
        <v>0.932979453114684</v>
      </c>
      <c r="K10" s="10" t="n">
        <f aca="false">H10/H9-1</f>
        <v>-0.00434706964007425</v>
      </c>
      <c r="L10" s="10" t="n">
        <f aca="false">H15/H10-1</f>
        <v>-0.0259445622287997</v>
      </c>
      <c r="M10" s="10"/>
      <c r="N10" s="10"/>
      <c r="O10" s="10" t="n">
        <f aca="false">IF(COUNT(B10)=0,"",B10-('Signal Analysis'!$C$6+'Signal Analysis'!$C$5*H10))</f>
        <v>-0.217539207605428</v>
      </c>
    </row>
    <row r="11" customFormat="false" ht="15" hidden="false" customHeight="false" outlineLevel="0" collapsed="false">
      <c r="A11" s="8" t="n">
        <v>42339</v>
      </c>
      <c r="B11" s="9" t="n">
        <v>12.9226314672</v>
      </c>
      <c r="C11" s="9" t="n">
        <v>119.610001</v>
      </c>
      <c r="D11" s="9" t="n">
        <v>119.910004</v>
      </c>
      <c r="E11" s="9" t="n">
        <v>118.900002</v>
      </c>
      <c r="F11" s="9" t="n">
        <v>119.889999</v>
      </c>
      <c r="G11" s="9" t="n">
        <v>111.854897</v>
      </c>
      <c r="H11" s="9" t="n">
        <v>111.854897</v>
      </c>
      <c r="I11" s="2" t="str">
        <f aca="false">IF(COUNT(C11:F11)&lt;4,"",IF(OR(D11&lt;MAX(C11,F11)-0.000001,E11&gt;MIN(C11,F11)+0.000001),"FAIL","OK"))</f>
        <v>OK</v>
      </c>
      <c r="J11" s="10" t="n">
        <f aca="false">IF(COUNT(F11,G11)&lt;2,"",G11/F11)</f>
        <v>0.932979380540323</v>
      </c>
      <c r="K11" s="10" t="n">
        <f aca="false">H11/H10-1</f>
        <v>0.00663301164814634</v>
      </c>
      <c r="L11" s="10" t="n">
        <f aca="false">H16/H11-1</f>
        <v>-0.0377012014056032</v>
      </c>
      <c r="M11" s="10"/>
      <c r="N11" s="10"/>
      <c r="O11" s="10" t="n">
        <f aca="false">IF(COUNT(B11)=0,"",B11-('Signal Analysis'!$C$6+'Signal Analysis'!$C$5*H11))</f>
        <v>-0.580521501689473</v>
      </c>
    </row>
    <row r="12" customFormat="false" ht="15" hidden="false" customHeight="false" outlineLevel="0" collapsed="false">
      <c r="A12" s="8" t="n">
        <v>42340</v>
      </c>
      <c r="B12" s="9" t="n">
        <v>13.1180755764</v>
      </c>
      <c r="C12" s="9" t="n">
        <v>119.730003</v>
      </c>
      <c r="D12" s="9" t="n">
        <v>120.040001</v>
      </c>
      <c r="E12" s="9" t="n">
        <v>118.449997</v>
      </c>
      <c r="F12" s="9" t="n">
        <v>118.599998</v>
      </c>
      <c r="G12" s="9" t="n">
        <v>110.651367</v>
      </c>
      <c r="H12" s="9" t="n">
        <v>110.651367</v>
      </c>
      <c r="I12" s="2" t="str">
        <f aca="false">IF(COUNT(C12:F12)&lt;4,"",IF(OR(D12&lt;MAX(C12,F12)-0.000001,E12&gt;MIN(C12,F12)+0.000001),"FAIL","OK"))</f>
        <v>OK</v>
      </c>
      <c r="J12" s="10" t="n">
        <f aca="false">IF(COUNT(F12,G12)&lt;2,"",G12/F12)</f>
        <v>0.932979501399317</v>
      </c>
      <c r="K12" s="10" t="n">
        <f aca="false">H12/H11-1</f>
        <v>-0.0107597434916059</v>
      </c>
      <c r="L12" s="10" t="n">
        <f aca="false">H17/H12-1</f>
        <v>-0.038111404443833</v>
      </c>
      <c r="M12" s="10"/>
      <c r="N12" s="10"/>
      <c r="O12" s="10" t="n">
        <f aca="false">IF(COUNT(B12)=0,"",B12-('Signal Analysis'!$C$6+'Signal Analysis'!$C$5*H12))</f>
        <v>-0.220443601951164</v>
      </c>
    </row>
    <row r="13" customFormat="false" ht="15" hidden="false" customHeight="false" outlineLevel="0" collapsed="false">
      <c r="A13" s="8" t="n">
        <v>42341</v>
      </c>
      <c r="B13" s="9" t="n">
        <v>12.91653996</v>
      </c>
      <c r="C13" s="9" t="n">
        <v>118.93</v>
      </c>
      <c r="D13" s="9" t="n">
        <v>119.449997</v>
      </c>
      <c r="E13" s="9" t="n">
        <v>116.139999</v>
      </c>
      <c r="F13" s="9" t="n">
        <v>116.599998</v>
      </c>
      <c r="G13" s="9" t="n">
        <v>108.785408</v>
      </c>
      <c r="H13" s="9" t="n">
        <v>108.785408</v>
      </c>
      <c r="I13" s="2" t="str">
        <f aca="false">IF(COUNT(C13:F13)&lt;4,"",IF(OR(D13&lt;MAX(C13,F13)-0.000001,E13&gt;MIN(C13,F13)+0.000001),"FAIL","OK"))</f>
        <v>OK</v>
      </c>
      <c r="J13" s="10" t="n">
        <f aca="false">IF(COUNT(F13,G13)&lt;2,"",G13/F13)</f>
        <v>0.932979501423319</v>
      </c>
      <c r="K13" s="10" t="n">
        <f aca="false">H13/H12-1</f>
        <v>-0.0168634066671765</v>
      </c>
      <c r="L13" s="10" t="n">
        <f aca="false">H18/H13-1</f>
        <v>-0.0183532611285514</v>
      </c>
      <c r="M13" s="10"/>
      <c r="N13" s="10"/>
      <c r="O13" s="10" t="n">
        <f aca="false">IF(COUNT(B13)=0,"",B13-('Signal Analysis'!$C$6+'Signal Analysis'!$C$5*H13))</f>
        <v>-0.166730156708272</v>
      </c>
    </row>
    <row r="14" customFormat="false" ht="15" hidden="false" customHeight="false" outlineLevel="0" collapsed="false">
      <c r="A14" s="8" t="n">
        <v>42342</v>
      </c>
      <c r="B14" s="9" t="n">
        <v>13.1552779968</v>
      </c>
      <c r="C14" s="9" t="n">
        <v>116.599998</v>
      </c>
      <c r="D14" s="9" t="n">
        <v>117.93</v>
      </c>
      <c r="E14" s="9" t="n">
        <v>116.339996</v>
      </c>
      <c r="F14" s="9" t="n">
        <v>117.779999</v>
      </c>
      <c r="G14" s="9" t="n">
        <v>109.886322</v>
      </c>
      <c r="H14" s="9" t="n">
        <v>109.886322</v>
      </c>
      <c r="I14" s="2" t="str">
        <f aca="false">IF(COUNT(C14:F14)&lt;4,"",IF(OR(D14&lt;MAX(C14,F14)-0.000001,E14&gt;MIN(C14,F14)+0.000001),"FAIL","OK"))</f>
        <v>OK</v>
      </c>
      <c r="J14" s="10" t="n">
        <f aca="false">IF(COUNT(F14,G14)&lt;2,"",G14/F14)</f>
        <v>0.93297947812005</v>
      </c>
      <c r="K14" s="10" t="n">
        <f aca="false">H14/H13-1</f>
        <v>0.0101200521305211</v>
      </c>
      <c r="L14" s="10" t="n">
        <f aca="false">H19/H14-1</f>
        <v>-0.0498386414280023</v>
      </c>
      <c r="M14" s="10"/>
      <c r="N14" s="10"/>
      <c r="O14" s="10" t="n">
        <f aca="false">IF(COUNT(B14)=0,"",B14-('Signal Analysis'!$C$6+'Signal Analysis'!$C$5*H14))</f>
        <v>-0.0785888186832846</v>
      </c>
    </row>
    <row r="15" customFormat="false" ht="15" hidden="false" customHeight="false" outlineLevel="0" collapsed="false">
      <c r="A15" s="8" t="n">
        <v>42345</v>
      </c>
      <c r="B15" s="9" t="n">
        <v>12.4302210924</v>
      </c>
      <c r="C15" s="9" t="n">
        <v>117.639999</v>
      </c>
      <c r="D15" s="9" t="n">
        <v>117.669998</v>
      </c>
      <c r="E15" s="9" t="n">
        <v>115.510002</v>
      </c>
      <c r="F15" s="9" t="n">
        <v>116.010002</v>
      </c>
      <c r="G15" s="9" t="n">
        <v>108.234947</v>
      </c>
      <c r="H15" s="9" t="n">
        <v>108.234947</v>
      </c>
      <c r="I15" s="2" t="str">
        <f aca="false">IF(COUNT(C15:F15)&lt;4,"",IF(OR(D15&lt;MAX(C15,F15)-0.000001,E15&gt;MIN(C15,F15)+0.000001),"FAIL","OK"))</f>
        <v>OK</v>
      </c>
      <c r="J15" s="10" t="n">
        <f aca="false">IF(COUNT(F15,G15)&lt;2,"",G15/F15)</f>
        <v>0.932979442582891</v>
      </c>
      <c r="K15" s="10" t="n">
        <f aca="false">H15/H14-1</f>
        <v>-0.0150280305132062</v>
      </c>
      <c r="L15" s="10" t="n">
        <f aca="false">H20/H15-1</f>
        <v>-0.042237550132491</v>
      </c>
      <c r="M15" s="10"/>
      <c r="N15" s="10"/>
      <c r="O15" s="10" t="n">
        <f aca="false">IF(COUNT(B15)=0,"",B15-('Signal Analysis'!$C$6+'Signal Analysis'!$C$5*H15))</f>
        <v>-0.577750127751056</v>
      </c>
    </row>
    <row r="16" customFormat="false" ht="15" hidden="false" customHeight="false" outlineLevel="0" collapsed="false">
      <c r="A16" s="8" t="n">
        <v>42346</v>
      </c>
      <c r="B16" s="9" t="n">
        <v>13.0303351776</v>
      </c>
      <c r="C16" s="9" t="n">
        <v>114.959999</v>
      </c>
      <c r="D16" s="9" t="n">
        <v>116.010002</v>
      </c>
      <c r="E16" s="9" t="n">
        <v>114.459999</v>
      </c>
      <c r="F16" s="9" t="n">
        <v>115.370003</v>
      </c>
      <c r="G16" s="9" t="n">
        <v>107.637833</v>
      </c>
      <c r="H16" s="9" t="n">
        <v>107.637833</v>
      </c>
      <c r="I16" s="2" t="str">
        <f aca="false">IF(COUNT(C16:F16)&lt;4,"",IF(OR(D16&lt;MAX(C16,F16)-0.000001,E16&gt;MIN(C16,F16)+0.000001),"FAIL","OK"))</f>
        <v>OK</v>
      </c>
      <c r="J16" s="10" t="n">
        <f aca="false">IF(COUNT(F16,G16)&lt;2,"",G16/F16)</f>
        <v>0.932979372463048</v>
      </c>
      <c r="K16" s="10" t="n">
        <f aca="false">H16/H15-1</f>
        <v>-0.00551683182327423</v>
      </c>
      <c r="L16" s="10" t="n">
        <f aca="false">H21/H16-1</f>
        <v>-0.0230561404929064</v>
      </c>
      <c r="M16" s="10"/>
      <c r="N16" s="10"/>
      <c r="O16" s="10" t="n">
        <f aca="false">IF(COUNT(B16)=0,"",B16-('Signal Analysis'!$C$6+'Signal Analysis'!$C$5*H16))</f>
        <v>0.104044631136755</v>
      </c>
    </row>
    <row r="17" customFormat="false" ht="15" hidden="false" customHeight="false" outlineLevel="0" collapsed="false">
      <c r="A17" s="8" t="n">
        <v>42347</v>
      </c>
      <c r="B17" s="9" t="n">
        <v>12.43960416</v>
      </c>
      <c r="C17" s="9" t="n">
        <v>115.029999</v>
      </c>
      <c r="D17" s="9" t="n">
        <v>116.169998</v>
      </c>
      <c r="E17" s="9" t="n">
        <v>113.599998</v>
      </c>
      <c r="F17" s="9" t="n">
        <v>114.080002</v>
      </c>
      <c r="G17" s="9" t="n">
        <v>106.434288</v>
      </c>
      <c r="H17" s="9" t="n">
        <v>106.434288</v>
      </c>
      <c r="I17" s="2" t="str">
        <f aca="false">IF(COUNT(C17:F17)&lt;4,"",IF(OR(D17&lt;MAX(C17,F17)-0.000001,E17&gt;MIN(C17,F17)+0.000001),"FAIL","OK"))</f>
        <v>OK</v>
      </c>
      <c r="J17" s="10" t="n">
        <f aca="false">IF(COUNT(F17,G17)&lt;2,"",G17/F17)</f>
        <v>0.93297936653262</v>
      </c>
      <c r="K17" s="10" t="n">
        <f aca="false">H17/H16-1</f>
        <v>-0.0111814309751108</v>
      </c>
      <c r="L17" s="10" t="n">
        <f aca="false">H22/H17-1</f>
        <v>0.00306805265611398</v>
      </c>
      <c r="M17" s="10"/>
      <c r="N17" s="10"/>
      <c r="O17" s="10" t="n">
        <f aca="false">IF(COUNT(B17)=0,"",B17-('Signal Analysis'!$C$6+'Signal Analysis'!$C$5*H17))</f>
        <v>-0.32205054403852</v>
      </c>
    </row>
    <row r="18" customFormat="false" ht="15" hidden="false" customHeight="false" outlineLevel="0" collapsed="false">
      <c r="A18" s="8" t="n">
        <v>42348</v>
      </c>
      <c r="B18" s="9" t="n">
        <v>13.24967112</v>
      </c>
      <c r="C18" s="9" t="n">
        <v>113.889999</v>
      </c>
      <c r="D18" s="9" t="n">
        <v>115.080002</v>
      </c>
      <c r="E18" s="9" t="n">
        <v>113.650002</v>
      </c>
      <c r="F18" s="9" t="n">
        <v>114.459999</v>
      </c>
      <c r="G18" s="9" t="n">
        <v>106.788841</v>
      </c>
      <c r="H18" s="9" t="n">
        <v>106.788841</v>
      </c>
      <c r="I18" s="2" t="str">
        <f aca="false">IF(COUNT(C18:F18)&lt;4,"",IF(OR(D18&lt;MAX(C18,F18)-0.000001,E18&gt;MIN(C18,F18)+0.000001),"FAIL","OK"))</f>
        <v>OK</v>
      </c>
      <c r="J18" s="10" t="n">
        <f aca="false">IF(COUNT(F18,G18)&lt;2,"",G18/F18)</f>
        <v>0.932979573064648</v>
      </c>
      <c r="K18" s="10" t="n">
        <f aca="false">H18/H17-1</f>
        <v>0.00333119154233463</v>
      </c>
      <c r="L18" s="10" t="n">
        <f aca="false">H23/H18-1</f>
        <v>-0.0109208882602256</v>
      </c>
      <c r="M18" s="10"/>
      <c r="N18" s="10"/>
      <c r="O18" s="10" t="n">
        <f aca="false">IF(COUNT(B18)=0,"",B18-('Signal Analysis'!$C$6+'Signal Analysis'!$C$5*H18))</f>
        <v>0.439516250334759</v>
      </c>
    </row>
    <row r="19" customFormat="false" ht="15" hidden="false" customHeight="false" outlineLevel="0" collapsed="false">
      <c r="A19" s="8" t="n">
        <v>42349</v>
      </c>
      <c r="B19" s="9" t="n">
        <v>13.0675260816</v>
      </c>
      <c r="C19" s="9" t="n">
        <v>113.269997</v>
      </c>
      <c r="D19" s="9" t="n">
        <v>113.339996</v>
      </c>
      <c r="E19" s="9" t="n">
        <v>111.529999</v>
      </c>
      <c r="F19" s="9" t="n">
        <v>111.910004</v>
      </c>
      <c r="G19" s="9" t="n">
        <v>104.409737</v>
      </c>
      <c r="H19" s="9" t="n">
        <v>104.409737</v>
      </c>
      <c r="I19" s="2" t="str">
        <f aca="false">IF(COUNT(C19:F19)&lt;4,"",IF(OR(D19&lt;MAX(C19,F19)-0.000001,E19&gt;MIN(C19,F19)+0.000001),"FAIL","OK"))</f>
        <v>OK</v>
      </c>
      <c r="J19" s="10" t="n">
        <f aca="false">IF(COUNT(F19,G19)&lt;2,"",G19/F19)</f>
        <v>0.932979476973301</v>
      </c>
      <c r="K19" s="10" t="n">
        <f aca="false">H19/H18-1</f>
        <v>-0.0222785824597535</v>
      </c>
      <c r="L19" s="10" t="n">
        <f aca="false">H24/H19-1</f>
        <v>-0.00384247687550454</v>
      </c>
      <c r="M19" s="10"/>
      <c r="N19" s="10"/>
      <c r="O19" s="10" t="n">
        <f aca="false">IF(COUNT(B19)=0,"",B19-('Signal Analysis'!$C$6+'Signal Analysis'!$C$5*H19))</f>
        <v>0.58281462390193</v>
      </c>
    </row>
    <row r="20" customFormat="false" ht="15" hidden="false" customHeight="false" outlineLevel="0" collapsed="false">
      <c r="A20" s="8" t="n">
        <v>42352</v>
      </c>
      <c r="B20" s="9" t="n">
        <v>13.0549548432</v>
      </c>
      <c r="C20" s="9" t="n">
        <v>111.870003</v>
      </c>
      <c r="D20" s="9" t="n">
        <v>112.379997</v>
      </c>
      <c r="E20" s="9" t="n">
        <v>110.279999</v>
      </c>
      <c r="F20" s="9" t="n">
        <v>111.110001</v>
      </c>
      <c r="G20" s="9" t="n">
        <v>103.663368</v>
      </c>
      <c r="H20" s="9" t="n">
        <v>103.663368</v>
      </c>
      <c r="I20" s="2" t="str">
        <f aca="false">IF(COUNT(C20:F20)&lt;4,"",IF(OR(D20&lt;MAX(C20,F20)-0.000001,E20&gt;MIN(C20,F20)+0.000001),"FAIL","OK"))</f>
        <v>OK</v>
      </c>
      <c r="J20" s="10" t="n">
        <f aca="false">IF(COUNT(F20,G20)&lt;2,"",G20/F20)</f>
        <v>0.932979633399517</v>
      </c>
      <c r="K20" s="10" t="n">
        <f aca="false">H20/H19-1</f>
        <v>-0.00714846164204019</v>
      </c>
      <c r="L20" s="10" t="n">
        <f aca="false">H25/H20-1</f>
        <v>0.0108899703123673</v>
      </c>
      <c r="M20" s="10"/>
      <c r="N20" s="10"/>
      <c r="O20" s="10" t="n">
        <f aca="false">IF(COUNT(B20)=0,"",B20-('Signal Analysis'!$C$6+'Signal Analysis'!$C$5*H20))</f>
        <v>0.672341012989643</v>
      </c>
    </row>
    <row r="21" customFormat="false" ht="15" hidden="false" customHeight="false" outlineLevel="0" collapsed="false">
      <c r="A21" s="8" t="n">
        <v>42353</v>
      </c>
      <c r="B21" s="9" t="n">
        <v>12.231404892</v>
      </c>
      <c r="C21" s="9" t="n">
        <v>111.730003</v>
      </c>
      <c r="D21" s="9" t="n">
        <v>112.959999</v>
      </c>
      <c r="E21" s="9" t="n">
        <v>111.599998</v>
      </c>
      <c r="F21" s="9" t="n">
        <v>112.709999</v>
      </c>
      <c r="G21" s="9" t="n">
        <v>105.15612</v>
      </c>
      <c r="H21" s="9" t="n">
        <v>105.15612</v>
      </c>
      <c r="I21" s="2" t="str">
        <f aca="false">IF(COUNT(C21:F21)&lt;4,"",IF(OR(D21&lt;MAX(C21,F21)-0.000001,E21&gt;MIN(C21,F21)+0.000001),"FAIL","OK"))</f>
        <v>OK</v>
      </c>
      <c r="J21" s="10" t="n">
        <f aca="false">IF(COUNT(F21,G21)&lt;2,"",G21/F21)</f>
        <v>0.932979513201841</v>
      </c>
      <c r="K21" s="10" t="n">
        <f aca="false">H21/H20-1</f>
        <v>0.0143999951844127</v>
      </c>
      <c r="L21" s="10" t="n">
        <f aca="false">H26/H21-1</f>
        <v>0.0056782905265047</v>
      </c>
      <c r="M21" s="10"/>
      <c r="N21" s="10"/>
      <c r="O21" s="10" t="n">
        <f aca="false">IF(COUNT(B21)=0,"",B21-('Signal Analysis'!$C$6+'Signal Analysis'!$C$5*H21))</f>
        <v>-0.35540610827977</v>
      </c>
    </row>
    <row r="22" customFormat="false" ht="15" hidden="false" customHeight="false" outlineLevel="0" collapsed="false">
      <c r="A22" s="8" t="n">
        <v>42354</v>
      </c>
      <c r="B22" s="9" t="n">
        <v>13.0780739232</v>
      </c>
      <c r="C22" s="9" t="n">
        <v>113.489998</v>
      </c>
      <c r="D22" s="9" t="n">
        <v>114.650002</v>
      </c>
      <c r="E22" s="9" t="n">
        <v>112.830002</v>
      </c>
      <c r="F22" s="9" t="n">
        <v>114.43</v>
      </c>
      <c r="G22" s="9" t="n">
        <v>106.760834</v>
      </c>
      <c r="H22" s="9" t="n">
        <v>106.760834</v>
      </c>
      <c r="I22" s="2" t="str">
        <f aca="false">IF(COUNT(C22:F22)&lt;4,"",IF(OR(D22&lt;MAX(C22,F22)-0.000001,E22&gt;MIN(C22,F22)+0.000001),"FAIL","OK"))</f>
        <v>OK</v>
      </c>
      <c r="J22" s="10" t="n">
        <f aca="false">IF(COUNT(F22,G22)&lt;2,"",G22/F22)</f>
        <v>0.932979410993621</v>
      </c>
      <c r="K22" s="10" t="n">
        <f aca="false">H22/H21-1</f>
        <v>0.0152603005892573</v>
      </c>
      <c r="L22" s="10" t="n">
        <f aca="false">H27/H22-1</f>
        <v>0.00305865913336723</v>
      </c>
      <c r="M22" s="10"/>
      <c r="N22" s="10"/>
      <c r="O22" s="10" t="n">
        <f aca="false">IF(COUNT(B22)=0,"",B22-('Signal Analysis'!$C$6+'Signal Analysis'!$C$5*H22))</f>
        <v>0.271750199058015</v>
      </c>
    </row>
    <row r="23" customFormat="false" ht="15" hidden="false" customHeight="false" outlineLevel="0" collapsed="false">
      <c r="A23" s="8" t="n">
        <v>42355</v>
      </c>
      <c r="B23" s="9" t="n">
        <v>12.4365794952</v>
      </c>
      <c r="C23" s="9" t="n">
        <v>114.910004</v>
      </c>
      <c r="D23" s="9" t="n">
        <v>114.940002</v>
      </c>
      <c r="E23" s="9" t="n">
        <v>112.970001</v>
      </c>
      <c r="F23" s="9" t="n">
        <v>113.209999</v>
      </c>
      <c r="G23" s="9" t="n">
        <v>105.622612</v>
      </c>
      <c r="H23" s="9" t="n">
        <v>105.622612</v>
      </c>
      <c r="I23" s="2" t="str">
        <f aca="false">IF(COUNT(C23:F23)&lt;4,"",IF(OR(D23&lt;MAX(C23,F23)-0.000001,E23&gt;MIN(C23,F23)+0.000001),"FAIL","OK"))</f>
        <v>OK</v>
      </c>
      <c r="J23" s="10" t="n">
        <f aca="false">IF(COUNT(F23,G23)&lt;2,"",G23/F23)</f>
        <v>0.932979533018104</v>
      </c>
      <c r="K23" s="10" t="n">
        <f aca="false">H23/H22-1</f>
        <v>-0.0106614191492734</v>
      </c>
      <c r="L23" s="10" t="n">
        <f aca="false">H28/H23-1</f>
        <v>0.0157842621805262</v>
      </c>
      <c r="M23" s="10"/>
      <c r="N23" s="10"/>
      <c r="O23" s="10" t="n">
        <f aca="false">IF(COUNT(B23)=0,"",B23-('Signal Analysis'!$C$6+'Signal Analysis'!$C$5*H23))</f>
        <v>-0.214044078273457</v>
      </c>
    </row>
    <row r="24" customFormat="false" ht="15" hidden="false" customHeight="false" outlineLevel="0" collapsed="false">
      <c r="A24" s="8" t="n">
        <v>42356</v>
      </c>
      <c r="B24" s="9" t="n">
        <v>13.1074951896</v>
      </c>
      <c r="C24" s="9" t="n">
        <v>112.660004</v>
      </c>
      <c r="D24" s="9" t="n">
        <v>112.889999</v>
      </c>
      <c r="E24" s="9" t="n">
        <v>111.440002</v>
      </c>
      <c r="F24" s="9" t="n">
        <v>111.480003</v>
      </c>
      <c r="G24" s="9" t="n">
        <v>104.008545</v>
      </c>
      <c r="H24" s="9" t="n">
        <v>104.008545</v>
      </c>
      <c r="I24" s="2" t="str">
        <f aca="false">IF(COUNT(C24:F24)&lt;4,"",IF(OR(D24&lt;MAX(C24,F24)-0.000001,E24&gt;MIN(C24,F24)+0.000001),"FAIL","OK"))</f>
        <v>OK</v>
      </c>
      <c r="J24" s="10" t="n">
        <f aca="false">IF(COUNT(F24,G24)&lt;2,"",G24/F24)</f>
        <v>0.932979388240598</v>
      </c>
      <c r="K24" s="10" t="n">
        <f aca="false">H24/H23-1</f>
        <v>-0.0152814531797415</v>
      </c>
      <c r="L24" s="10" t="n">
        <f aca="false">H29/H24-1</f>
        <v>0.0267728675562187</v>
      </c>
      <c r="M24" s="10"/>
      <c r="N24" s="10"/>
      <c r="O24" s="10" t="n">
        <f aca="false">IF(COUNT(B24)=0,"",B24-('Signal Analysis'!$C$6+'Signal Analysis'!$C$5*H24))</f>
        <v>0.67766375956526</v>
      </c>
    </row>
    <row r="25" customFormat="false" ht="15" hidden="false" customHeight="false" outlineLevel="0" collapsed="false">
      <c r="A25" s="8" t="n">
        <v>42359</v>
      </c>
      <c r="B25" s="9" t="n">
        <v>12.4885312068</v>
      </c>
      <c r="C25" s="9" t="n">
        <v>112.169998</v>
      </c>
      <c r="D25" s="9" t="n">
        <v>112.629997</v>
      </c>
      <c r="E25" s="9" t="n">
        <v>111.5</v>
      </c>
      <c r="F25" s="9" t="n">
        <v>112.32</v>
      </c>
      <c r="G25" s="9" t="n">
        <v>104.792259</v>
      </c>
      <c r="H25" s="9" t="n">
        <v>104.792259</v>
      </c>
      <c r="I25" s="2" t="str">
        <f aca="false">IF(COUNT(C25:F25)&lt;4,"",IF(OR(D25&lt;MAX(C25,F25)-0.000001,E25&gt;MIN(C25,F25)+0.000001),"FAIL","OK"))</f>
        <v>OK</v>
      </c>
      <c r="J25" s="10" t="n">
        <f aca="false">IF(COUNT(F25,G25)&lt;2,"",G25/F25)</f>
        <v>0.932979513888889</v>
      </c>
      <c r="K25" s="10" t="n">
        <f aca="false">H25/H24-1</f>
        <v>0.0075350924291846</v>
      </c>
      <c r="L25" s="10" t="n">
        <f aca="false">H30/H25-1</f>
        <v>0.0300923945155147</v>
      </c>
      <c r="M25" s="10"/>
      <c r="N25" s="10"/>
      <c r="O25" s="10" t="n">
        <f aca="false">IF(COUNT(B25)=0,"",B25-('Signal Analysis'!$C$6+'Signal Analysis'!$C$5*H25))</f>
        <v>-0.0485063639357968</v>
      </c>
    </row>
    <row r="26" customFormat="false" ht="15" hidden="false" customHeight="false" outlineLevel="0" collapsed="false">
      <c r="A26" s="8" t="n">
        <v>42360</v>
      </c>
      <c r="B26" s="9" t="n">
        <v>12.9433300224</v>
      </c>
      <c r="C26" s="9" t="n">
        <v>112.639999</v>
      </c>
      <c r="D26" s="9" t="n">
        <v>113.519997</v>
      </c>
      <c r="E26" s="9" t="n">
        <v>111.790001</v>
      </c>
      <c r="F26" s="9" t="n">
        <v>113.349998</v>
      </c>
      <c r="G26" s="9" t="n">
        <v>105.753227</v>
      </c>
      <c r="H26" s="9" t="n">
        <v>105.753227</v>
      </c>
      <c r="I26" s="2" t="str">
        <f aca="false">IF(COUNT(C26:F26)&lt;4,"",IF(OR(D26&lt;MAX(C26,F26)-0.000001,E26&gt;MIN(C26,F26)+0.000001),"FAIL","OK"))</f>
        <v>OK</v>
      </c>
      <c r="J26" s="10" t="n">
        <f aca="false">IF(COUNT(F26,G26)&lt;2,"",G26/F26)</f>
        <v>0.93297952241693</v>
      </c>
      <c r="K26" s="10" t="n">
        <f aca="false">H26/H25-1</f>
        <v>0.00917021933843398</v>
      </c>
      <c r="L26" s="10" t="n">
        <f aca="false">H31/H26-1</f>
        <v>0.0104537897458203</v>
      </c>
      <c r="M26" s="10"/>
      <c r="N26" s="10"/>
      <c r="O26" s="10" t="n">
        <f aca="false">IF(COUNT(B26)=0,"",B26-('Signal Analysis'!$C$6+'Signal Analysis'!$C$5*H26))</f>
        <v>0.274839305979413</v>
      </c>
    </row>
    <row r="27" customFormat="false" ht="15" hidden="false" customHeight="false" outlineLevel="0" collapsed="false">
      <c r="A27" s="8" t="n">
        <v>42361</v>
      </c>
      <c r="B27" s="9" t="n">
        <v>12.95348508</v>
      </c>
      <c r="C27" s="9" t="n">
        <v>113.919998</v>
      </c>
      <c r="D27" s="9" t="n">
        <v>114.959999</v>
      </c>
      <c r="E27" s="9" t="n">
        <v>113.730003</v>
      </c>
      <c r="F27" s="9" t="n">
        <v>114.779999</v>
      </c>
      <c r="G27" s="9" t="n">
        <v>107.087379</v>
      </c>
      <c r="H27" s="9" t="n">
        <v>107.087379</v>
      </c>
      <c r="I27" s="2" t="str">
        <f aca="false">IF(COUNT(C27:F27)&lt;4,"",IF(OR(D27&lt;MAX(C27,F27)-0.000001,E27&gt;MIN(C27,F27)+0.000001),"FAIL","OK"))</f>
        <v>OK</v>
      </c>
      <c r="J27" s="10" t="n">
        <f aca="false">IF(COUNT(F27,G27)&lt;2,"",G27/F27)</f>
        <v>0.932979438342738</v>
      </c>
      <c r="K27" s="10" t="n">
        <f aca="false">H27/H26-1</f>
        <v>0.0126157095896469</v>
      </c>
      <c r="L27" s="10" t="n">
        <f aca="false">H32/H27-1</f>
        <v>-0.0145601752004781</v>
      </c>
      <c r="M27" s="10"/>
      <c r="N27" s="10"/>
      <c r="O27" s="10" t="n">
        <f aca="false">IF(COUNT(B27)=0,"",B27-('Signal Analysis'!$C$6+'Signal Analysis'!$C$5*H27))</f>
        <v>0.102492472546979</v>
      </c>
    </row>
    <row r="28" customFormat="false" ht="15" hidden="false" customHeight="false" outlineLevel="0" collapsed="false">
      <c r="A28" s="8" t="n">
        <v>42362</v>
      </c>
      <c r="B28" s="9" t="n">
        <v>12.5665888824</v>
      </c>
      <c r="C28" s="9" t="n">
        <v>114.440002</v>
      </c>
      <c r="D28" s="9" t="n">
        <v>115.160004</v>
      </c>
      <c r="E28" s="9" t="n">
        <v>114.150002</v>
      </c>
      <c r="F28" s="9" t="n">
        <v>114.5</v>
      </c>
      <c r="G28" s="9" t="n">
        <v>107.289787</v>
      </c>
      <c r="H28" s="9" t="n">
        <v>107.289787</v>
      </c>
      <c r="I28" s="2" t="str">
        <f aca="false">IF(COUNT(C28:F28)&lt;4,"",IF(OR(D28&lt;MAX(C28,F28)-0.000001,E28&gt;MIN(C28,F28)+0.000001),"FAIL","OK"))</f>
        <v>OK</v>
      </c>
      <c r="J28" s="10" t="n">
        <f aca="false">IF(COUNT(F28,G28)&lt;2,"",G28/F28)</f>
        <v>0.937028707423581</v>
      </c>
      <c r="K28" s="10" t="n">
        <f aca="false">H28/H27-1</f>
        <v>0.00189012002992439</v>
      </c>
      <c r="L28" s="10" t="n">
        <f aca="false">H33/H28-1</f>
        <v>-0.0392139840859224</v>
      </c>
      <c r="M28" s="10"/>
      <c r="N28" s="10"/>
      <c r="O28" s="10" t="n">
        <f aca="false">IF(COUNT(B28)=0,"",B28-('Signal Analysis'!$C$6+'Signal Analysis'!$C$5*H28))</f>
        <v>-0.312091606763721</v>
      </c>
    </row>
    <row r="29" customFormat="false" ht="15" hidden="false" customHeight="false" outlineLevel="0" collapsed="false">
      <c r="A29" s="8" t="n">
        <v>42366</v>
      </c>
      <c r="B29" s="9" t="n">
        <v>13.1699153664</v>
      </c>
      <c r="C29" s="9" t="n">
        <v>113.980003</v>
      </c>
      <c r="D29" s="9" t="n">
        <v>114.07</v>
      </c>
      <c r="E29" s="9" t="n">
        <v>112.959999</v>
      </c>
      <c r="F29" s="9" t="n">
        <v>113.970001</v>
      </c>
      <c r="G29" s="9" t="n">
        <v>106.793152</v>
      </c>
      <c r="H29" s="9" t="n">
        <v>106.793152</v>
      </c>
      <c r="I29" s="2" t="str">
        <f aca="false">IF(COUNT(C29:F29)&lt;4,"",IF(OR(D29&lt;MAX(C29,F29)-0.000001,E29&gt;MIN(C29,F29)+0.000001),"FAIL","OK"))</f>
        <v>OK</v>
      </c>
      <c r="J29" s="10" t="n">
        <f aca="false">IF(COUNT(F29,G29)&lt;2,"",G29/F29)</f>
        <v>0.937028613345366</v>
      </c>
      <c r="K29" s="10" t="n">
        <f aca="false">H29/H28-1</f>
        <v>-0.00462891216290695</v>
      </c>
      <c r="L29" s="10" t="n">
        <f aca="false">H34/H29-1</f>
        <v>-0.0326401172239958</v>
      </c>
      <c r="M29" s="10"/>
      <c r="N29" s="10"/>
      <c r="O29" s="10" t="n">
        <f aca="false">IF(COUNT(B29)=0,"",B29-('Signal Analysis'!$C$6+'Signal Analysis'!$C$5*H29))</f>
        <v>0.35917078457884</v>
      </c>
    </row>
    <row r="30" customFormat="false" ht="15" hidden="false" customHeight="false" outlineLevel="0" collapsed="false">
      <c r="A30" s="8" t="n">
        <v>42367</v>
      </c>
      <c r="B30" s="9" t="n">
        <v>12.988398402</v>
      </c>
      <c r="C30" s="9" t="n">
        <v>114.480003</v>
      </c>
      <c r="D30" s="9" t="n">
        <v>115.290001</v>
      </c>
      <c r="E30" s="9" t="n">
        <v>114.07</v>
      </c>
      <c r="F30" s="9" t="n">
        <v>115.199997</v>
      </c>
      <c r="G30" s="9" t="n">
        <v>107.945709</v>
      </c>
      <c r="H30" s="9" t="n">
        <v>107.945709</v>
      </c>
      <c r="I30" s="2" t="str">
        <f aca="false">IF(COUNT(C30:F30)&lt;4,"",IF(OR(D30&lt;MAX(C30,F30)-0.000001,E30&gt;MIN(C30,F30)+0.000001),"FAIL","OK"))</f>
        <v>OK</v>
      </c>
      <c r="J30" s="10" t="n">
        <f aca="false">IF(COUNT(F30,G30)&lt;2,"",G30/F30)</f>
        <v>0.937028748360124</v>
      </c>
      <c r="K30" s="10" t="n">
        <f aca="false">H30/H29-1</f>
        <v>0.0107924242183617</v>
      </c>
      <c r="L30" s="10" t="n">
        <f aca="false">H35/H30-1</f>
        <v>-0.0575521626339033</v>
      </c>
      <c r="M30" s="10"/>
      <c r="N30" s="10"/>
      <c r="O30" s="10" t="n">
        <f aca="false">IF(COUNT(B30)=0,"",B30-('Signal Analysis'!$C$6+'Signal Analysis'!$C$5*H30))</f>
        <v>0.0199927500588935</v>
      </c>
    </row>
    <row r="31" customFormat="false" ht="15" hidden="false" customHeight="false" outlineLevel="0" collapsed="false">
      <c r="A31" s="8" t="n">
        <v>42368</v>
      </c>
      <c r="B31" s="9" t="n">
        <v>12.6448271064</v>
      </c>
      <c r="C31" s="9" t="n">
        <v>115.050003</v>
      </c>
      <c r="D31" s="9" t="n">
        <v>115.349998</v>
      </c>
      <c r="E31" s="9" t="n">
        <v>114</v>
      </c>
      <c r="F31" s="9" t="n">
        <v>114.040001</v>
      </c>
      <c r="G31" s="9" t="n">
        <v>106.858749</v>
      </c>
      <c r="H31" s="9" t="n">
        <v>106.858749</v>
      </c>
      <c r="I31" s="2" t="str">
        <f aca="false">IF(COUNT(C31:F31)&lt;4,"",IF(OR(D31&lt;MAX(C31,F31)-0.000001,E31&gt;MIN(C31,F31)+0.000001),"FAIL","OK"))</f>
        <v>OK</v>
      </c>
      <c r="J31" s="10" t="n">
        <f aca="false">IF(COUNT(F31,G31)&lt;2,"",G31/F31)</f>
        <v>0.937028657163902</v>
      </c>
      <c r="K31" s="10" t="n">
        <f aca="false">H31/H30-1</f>
        <v>-0.0100695063293345</v>
      </c>
      <c r="L31" s="10" t="n">
        <f aca="false">H36/H31-1</f>
        <v>-0.073395403496629</v>
      </c>
      <c r="M31" s="10"/>
      <c r="N31" s="10"/>
      <c r="O31" s="10" t="n">
        <f aca="false">IF(COUNT(B31)=0,"",B31-('Signal Analysis'!$C$6+'Signal Analysis'!$C$5*H31))</f>
        <v>-0.174890648302551</v>
      </c>
    </row>
    <row r="32" customFormat="false" ht="15" hidden="false" customHeight="false" outlineLevel="0" collapsed="false">
      <c r="A32" s="8" t="n">
        <v>42369</v>
      </c>
      <c r="B32" s="9" t="n">
        <v>11.96382432</v>
      </c>
      <c r="C32" s="9" t="n">
        <v>113.559998</v>
      </c>
      <c r="D32" s="9" t="n">
        <v>113.970001</v>
      </c>
      <c r="E32" s="9" t="n">
        <v>112.510002</v>
      </c>
      <c r="F32" s="9" t="n">
        <v>112.620003</v>
      </c>
      <c r="G32" s="9" t="n">
        <v>105.528168</v>
      </c>
      <c r="H32" s="9" t="n">
        <v>105.528168</v>
      </c>
      <c r="I32" s="2" t="str">
        <f aca="false">IF(COUNT(C32:F32)&lt;4,"",IF(OR(D32&lt;MAX(C32,F32)-0.000001,E32&gt;MIN(C32,F32)+0.000001),"FAIL","OK"))</f>
        <v>OK</v>
      </c>
      <c r="J32" s="10" t="n">
        <f aca="false">IF(COUNT(F32,G32)&lt;2,"",G32/F32)</f>
        <v>0.937028637798917</v>
      </c>
      <c r="K32" s="10" t="n">
        <f aca="false">H32/H31-1</f>
        <v>-0.0124517740704602</v>
      </c>
      <c r="L32" s="10" t="n">
        <f aca="false">H37/H32-1</f>
        <v>-0.0778723648457538</v>
      </c>
      <c r="M32" s="10"/>
      <c r="N32" s="10"/>
      <c r="O32" s="10" t="n">
        <f aca="false">IF(COUNT(B32)=0,"",B32-('Signal Analysis'!$C$6+'Signal Analysis'!$C$5*H32))</f>
        <v>-0.673880029429517</v>
      </c>
    </row>
    <row r="33" customFormat="false" ht="15" hidden="false" customHeight="false" outlineLevel="0" collapsed="false">
      <c r="A33" s="8" t="n">
        <v>42373</v>
      </c>
      <c r="B33" s="9" t="n">
        <v>12.475991808</v>
      </c>
      <c r="C33" s="9" t="n">
        <v>110.610001</v>
      </c>
      <c r="D33" s="9" t="n">
        <v>110.830002</v>
      </c>
      <c r="E33" s="9" t="n">
        <v>109.080002</v>
      </c>
      <c r="F33" s="9" t="n">
        <v>110.010002</v>
      </c>
      <c r="G33" s="9" t="n">
        <v>103.082527</v>
      </c>
      <c r="H33" s="9" t="n">
        <v>103.082527</v>
      </c>
      <c r="I33" s="2" t="str">
        <f aca="false">IF(COUNT(C33:F33)&lt;4,"",IF(OR(D33&lt;MAX(C33,F33)-0.000001,E33&gt;MIN(C33,F33)+0.000001),"FAIL","OK"))</f>
        <v>OK</v>
      </c>
      <c r="J33" s="10" t="n">
        <f aca="false">IF(COUNT(F33,G33)&lt;2,"",G33/F33)</f>
        <v>0.93702868035581</v>
      </c>
      <c r="K33" s="10" t="n">
        <f aca="false">H33/H32-1</f>
        <v>-0.023175243599415</v>
      </c>
      <c r="L33" s="10" t="n">
        <f aca="false">H38/H33-1</f>
        <v>-0.0600854109833764</v>
      </c>
      <c r="M33" s="10"/>
      <c r="N33" s="10"/>
      <c r="O33" s="10" t="n">
        <f aca="false">IF(COUNT(B33)=0,"",B33-('Signal Analysis'!$C$6+'Signal Analysis'!$C$5*H33))</f>
        <v>0.172832628301107</v>
      </c>
    </row>
    <row r="34" customFormat="false" ht="15" hidden="false" customHeight="false" outlineLevel="0" collapsed="false">
      <c r="A34" s="8" t="n">
        <v>42374</v>
      </c>
      <c r="B34" s="9" t="n">
        <v>11.09339016</v>
      </c>
      <c r="C34" s="9" t="n">
        <v>110.410004</v>
      </c>
      <c r="D34" s="9" t="n">
        <v>110.580002</v>
      </c>
      <c r="E34" s="9" t="n">
        <v>109.550003</v>
      </c>
      <c r="F34" s="9" t="n">
        <v>110.25</v>
      </c>
      <c r="G34" s="9" t="n">
        <v>103.307411</v>
      </c>
      <c r="H34" s="9" t="n">
        <v>103.307411</v>
      </c>
      <c r="I34" s="2" t="str">
        <f aca="false">IF(COUNT(C34:F34)&lt;4,"",IF(OR(D34&lt;MAX(C34,F34)-0.000001,E34&gt;MIN(C34,F34)+0.000001),"FAIL","OK"))</f>
        <v>OK</v>
      </c>
      <c r="J34" s="10" t="n">
        <f aca="false">IF(COUNT(F34,G34)&lt;2,"",G34/F34)</f>
        <v>0.937028671201814</v>
      </c>
      <c r="K34" s="10" t="n">
        <f aca="false">H34/H33-1</f>
        <v>0.0021815918424275</v>
      </c>
      <c r="L34" s="10" t="n">
        <f aca="false">H39/H34-1</f>
        <v>-0.0593197907166602</v>
      </c>
      <c r="M34" s="10"/>
      <c r="N34" s="10"/>
      <c r="O34" s="10" t="n">
        <f aca="false">IF(COUNT(B34)=0,"",B34-('Signal Analysis'!$C$6+'Signal Analysis'!$C$5*H34))</f>
        <v>-1.24053144801511</v>
      </c>
    </row>
    <row r="35" customFormat="false" ht="15" hidden="false" customHeight="false" outlineLevel="0" collapsed="false">
      <c r="A35" s="8" t="n">
        <v>42375</v>
      </c>
      <c r="B35" s="9" t="n">
        <v>11.1615864192</v>
      </c>
      <c r="C35" s="9" t="n">
        <v>108.699997</v>
      </c>
      <c r="D35" s="9" t="n">
        <v>109.599998</v>
      </c>
      <c r="E35" s="9" t="n">
        <v>108</v>
      </c>
      <c r="F35" s="9" t="n">
        <v>108.57</v>
      </c>
      <c r="G35" s="9" t="n">
        <v>101.7332</v>
      </c>
      <c r="H35" s="9" t="n">
        <v>101.7332</v>
      </c>
      <c r="I35" s="2" t="str">
        <f aca="false">IF(COUNT(C35:F35)&lt;4,"",IF(OR(D35&lt;MAX(C35,F35)-0.000001,E35&gt;MIN(C35,F35)+0.000001),"FAIL","OK"))</f>
        <v>OK</v>
      </c>
      <c r="J35" s="10" t="n">
        <f aca="false">IF(COUNT(F35,G35)&lt;2,"",G35/F35)</f>
        <v>0.937028645113752</v>
      </c>
      <c r="K35" s="10" t="n">
        <f aca="false">H35/H34-1</f>
        <v>-0.0152381226551114</v>
      </c>
      <c r="L35" s="10" t="n">
        <f aca="false">H40/H35-1</f>
        <v>-0.0754351873331419</v>
      </c>
      <c r="M35" s="10"/>
      <c r="N35" s="10"/>
      <c r="O35" s="10" t="n">
        <f aca="false">IF(COUNT(B35)=0,"",B35-('Signal Analysis'!$C$6+'Signal Analysis'!$C$5*H35))</f>
        <v>-0.956995044375752</v>
      </c>
    </row>
    <row r="36" customFormat="false" ht="15" hidden="false" customHeight="false" outlineLevel="0" collapsed="false">
      <c r="A36" s="8" t="n">
        <v>42376</v>
      </c>
      <c r="B36" s="9" t="n">
        <v>12.0113536932</v>
      </c>
      <c r="C36" s="9" t="n">
        <v>106.720001</v>
      </c>
      <c r="D36" s="9" t="n">
        <v>107.5</v>
      </c>
      <c r="E36" s="9" t="n">
        <v>105.489998</v>
      </c>
      <c r="F36" s="9" t="n">
        <v>105.669998</v>
      </c>
      <c r="G36" s="9" t="n">
        <v>99.015808</v>
      </c>
      <c r="H36" s="9" t="n">
        <v>99.015808</v>
      </c>
      <c r="I36" s="2" t="str">
        <f aca="false">IF(COUNT(C36:F36)&lt;4,"",IF(OR(D36&lt;MAX(C36,F36)-0.000001,E36&gt;MIN(C36,F36)+0.000001),"FAIL","OK"))</f>
        <v>OK</v>
      </c>
      <c r="J36" s="10" t="n">
        <f aca="false">IF(COUNT(F36,G36)&lt;2,"",G36/F36)</f>
        <v>0.937028578348227</v>
      </c>
      <c r="K36" s="10" t="n">
        <f aca="false">H36/H35-1</f>
        <v>-0.0267109655451709</v>
      </c>
      <c r="L36" s="10" t="n">
        <f aca="false">H41/H36-1</f>
        <v>-0.0369073491780223</v>
      </c>
      <c r="M36" s="10"/>
      <c r="N36" s="10"/>
      <c r="O36" s="10" t="n">
        <f aca="false">IF(COUNT(B36)=0,"",B36-('Signal Analysis'!$C$6+'Signal Analysis'!$C$5*H36))</f>
        <v>0.264490878381215</v>
      </c>
    </row>
    <row r="37" customFormat="false" ht="15" hidden="false" customHeight="false" outlineLevel="0" collapsed="false">
      <c r="A37" s="8" t="n">
        <v>42377</v>
      </c>
      <c r="B37" s="9" t="n">
        <v>10.722718818</v>
      </c>
      <c r="C37" s="9" t="n">
        <v>105.870003</v>
      </c>
      <c r="D37" s="9" t="n">
        <v>106.489998</v>
      </c>
      <c r="E37" s="9" t="n">
        <v>103.660004</v>
      </c>
      <c r="F37" s="9" t="n">
        <v>103.849998</v>
      </c>
      <c r="G37" s="9" t="n">
        <v>97.31044</v>
      </c>
      <c r="H37" s="9" t="n">
        <v>97.31044</v>
      </c>
      <c r="I37" s="2" t="str">
        <f aca="false">IF(COUNT(C37:F37)&lt;4,"",IF(OR(D37&lt;MAX(C37,F37)-0.000001,E37&gt;MIN(C37,F37)+0.000001),"FAIL","OK"))</f>
        <v>OK</v>
      </c>
      <c r="J37" s="10" t="n">
        <f aca="false">IF(COUNT(F37,G37)&lt;2,"",G37/F37)</f>
        <v>0.937028809572052</v>
      </c>
      <c r="K37" s="10" t="n">
        <f aca="false">H37/H36-1</f>
        <v>-0.0172231892507508</v>
      </c>
      <c r="L37" s="10" t="n">
        <f aca="false">H42/H37-1</f>
        <v>-0.0359171842199048</v>
      </c>
      <c r="M37" s="10"/>
      <c r="N37" s="10"/>
      <c r="O37" s="10" t="n">
        <f aca="false">IF(COUNT(B37)=0,"",B37-('Signal Analysis'!$C$6+'Signal Analysis'!$C$5*H37))</f>
        <v>-0.790862567936468</v>
      </c>
    </row>
    <row r="38" customFormat="false" ht="15" hidden="false" customHeight="false" outlineLevel="0" collapsed="false">
      <c r="A38" s="8" t="n">
        <v>42380</v>
      </c>
      <c r="B38" s="9" t="n">
        <v>11.3289339636</v>
      </c>
      <c r="C38" s="9" t="n">
        <v>104.209999</v>
      </c>
      <c r="D38" s="9" t="n">
        <v>104.779999</v>
      </c>
      <c r="E38" s="9" t="n">
        <v>102.309998</v>
      </c>
      <c r="F38" s="9" t="n">
        <v>103.400002</v>
      </c>
      <c r="G38" s="9" t="n">
        <v>96.888771</v>
      </c>
      <c r="H38" s="9" t="n">
        <v>96.888771</v>
      </c>
      <c r="I38" s="2" t="str">
        <f aca="false">IF(COUNT(C38:F38)&lt;4,"",IF(OR(D38&lt;MAX(C38,F38)-0.000001,E38&gt;MIN(C38,F38)+0.000001),"FAIL","OK"))</f>
        <v>OK</v>
      </c>
      <c r="J38" s="10" t="n">
        <f aca="false">IF(COUNT(F38,G38)&lt;2,"",G38/F38)</f>
        <v>0.937028714951089</v>
      </c>
      <c r="K38" s="10" t="n">
        <f aca="false">H38/H37-1</f>
        <v>-0.00433323495402949</v>
      </c>
      <c r="L38" s="10" t="n">
        <f aca="false">H43/H38-1</f>
        <v>-0.0447776141158814</v>
      </c>
      <c r="M38" s="10"/>
      <c r="N38" s="10"/>
      <c r="O38" s="10" t="n">
        <f aca="false">IF(COUNT(B38)=0,"",B38-('Signal Analysis'!$C$6+'Signal Analysis'!$C$5*H38))</f>
        <v>-0.126966296130641</v>
      </c>
    </row>
    <row r="39" customFormat="false" ht="15" hidden="false" customHeight="false" outlineLevel="0" collapsed="false">
      <c r="A39" s="8" t="n">
        <v>42381</v>
      </c>
      <c r="B39" s="9" t="n">
        <v>10.8075252096</v>
      </c>
      <c r="C39" s="9" t="n">
        <v>104.220001</v>
      </c>
      <c r="D39" s="9" t="n">
        <v>104.989998</v>
      </c>
      <c r="E39" s="9" t="n">
        <v>101.940002</v>
      </c>
      <c r="F39" s="9" t="n">
        <v>103.709999</v>
      </c>
      <c r="G39" s="9" t="n">
        <v>97.179237</v>
      </c>
      <c r="H39" s="9" t="n">
        <v>97.179237</v>
      </c>
      <c r="I39" s="2" t="str">
        <f aca="false">IF(COUNT(C39:F39)&lt;4,"",IF(OR(D39&lt;MAX(C39,F39)-0.000001,E39&gt;MIN(C39,F39)+0.000001),"FAIL","OK"))</f>
        <v>OK</v>
      </c>
      <c r="J39" s="10" t="n">
        <f aca="false">IF(COUNT(F39,G39)&lt;2,"",G39/F39)</f>
        <v>0.937028617655276</v>
      </c>
      <c r="K39" s="10" t="n">
        <f aca="false">H39/H38-1</f>
        <v>0.00299793254679637</v>
      </c>
      <c r="L39" s="10" t="n">
        <f aca="false">H44/H39-1</f>
        <v>-0.0436794435832009</v>
      </c>
      <c r="M39" s="10"/>
      <c r="N39" s="10"/>
      <c r="O39" s="10" t="n">
        <f aca="false">IF(COUNT(B39)=0,"",B39-('Signal Analysis'!$C$6+'Signal Analysis'!$C$5*H39))</f>
        <v>-0.688108599441836</v>
      </c>
    </row>
    <row r="40" customFormat="false" ht="15" hidden="false" customHeight="false" outlineLevel="0" collapsed="false">
      <c r="A40" s="8" t="n">
        <v>42382</v>
      </c>
      <c r="B40" s="9" t="n">
        <v>11.661340698</v>
      </c>
      <c r="C40" s="9" t="n">
        <v>103.910004</v>
      </c>
      <c r="D40" s="9" t="n">
        <v>104.419998</v>
      </c>
      <c r="E40" s="9" t="n">
        <v>99.650002</v>
      </c>
      <c r="F40" s="9" t="n">
        <v>100.379997</v>
      </c>
      <c r="G40" s="9" t="n">
        <v>94.058937</v>
      </c>
      <c r="H40" s="9" t="n">
        <v>94.058937</v>
      </c>
      <c r="I40" s="2" t="str">
        <f aca="false">IF(COUNT(C40:F40)&lt;4,"",IF(OR(D40&lt;MAX(C40,F40)-0.000001,E40&gt;MIN(C40,F40)+0.000001),"FAIL","OK"))</f>
        <v>OK</v>
      </c>
      <c r="J40" s="10" t="n">
        <f aca="false">IF(COUNT(F40,G40)&lt;2,"",G40/F40)</f>
        <v>0.93702868909231</v>
      </c>
      <c r="K40" s="10" t="n">
        <f aca="false">H40/H39-1</f>
        <v>-0.0321087106292057</v>
      </c>
      <c r="L40" s="10" t="n">
        <f aca="false">H45/H40-1</f>
        <v>-0.0142460253404736</v>
      </c>
      <c r="M40" s="10"/>
      <c r="N40" s="10"/>
      <c r="O40" s="10" t="n">
        <f aca="false">IF(COUNT(B40)=0,"",B40-('Signal Analysis'!$C$6+'Signal Analysis'!$C$5*H40))</f>
        <v>0.592540301184435</v>
      </c>
    </row>
    <row r="41" customFormat="false" ht="15" hidden="false" customHeight="false" outlineLevel="0" collapsed="false">
      <c r="A41" s="8" t="n">
        <v>42383</v>
      </c>
      <c r="B41" s="9" t="n">
        <v>11.709747252</v>
      </c>
      <c r="C41" s="9" t="n">
        <v>100.860001</v>
      </c>
      <c r="D41" s="9" t="n">
        <v>102.709999</v>
      </c>
      <c r="E41" s="9" t="n">
        <v>99.190002</v>
      </c>
      <c r="F41" s="9" t="n">
        <v>101.769997</v>
      </c>
      <c r="G41" s="9" t="n">
        <v>95.361397</v>
      </c>
      <c r="H41" s="9" t="n">
        <v>95.361397</v>
      </c>
      <c r="I41" s="2" t="str">
        <f aca="false">IF(COUNT(C41:F41)&lt;4,"",IF(OR(D41&lt;MAX(C41,F41)-0.000001,E41&gt;MIN(C41,F41)+0.000001),"FAIL","OK"))</f>
        <v>OK</v>
      </c>
      <c r="J41" s="10" t="n">
        <f aca="false">IF(COUNT(F41,G41)&lt;2,"",G41/F41)</f>
        <v>0.937028592031893</v>
      </c>
      <c r="K41" s="10" t="n">
        <f aca="false">H41/H40-1</f>
        <v>0.0138472753524739</v>
      </c>
      <c r="L41" s="10" t="n">
        <f aca="false">H46/H41-1</f>
        <v>-0.00393033252228892</v>
      </c>
      <c r="M41" s="10"/>
      <c r="N41" s="10"/>
      <c r="O41" s="10" t="n">
        <f aca="false">IF(COUNT(B41)=0,"",B41-('Signal Analysis'!$C$6+'Signal Analysis'!$C$5*H41))</f>
        <v>0.462780189771422</v>
      </c>
    </row>
    <row r="42" customFormat="false" ht="15" hidden="false" customHeight="false" outlineLevel="0" collapsed="false">
      <c r="A42" s="8" t="n">
        <v>42384</v>
      </c>
      <c r="B42" s="9" t="n">
        <v>11.682590346</v>
      </c>
      <c r="C42" s="9" t="n">
        <v>99.080002</v>
      </c>
      <c r="D42" s="9" t="n">
        <v>100.290001</v>
      </c>
      <c r="E42" s="9" t="n">
        <v>97.510002</v>
      </c>
      <c r="F42" s="9" t="n">
        <v>100.120003</v>
      </c>
      <c r="G42" s="9" t="n">
        <v>93.815323</v>
      </c>
      <c r="H42" s="9" t="n">
        <v>93.815323</v>
      </c>
      <c r="I42" s="2" t="str">
        <f aca="false">IF(COUNT(C42:F42)&lt;4,"",IF(OR(D42&lt;MAX(C42,F42)-0.000001,E42&gt;MIN(C42,F42)+0.000001),"FAIL","OK"))</f>
        <v>OK</v>
      </c>
      <c r="J42" s="10" t="n">
        <f aca="false">IF(COUNT(F42,G42)&lt;2,"",G42/F42)</f>
        <v>0.937028767368295</v>
      </c>
      <c r="K42" s="10" t="n">
        <f aca="false">H42/H41-1</f>
        <v>-0.0162127868156126</v>
      </c>
      <c r="L42" s="10" t="n">
        <f aca="false">H47/H42-1</f>
        <v>-0.00998815513325047</v>
      </c>
      <c r="M42" s="10"/>
      <c r="N42" s="10"/>
      <c r="O42" s="10" t="n">
        <f aca="false">IF(COUNT(B42)=0,"",B42-('Signal Analysis'!$C$6+'Signal Analysis'!$C$5*H42))</f>
        <v>0.647114499671917</v>
      </c>
    </row>
    <row r="43" customFormat="false" ht="15" hidden="false" customHeight="false" outlineLevel="0" collapsed="false">
      <c r="A43" s="8" t="n">
        <v>42388</v>
      </c>
      <c r="B43" s="9" t="n">
        <v>10.942455744</v>
      </c>
      <c r="C43" s="9" t="n">
        <v>101.07</v>
      </c>
      <c r="D43" s="9" t="n">
        <v>101.199997</v>
      </c>
      <c r="E43" s="9" t="n">
        <v>97.739998</v>
      </c>
      <c r="F43" s="9" t="n">
        <v>98.769997</v>
      </c>
      <c r="G43" s="9" t="n">
        <v>92.550323</v>
      </c>
      <c r="H43" s="9" t="n">
        <v>92.550323</v>
      </c>
      <c r="I43" s="2" t="str">
        <f aca="false">IF(COUNT(C43:F43)&lt;4,"",IF(OR(D43&lt;MAX(C43,F43)-0.000001,E43&gt;MIN(C43,F43)+0.000001),"FAIL","OK"))</f>
        <v>OK</v>
      </c>
      <c r="J43" s="10" t="n">
        <f aca="false">IF(COUNT(F43,G43)&lt;2,"",G43/F43)</f>
        <v>0.937028711259351</v>
      </c>
      <c r="K43" s="10" t="n">
        <f aca="false">H43/H42-1</f>
        <v>-0.0134839380129832</v>
      </c>
      <c r="L43" s="10" t="n">
        <f aca="false">H48/H43-1</f>
        <v>0.0235902904412337</v>
      </c>
      <c r="M43" s="10"/>
      <c r="N43" s="10"/>
      <c r="O43" s="10" t="n">
        <f aca="false">IF(COUNT(B43)=0,"",B43-('Signal Analysis'!$C$6+'Signal Analysis'!$C$5*H43))</f>
        <v>0.080022318742401</v>
      </c>
    </row>
    <row r="44" customFormat="false" ht="15" hidden="false" customHeight="false" outlineLevel="0" collapsed="false">
      <c r="A44" s="8" t="n">
        <v>42389</v>
      </c>
      <c r="B44" s="9" t="n">
        <v>11.4797555316</v>
      </c>
      <c r="C44" s="9" t="n">
        <v>97.43</v>
      </c>
      <c r="D44" s="9" t="n">
        <v>100.330002</v>
      </c>
      <c r="E44" s="9" t="n">
        <v>95.059998</v>
      </c>
      <c r="F44" s="9" t="n">
        <v>99.18</v>
      </c>
      <c r="G44" s="9" t="n">
        <v>92.934502</v>
      </c>
      <c r="H44" s="9" t="n">
        <v>92.934502</v>
      </c>
      <c r="I44" s="2" t="str">
        <f aca="false">IF(COUNT(C44:F44)&lt;4,"",IF(OR(D44&lt;MAX(C44,F44)-0.000001,E44&gt;MIN(C44,F44)+0.000001),"FAIL","OK"))</f>
        <v>OK</v>
      </c>
      <c r="J44" s="10" t="n">
        <f aca="false">IF(COUNT(F44,G44)&lt;2,"",G44/F44)</f>
        <v>0.93702865497076</v>
      </c>
      <c r="K44" s="10" t="n">
        <f aca="false">H44/H43-1</f>
        <v>0.00415102819252167</v>
      </c>
      <c r="L44" s="10" t="n">
        <f aca="false">H49/H44-1</f>
        <v>0.00534367742133046</v>
      </c>
      <c r="M44" s="10"/>
      <c r="N44" s="10"/>
      <c r="O44" s="10" t="n">
        <f aca="false">IF(COUNT(B44)=0,"",B44-('Signal Analysis'!$C$6+'Signal Analysis'!$C$5*H44))</f>
        <v>0.564769328251938</v>
      </c>
    </row>
    <row r="45" customFormat="false" ht="15" hidden="false" customHeight="false" outlineLevel="0" collapsed="false">
      <c r="A45" s="8" t="n">
        <v>42390</v>
      </c>
      <c r="B45" s="9" t="n">
        <v>10.9133121024</v>
      </c>
      <c r="C45" s="9" t="n">
        <v>99.330002</v>
      </c>
      <c r="D45" s="9" t="n">
        <v>100.910004</v>
      </c>
      <c r="E45" s="9" t="n">
        <v>98.379997</v>
      </c>
      <c r="F45" s="9" t="n">
        <v>98.949997</v>
      </c>
      <c r="G45" s="9" t="n">
        <v>92.718971</v>
      </c>
      <c r="H45" s="9" t="n">
        <v>92.718971</v>
      </c>
      <c r="I45" s="2" t="str">
        <f aca="false">IF(COUNT(C45:F45)&lt;4,"",IF(OR(D45&lt;MAX(C45,F45)-0.000001,E45&gt;MIN(C45,F45)+0.000001),"FAIL","OK"))</f>
        <v>OK</v>
      </c>
      <c r="J45" s="10" t="n">
        <f aca="false">IF(COUNT(F45,G45)&lt;2,"",G45/F45)</f>
        <v>0.937028537757308</v>
      </c>
      <c r="K45" s="10" t="n">
        <f aca="false">H45/H44-1</f>
        <v>-0.00231917097914824</v>
      </c>
      <c r="L45" s="10" t="n">
        <f aca="false">H50/H45-1</f>
        <v>0.00747856660316049</v>
      </c>
      <c r="M45" s="10"/>
      <c r="N45" s="10"/>
      <c r="O45" s="10" t="n">
        <f aca="false">IF(COUNT(B45)=0,"",B45-('Signal Analysis'!$C$6+'Signal Analysis'!$C$5*H45))</f>
        <v>0.0278089077916555</v>
      </c>
    </row>
    <row r="46" customFormat="false" ht="15" hidden="false" customHeight="false" outlineLevel="0" collapsed="false">
      <c r="A46" s="8" t="n">
        <v>42391</v>
      </c>
      <c r="B46" s="9" t="n">
        <v>11.4359683536</v>
      </c>
      <c r="C46" s="9" t="n">
        <v>100.650002</v>
      </c>
      <c r="D46" s="9" t="n">
        <v>101.610001</v>
      </c>
      <c r="E46" s="9" t="n">
        <v>100.129997</v>
      </c>
      <c r="F46" s="9" t="n">
        <v>101.370003</v>
      </c>
      <c r="G46" s="9" t="n">
        <v>94.986595</v>
      </c>
      <c r="H46" s="9" t="n">
        <v>94.986595</v>
      </c>
      <c r="I46" s="2" t="str">
        <f aca="false">IF(COUNT(C46:F46)&lt;4,"",IF(OR(D46&lt;MAX(C46,F46)-0.000001,E46&gt;MIN(C46,F46)+0.000001),"FAIL","OK"))</f>
        <v>OK</v>
      </c>
      <c r="J46" s="10" t="n">
        <f aca="false">IF(COUNT(F46,G46)&lt;2,"",G46/F46)</f>
        <v>0.937028629662761</v>
      </c>
      <c r="K46" s="10" t="n">
        <f aca="false">H46/H45-1</f>
        <v>0.0244569582205565</v>
      </c>
      <c r="L46" s="10" t="n">
        <f aca="false">H51/H46-1</f>
        <v>0.0156851185159339</v>
      </c>
      <c r="M46" s="10"/>
      <c r="N46" s="10"/>
      <c r="O46" s="10" t="n">
        <f aca="false">IF(COUNT(B46)=0,"",B46-('Signal Analysis'!$C$6+'Signal Analysis'!$C$5*H46))</f>
        <v>0.240271366867121</v>
      </c>
    </row>
    <row r="47" customFormat="false" ht="15" hidden="false" customHeight="false" outlineLevel="0" collapsed="false">
      <c r="A47" s="8" t="n">
        <v>42394</v>
      </c>
      <c r="B47" s="9" t="n">
        <v>11.4336748224</v>
      </c>
      <c r="C47" s="9" t="n">
        <v>100.739998</v>
      </c>
      <c r="D47" s="9" t="n">
        <v>101.080002</v>
      </c>
      <c r="E47" s="9" t="n">
        <v>98.849998</v>
      </c>
      <c r="F47" s="9" t="n">
        <v>99.120003</v>
      </c>
      <c r="G47" s="9" t="n">
        <v>92.878281</v>
      </c>
      <c r="H47" s="9" t="n">
        <v>92.878281</v>
      </c>
      <c r="I47" s="2" t="str">
        <f aca="false">IF(COUNT(C47:F47)&lt;4,"",IF(OR(D47&lt;MAX(C47,F47)-0.000001,E47&gt;MIN(C47,F47)+0.000001),"FAIL","OK"))</f>
        <v>OK</v>
      </c>
      <c r="J47" s="10" t="n">
        <f aca="false">IF(COUNT(F47,G47)&lt;2,"",G47/F47)</f>
        <v>0.937028633867172</v>
      </c>
      <c r="K47" s="10" t="n">
        <f aca="false">H47/H46-1</f>
        <v>-0.022195910907218</v>
      </c>
      <c r="L47" s="10" t="n">
        <f aca="false">H52/H47-1</f>
        <v>0.0339991542263793</v>
      </c>
      <c r="M47" s="10"/>
      <c r="N47" s="10"/>
      <c r="O47" s="10" t="n">
        <f aca="false">IF(COUNT(B47)=0,"",B47-('Signal Analysis'!$C$6+'Signal Analysis'!$C$5*H47))</f>
        <v>0.526379226130992</v>
      </c>
    </row>
    <row r="48" customFormat="false" ht="15" hidden="false" customHeight="false" outlineLevel="0" collapsed="false">
      <c r="A48" s="8" t="n">
        <v>42395</v>
      </c>
      <c r="B48" s="9" t="n">
        <v>11.57717652</v>
      </c>
      <c r="C48" s="9" t="n">
        <v>99.519997</v>
      </c>
      <c r="D48" s="9" t="n">
        <v>101.400002</v>
      </c>
      <c r="E48" s="9" t="n">
        <v>99.18</v>
      </c>
      <c r="F48" s="9" t="n">
        <v>101.099998</v>
      </c>
      <c r="G48" s="9" t="n">
        <v>94.733612</v>
      </c>
      <c r="H48" s="9" t="n">
        <v>94.733612</v>
      </c>
      <c r="I48" s="2" t="str">
        <f aca="false">IF(COUNT(C48:F48)&lt;4,"",IF(OR(D48&lt;MAX(C48,F48)-0.000001,E48&gt;MIN(C48,F48)+0.000001),"FAIL","OK"))</f>
        <v>OK</v>
      </c>
      <c r="J48" s="10" t="n">
        <f aca="false">IF(COUNT(F48,G48)&lt;2,"",G48/F48)</f>
        <v>0.937028821701856</v>
      </c>
      <c r="K48" s="10" t="n">
        <f aca="false">H48/H47-1</f>
        <v>0.0199759403385167</v>
      </c>
      <c r="L48" s="10" t="n">
        <f aca="false">H53/H48-1</f>
        <v>-0.00811086987794785</v>
      </c>
      <c r="M48" s="10"/>
      <c r="N48" s="10"/>
      <c r="O48" s="10" t="n">
        <f aca="false">IF(COUNT(B48)=0,"",B48-('Signal Analysis'!$C$6+'Signal Analysis'!$C$5*H48))</f>
        <v>0.416085692009947</v>
      </c>
    </row>
    <row r="49" customFormat="false" ht="15" hidden="false" customHeight="false" outlineLevel="0" collapsed="false">
      <c r="A49" s="8" t="n">
        <v>42396</v>
      </c>
      <c r="B49" s="9" t="n">
        <v>11.6395709568</v>
      </c>
      <c r="C49" s="9" t="n">
        <v>100.589996</v>
      </c>
      <c r="D49" s="9" t="n">
        <v>101.589996</v>
      </c>
      <c r="E49" s="9" t="n">
        <v>99.059998</v>
      </c>
      <c r="F49" s="9" t="n">
        <v>99.709999</v>
      </c>
      <c r="G49" s="9" t="n">
        <v>93.431114</v>
      </c>
      <c r="H49" s="9" t="n">
        <v>93.431114</v>
      </c>
      <c r="I49" s="2" t="str">
        <f aca="false">IF(COUNT(C49:F49)&lt;4,"",IF(OR(D49&lt;MAX(C49,F49)-0.000001,E49&gt;MIN(C49,F49)+0.000001),"FAIL","OK"))</f>
        <v>OK</v>
      </c>
      <c r="J49" s="10" t="n">
        <f aca="false">IF(COUNT(F49,G49)&lt;2,"",G49/F49)</f>
        <v>0.937028532113414</v>
      </c>
      <c r="K49" s="10" t="n">
        <f aca="false">H49/H48-1</f>
        <v>-0.0137490587817976</v>
      </c>
      <c r="L49" s="10" t="n">
        <f aca="false">H54/H49-1</f>
        <v>0.00702062698299844</v>
      </c>
      <c r="M49" s="10"/>
      <c r="N49" s="10"/>
      <c r="O49" s="10" t="n">
        <f aca="false">IF(COUNT(B49)=0,"",B49-('Signal Analysis'!$C$6+'Signal Analysis'!$C$5*H49))</f>
        <v>0.656651992335215</v>
      </c>
    </row>
    <row r="50" customFormat="false" ht="15" hidden="false" customHeight="false" outlineLevel="0" collapsed="false">
      <c r="A50" s="8" t="n">
        <v>42397</v>
      </c>
      <c r="B50" s="9" t="n">
        <v>10.71203736</v>
      </c>
      <c r="C50" s="9" t="n">
        <v>100.550003</v>
      </c>
      <c r="D50" s="9" t="n">
        <v>100.949997</v>
      </c>
      <c r="E50" s="9" t="n">
        <v>99.220001</v>
      </c>
      <c r="F50" s="9" t="n">
        <v>99.690002</v>
      </c>
      <c r="G50" s="9" t="n">
        <v>93.412376</v>
      </c>
      <c r="H50" s="9" t="n">
        <v>93.412376</v>
      </c>
      <c r="I50" s="2" t="str">
        <f aca="false">IF(COUNT(C50:F50)&lt;4,"",IF(OR(D50&lt;MAX(C50,F50)-0.000001,E50&gt;MIN(C50,F50)+0.000001),"FAIL","OK"))</f>
        <v>OK</v>
      </c>
      <c r="J50" s="10" t="n">
        <f aca="false">IF(COUNT(F50,G50)&lt;2,"",G50/F50)</f>
        <v>0.937028529701504</v>
      </c>
      <c r="K50" s="10" t="n">
        <f aca="false">H50/H49-1</f>
        <v>-0.00020055417513265</v>
      </c>
      <c r="L50" s="10" t="n">
        <f aca="false">H55/H50-1</f>
        <v>0.0111345845651116</v>
      </c>
      <c r="M50" s="10"/>
      <c r="N50" s="10"/>
      <c r="O50" s="10" t="n">
        <f aca="false">IF(COUNT(B50)=0,"",B50-('Signal Analysis'!$C$6+'Signal Analysis'!$C$5*H50))</f>
        <v>-0.268318387954098</v>
      </c>
    </row>
    <row r="51" customFormat="false" ht="15" hidden="false" customHeight="false" outlineLevel="0" collapsed="false">
      <c r="A51" s="8" t="n">
        <v>42398</v>
      </c>
      <c r="B51" s="9" t="n">
        <v>10.725924726</v>
      </c>
      <c r="C51" s="9" t="n">
        <v>100.040001</v>
      </c>
      <c r="D51" s="9" t="n">
        <v>102.980003</v>
      </c>
      <c r="E51" s="9" t="n">
        <v>99.959999</v>
      </c>
      <c r="F51" s="9" t="n">
        <v>102.959999</v>
      </c>
      <c r="G51" s="9" t="n">
        <v>96.476471</v>
      </c>
      <c r="H51" s="9" t="n">
        <v>96.476471</v>
      </c>
      <c r="I51" s="2" t="str">
        <f aca="false">IF(COUNT(C51:F51)&lt;4,"",IF(OR(D51&lt;MAX(C51,F51)-0.000001,E51&gt;MIN(C51,F51)+0.000001),"FAIL","OK"))</f>
        <v>OK</v>
      </c>
      <c r="J51" s="10" t="n">
        <f aca="false">IF(COUNT(F51,G51)&lt;2,"",G51/F51)</f>
        <v>0.937028670717062</v>
      </c>
      <c r="K51" s="10" t="n">
        <f aca="false">H51/H50-1</f>
        <v>0.0328018099015062</v>
      </c>
      <c r="L51" s="10" t="n">
        <f aca="false">H56/H51-1</f>
        <v>-0.0477855787241638</v>
      </c>
      <c r="M51" s="10"/>
      <c r="N51" s="10"/>
      <c r="O51" s="10" t="n">
        <f aca="false">IF(COUNT(B51)=0,"",B51-('Signal Analysis'!$C$6+'Signal Analysis'!$C$5*H51))</f>
        <v>-0.67357601578016</v>
      </c>
    </row>
    <row r="52" customFormat="false" ht="15" hidden="false" customHeight="false" outlineLevel="0" collapsed="false">
      <c r="A52" s="8" t="n">
        <v>42401</v>
      </c>
      <c r="B52" s="9" t="n">
        <v>11.901012984</v>
      </c>
      <c r="C52" s="9" t="n">
        <v>102.139999</v>
      </c>
      <c r="D52" s="9" t="n">
        <v>103.089996</v>
      </c>
      <c r="E52" s="9" t="n">
        <v>101.25</v>
      </c>
      <c r="F52" s="9" t="n">
        <v>102.489998</v>
      </c>
      <c r="G52" s="9" t="n">
        <v>96.036064</v>
      </c>
      <c r="H52" s="9" t="n">
        <v>96.036064</v>
      </c>
      <c r="I52" s="2" t="str">
        <f aca="false">IF(COUNT(C52:F52)&lt;4,"",IF(OR(D52&lt;MAX(C52,F52)-0.000001,E52&gt;MIN(C52,F52)+0.000001),"FAIL","OK"))</f>
        <v>OK</v>
      </c>
      <c r="J52" s="10" t="n">
        <f aca="false">IF(COUNT(F52,G52)&lt;2,"",G52/F52)</f>
        <v>0.93702864546841</v>
      </c>
      <c r="K52" s="10" t="n">
        <f aca="false">H52/H51-1</f>
        <v>-0.00456491614416543</v>
      </c>
      <c r="L52" s="10" t="n">
        <f aca="false">H57/H52-1</f>
        <v>-0.0591278501376316</v>
      </c>
      <c r="M52" s="10"/>
      <c r="N52" s="10"/>
      <c r="O52" s="10" t="n">
        <f aca="false">IF(COUNT(B52)=0,"",B52-('Signal Analysis'!$C$6+'Signal Analysis'!$C$5*H52))</f>
        <v>0.561756584936354</v>
      </c>
    </row>
    <row r="53" customFormat="false" ht="15" hidden="false" customHeight="false" outlineLevel="0" collapsed="false">
      <c r="A53" s="8" t="n">
        <v>42402</v>
      </c>
      <c r="B53" s="9" t="n">
        <v>10.5829962624</v>
      </c>
      <c r="C53" s="9" t="n">
        <v>101.330002</v>
      </c>
      <c r="D53" s="9" t="n">
        <v>101.470001</v>
      </c>
      <c r="E53" s="9" t="n">
        <v>99.769997</v>
      </c>
      <c r="F53" s="9" t="n">
        <v>100.279999</v>
      </c>
      <c r="G53" s="9" t="n">
        <v>93.96524</v>
      </c>
      <c r="H53" s="9" t="n">
        <v>93.96524</v>
      </c>
      <c r="I53" s="2" t="str">
        <f aca="false">IF(COUNT(C53:F53)&lt;4,"",IF(OR(D53&lt;MAX(C53,F53)-0.000001,E53&gt;MIN(C53,F53)+0.000001),"FAIL","OK"))</f>
        <v>OK</v>
      </c>
      <c r="J53" s="10" t="n">
        <f aca="false">IF(COUNT(F53,G53)&lt;2,"",G53/F53)</f>
        <v>0.937028728929285</v>
      </c>
      <c r="K53" s="10" t="n">
        <f aca="false">H53/H52-1</f>
        <v>-0.0215629828394467</v>
      </c>
      <c r="L53" s="10" t="n">
        <f aca="false">H58/H53-1</f>
        <v>-0.0448744237762815</v>
      </c>
      <c r="M53" s="10"/>
      <c r="N53" s="10"/>
      <c r="O53" s="10" t="n">
        <f aca="false">IF(COUNT(B53)=0,"",B53-('Signal Analysis'!$C$6+'Signal Analysis'!$C$5*H53))</f>
        <v>-0.472987094315137</v>
      </c>
    </row>
    <row r="54" customFormat="false" ht="15" hidden="false" customHeight="false" outlineLevel="0" collapsed="false">
      <c r="A54" s="8" t="n">
        <v>42403</v>
      </c>
      <c r="B54" s="9" t="n">
        <v>10.6260605808</v>
      </c>
      <c r="C54" s="9" t="n">
        <v>101.059998</v>
      </c>
      <c r="D54" s="9" t="n">
        <v>101.07</v>
      </c>
      <c r="E54" s="9" t="n">
        <v>98.139999</v>
      </c>
      <c r="F54" s="9" t="n">
        <v>100.410004</v>
      </c>
      <c r="G54" s="9" t="n">
        <v>94.087059</v>
      </c>
      <c r="H54" s="9" t="n">
        <v>94.087059</v>
      </c>
      <c r="I54" s="2" t="str">
        <f aca="false">IF(COUNT(C54:F54)&lt;4,"",IF(OR(D54&lt;MAX(C54,F54)-0.000001,E54&gt;MIN(C54,F54)+0.000001),"FAIL","OK"))</f>
        <v>OK</v>
      </c>
      <c r="J54" s="10" t="n">
        <f aca="false">IF(COUNT(F54,G54)&lt;2,"",G54/F54)</f>
        <v>0.937028734706554</v>
      </c>
      <c r="K54" s="10" t="n">
        <f aca="false">H54/H53-1</f>
        <v>0.00129642621037318</v>
      </c>
      <c r="L54" s="10" t="n">
        <f aca="false">H59/H54-1</f>
        <v>-0.0456129466221278</v>
      </c>
      <c r="M54" s="10"/>
      <c r="N54" s="10"/>
      <c r="O54" s="10" t="n">
        <f aca="false">IF(COUNT(B54)=0,"",B54-('Signal Analysis'!$C$6+'Signal Analysis'!$C$5*H54))</f>
        <v>-0.44658669266801</v>
      </c>
    </row>
    <row r="55" customFormat="false" ht="15" hidden="false" customHeight="false" outlineLevel="0" collapsed="false">
      <c r="A55" s="8" t="n">
        <v>42404</v>
      </c>
      <c r="B55" s="9" t="n">
        <v>10.6621341552</v>
      </c>
      <c r="C55" s="9" t="n">
        <v>100</v>
      </c>
      <c r="D55" s="9" t="n">
        <v>101.970001</v>
      </c>
      <c r="E55" s="9" t="n">
        <v>99.970001</v>
      </c>
      <c r="F55" s="9" t="n">
        <v>100.800003</v>
      </c>
      <c r="G55" s="9" t="n">
        <v>94.452484</v>
      </c>
      <c r="H55" s="9" t="n">
        <v>94.452484</v>
      </c>
      <c r="I55" s="2" t="str">
        <f aca="false">IF(COUNT(C55:F55)&lt;4,"",IF(OR(D55&lt;MAX(C55,F55)-0.000001,E55&gt;MIN(C55,F55)+0.000001),"FAIL","OK"))</f>
        <v>OK</v>
      </c>
      <c r="J55" s="10" t="n">
        <f aca="false">IF(COUNT(F55,G55)&lt;2,"",G55/F55)</f>
        <v>0.937028583223356</v>
      </c>
      <c r="K55" s="10" t="n">
        <f aca="false">H55/H54-1</f>
        <v>0.0038839028861557</v>
      </c>
      <c r="L55" s="10" t="n">
        <f aca="false">H60/H55-1</f>
        <v>-0.059622974023637</v>
      </c>
      <c r="M55" s="10"/>
      <c r="N55" s="10"/>
      <c r="O55" s="10" t="n">
        <f aca="false">IF(COUNT(B55)=0,"",B55-('Signal Analysis'!$C$6+'Signal Analysis'!$C$5*H55))</f>
        <v>-0.460500491168943</v>
      </c>
    </row>
    <row r="56" customFormat="false" ht="15" hidden="false" customHeight="false" outlineLevel="0" collapsed="false">
      <c r="A56" s="8" t="n">
        <v>42405</v>
      </c>
      <c r="B56" s="9" t="n">
        <v>11.2064747808</v>
      </c>
      <c r="C56" s="9" t="n">
        <v>100.349998</v>
      </c>
      <c r="D56" s="9" t="n">
        <v>100.440002</v>
      </c>
      <c r="E56" s="9" t="n">
        <v>97.959999</v>
      </c>
      <c r="F56" s="9" t="n">
        <v>98.040001</v>
      </c>
      <c r="G56" s="9" t="n">
        <v>91.866287</v>
      </c>
      <c r="H56" s="9" t="n">
        <v>91.866287</v>
      </c>
      <c r="I56" s="2" t="str">
        <f aca="false">IF(COUNT(C56:F56)&lt;4,"",IF(OR(D56&lt;MAX(C56,F56)-0.000001,E56&gt;MIN(C56,F56)+0.000001),"FAIL","OK"))</f>
        <v>OK</v>
      </c>
      <c r="J56" s="10" t="n">
        <f aca="false">IF(COUNT(F56,G56)&lt;2,"",G56/F56)</f>
        <v>0.937028621613335</v>
      </c>
      <c r="K56" s="10" t="n">
        <f aca="false">H56/H55-1</f>
        <v>-0.0273809315591954</v>
      </c>
      <c r="L56" s="10" t="n">
        <f aca="false">H61/H56-1</f>
        <v>-0.014789930499749</v>
      </c>
      <c r="M56" s="10"/>
      <c r="N56" s="10"/>
      <c r="O56" s="10" t="n">
        <f aca="false">IF(COUNT(B56)=0,"",B56-('Signal Analysis'!$C$6+'Signal Analysis'!$C$5*H56))</f>
        <v>0.437612300632813</v>
      </c>
    </row>
    <row r="57" customFormat="false" ht="15" hidden="false" customHeight="false" outlineLevel="0" collapsed="false">
      <c r="A57" s="8" t="n">
        <v>42408</v>
      </c>
      <c r="B57" s="9" t="n">
        <v>11.191439196</v>
      </c>
      <c r="C57" s="9" t="n">
        <v>97.010002</v>
      </c>
      <c r="D57" s="9" t="n">
        <v>97.010002</v>
      </c>
      <c r="E57" s="9" t="n">
        <v>94.940002</v>
      </c>
      <c r="F57" s="9" t="n">
        <v>96.43</v>
      </c>
      <c r="G57" s="9" t="n">
        <v>90.357658</v>
      </c>
      <c r="H57" s="9" t="n">
        <v>90.357658</v>
      </c>
      <c r="I57" s="2" t="str">
        <f aca="false">IF(COUNT(C57:F57)&lt;4,"",IF(OR(D57&lt;MAX(C57,F57)-0.000001,E57&gt;MIN(C57,F57)+0.000001),"FAIL","OK"))</f>
        <v>OK</v>
      </c>
      <c r="J57" s="10" t="n">
        <f aca="false">IF(COUNT(F57,G57)&lt;2,"",G57/F57)</f>
        <v>0.937028497355595</v>
      </c>
      <c r="K57" s="10" t="n">
        <f aca="false">H57/H56-1</f>
        <v>-0.0164220090880565</v>
      </c>
      <c r="L57" s="10" t="n">
        <f aca="false">H62/H57-1</f>
        <v>0.0254071547538339</v>
      </c>
      <c r="M57" s="10"/>
      <c r="N57" s="10"/>
      <c r="O57" s="10" t="n">
        <f aca="false">IF(COUNT(B57)=0,"",B57-('Signal Analysis'!$C$6+'Signal Analysis'!$C$5*H57))</f>
        <v>0.628945739277194</v>
      </c>
    </row>
    <row r="58" customFormat="false" ht="15" hidden="false" customHeight="false" outlineLevel="0" collapsed="false">
      <c r="A58" s="8" t="n">
        <v>42409</v>
      </c>
      <c r="B58" s="9" t="n">
        <v>10.6436927016</v>
      </c>
      <c r="C58" s="9" t="n">
        <v>95.129997</v>
      </c>
      <c r="D58" s="9" t="n">
        <v>97.129997</v>
      </c>
      <c r="E58" s="9" t="n">
        <v>95.019997</v>
      </c>
      <c r="F58" s="9" t="n">
        <v>95.779999</v>
      </c>
      <c r="G58" s="9" t="n">
        <v>89.748604</v>
      </c>
      <c r="H58" s="9" t="n">
        <v>89.748604</v>
      </c>
      <c r="I58" s="2" t="str">
        <f aca="false">IF(COUNT(C58:F58)&lt;4,"",IF(OR(D58&lt;MAX(C58,F58)-0.000001,E58&gt;MIN(C58,F58)+0.000001),"FAIL","OK"))</f>
        <v>OK</v>
      </c>
      <c r="J58" s="10" t="n">
        <f aca="false">IF(COUNT(F58,G58)&lt;2,"",G58/F58)</f>
        <v>0.937028658770397</v>
      </c>
      <c r="K58" s="10" t="n">
        <f aca="false">H58/H57-1</f>
        <v>-0.00674048014834561</v>
      </c>
      <c r="L58" s="10" t="n">
        <f aca="false">H63/H58-1</f>
        <v>0.0485488665650999</v>
      </c>
      <c r="M58" s="10"/>
      <c r="N58" s="10"/>
      <c r="O58" s="10" t="n">
        <f aca="false">IF(COUNT(B58)=0,"",B58-('Signal Analysis'!$C$6+'Signal Analysis'!$C$5*H58))</f>
        <v>0.164513220152026</v>
      </c>
    </row>
    <row r="59" customFormat="false" ht="15" hidden="false" customHeight="false" outlineLevel="0" collapsed="false">
      <c r="A59" s="8" t="n">
        <v>42410</v>
      </c>
      <c r="B59" s="9" t="n">
        <v>11.4519588804</v>
      </c>
      <c r="C59" s="9" t="n">
        <v>96.449997</v>
      </c>
      <c r="D59" s="9" t="n">
        <v>97.919998</v>
      </c>
      <c r="E59" s="9" t="n">
        <v>95.68</v>
      </c>
      <c r="F59" s="9" t="n">
        <v>95.830002</v>
      </c>
      <c r="G59" s="9" t="n">
        <v>89.795471</v>
      </c>
      <c r="H59" s="9" t="n">
        <v>89.795471</v>
      </c>
      <c r="I59" s="2" t="str">
        <f aca="false">IF(COUNT(C59:F59)&lt;4,"",IF(OR(D59&lt;MAX(C59,F59)-0.000001,E59&gt;MIN(C59,F59)+0.000001),"FAIL","OK"))</f>
        <v>OK</v>
      </c>
      <c r="J59" s="10" t="n">
        <f aca="false">IF(COUNT(F59,G59)&lt;2,"",G59/F59)</f>
        <v>0.937028791880856</v>
      </c>
      <c r="K59" s="10" t="n">
        <f aca="false">H59/H58-1</f>
        <v>0.000522203108585417</v>
      </c>
      <c r="L59" s="10" t="n">
        <f aca="false">H64/H59-1</f>
        <v>0.0429926137366103</v>
      </c>
      <c r="M59" s="10"/>
      <c r="N59" s="10"/>
      <c r="O59" s="10" t="n">
        <f aca="false">IF(COUNT(B59)=0,"",B59-('Signal Analysis'!$C$6+'Signal Analysis'!$C$5*H59))</f>
        <v>0.966368348241899</v>
      </c>
    </row>
    <row r="60" customFormat="false" ht="15" hidden="false" customHeight="false" outlineLevel="0" collapsed="false">
      <c r="A60" s="8" t="n">
        <v>42411</v>
      </c>
      <c r="B60" s="9" t="n">
        <v>11.29269564</v>
      </c>
      <c r="C60" s="9" t="n">
        <v>94.080002</v>
      </c>
      <c r="D60" s="9" t="n">
        <v>95.400002</v>
      </c>
      <c r="E60" s="9" t="n">
        <v>93.639999</v>
      </c>
      <c r="F60" s="9" t="n">
        <v>94.790001</v>
      </c>
      <c r="G60" s="9" t="n">
        <v>88.820946</v>
      </c>
      <c r="H60" s="9" t="n">
        <v>88.820946</v>
      </c>
      <c r="I60" s="2" t="str">
        <f aca="false">IF(COUNT(C60:F60)&lt;4,"",IF(OR(D60&lt;MAX(C60,F60)-0.000001,E60&gt;MIN(C60,F60)+0.000001),"FAIL","OK"))</f>
        <v>OK</v>
      </c>
      <c r="J60" s="10" t="n">
        <f aca="false">IF(COUNT(F60,G60)&lt;2,"",G60/F60)</f>
        <v>0.937028642926167</v>
      </c>
      <c r="K60" s="10" t="n">
        <f aca="false">H60/H59-1</f>
        <v>-0.0108527188414659</v>
      </c>
      <c r="L60" s="10" t="n">
        <f aca="false">H65/H60-1</f>
        <v>0.0597109267446891</v>
      </c>
      <c r="M60" s="10"/>
      <c r="N60" s="10"/>
      <c r="O60" s="10" t="n">
        <f aca="false">IF(COUNT(B60)=0,"",B60-('Signal Analysis'!$C$6+'Signal Analysis'!$C$5*H60))</f>
        <v>0.94041274846934</v>
      </c>
    </row>
    <row r="61" customFormat="false" ht="15" hidden="false" customHeight="false" outlineLevel="0" collapsed="false">
      <c r="A61" s="8" t="n">
        <v>42412</v>
      </c>
      <c r="B61" s="9" t="n">
        <v>11.1263343444</v>
      </c>
      <c r="C61" s="9" t="n">
        <v>95.660004</v>
      </c>
      <c r="D61" s="9" t="n">
        <v>96.790001</v>
      </c>
      <c r="E61" s="9" t="n">
        <v>95.190002</v>
      </c>
      <c r="F61" s="9" t="n">
        <v>96.589996</v>
      </c>
      <c r="G61" s="9" t="n">
        <v>90.507591</v>
      </c>
      <c r="H61" s="9" t="n">
        <v>90.507591</v>
      </c>
      <c r="I61" s="2" t="str">
        <f aca="false">IF(COUNT(C61:F61)&lt;4,"",IF(OR(D61&lt;MAX(C61,F61)-0.000001,E61&gt;MIN(C61,F61)+0.000001),"FAIL","OK"))</f>
        <v>OK</v>
      </c>
      <c r="J61" s="10" t="n">
        <f aca="false">IF(COUNT(F61,G61)&lt;2,"",G61/F61)</f>
        <v>0.937028623543995</v>
      </c>
      <c r="K61" s="10" t="n">
        <f aca="false">H61/H60-1</f>
        <v>0.0189892708415873</v>
      </c>
      <c r="L61" s="10" t="n">
        <f aca="false">H66/H61-1</f>
        <v>0.0515581615690113</v>
      </c>
      <c r="M61" s="10"/>
      <c r="N61" s="10"/>
      <c r="O61" s="10" t="n">
        <f aca="false">IF(COUNT(B61)=0,"",B61-('Signal Analysis'!$C$6+'Signal Analysis'!$C$5*H61))</f>
        <v>0.543331188611296</v>
      </c>
    </row>
    <row r="62" customFormat="false" ht="15" hidden="false" customHeight="false" outlineLevel="0" collapsed="false">
      <c r="A62" s="8" t="n">
        <v>42416</v>
      </c>
      <c r="B62" s="9" t="n">
        <v>11.4078926724</v>
      </c>
      <c r="C62" s="9" t="n">
        <v>97.790001</v>
      </c>
      <c r="D62" s="9" t="n">
        <v>99.099998</v>
      </c>
      <c r="E62" s="9" t="n">
        <v>97.220001</v>
      </c>
      <c r="F62" s="9" t="n">
        <v>98.879997</v>
      </c>
      <c r="G62" s="9" t="n">
        <v>92.653389</v>
      </c>
      <c r="H62" s="9" t="n">
        <v>92.653389</v>
      </c>
      <c r="I62" s="2" t="str">
        <f aca="false">IF(COUNT(C62:F62)&lt;4,"",IF(OR(D62&lt;MAX(C62,F62)-0.000001,E62&gt;MIN(C62,F62)+0.000001),"FAIL","OK"))</f>
        <v>OK</v>
      </c>
      <c r="J62" s="10" t="n">
        <f aca="false">IF(COUNT(F62,G62)&lt;2,"",G62/F62)</f>
        <v>0.93702863886616</v>
      </c>
      <c r="K62" s="10" t="n">
        <f aca="false">H62/H61-1</f>
        <v>0.0237084865069495</v>
      </c>
      <c r="L62" s="10" t="n">
        <f aca="false">H67/H62-1</f>
        <v>0.0177993489261359</v>
      </c>
      <c r="M62" s="10"/>
      <c r="N62" s="10"/>
      <c r="O62" s="10" t="n">
        <f aca="false">IF(COUNT(B62)=0,"",B62-('Signal Analysis'!$C$6+'Signal Analysis'!$C$5*H62))</f>
        <v>0.531360598786629</v>
      </c>
    </row>
    <row r="63" customFormat="false" ht="15" hidden="false" customHeight="false" outlineLevel="0" collapsed="false">
      <c r="A63" s="8" t="n">
        <v>42417</v>
      </c>
      <c r="B63" s="9" t="n">
        <v>11.0782531344</v>
      </c>
      <c r="C63" s="9" t="n">
        <v>99.57</v>
      </c>
      <c r="D63" s="9" t="n">
        <v>101.089996</v>
      </c>
      <c r="E63" s="9" t="n">
        <v>99.529999</v>
      </c>
      <c r="F63" s="9" t="n">
        <v>100.43</v>
      </c>
      <c r="G63" s="9" t="n">
        <v>94.105797</v>
      </c>
      <c r="H63" s="9" t="n">
        <v>94.105797</v>
      </c>
      <c r="I63" s="2" t="str">
        <f aca="false">IF(COUNT(C63:F63)&lt;4,"",IF(OR(D63&lt;MAX(C63,F63)-0.000001,E63&gt;MIN(C63,F63)+0.000001),"FAIL","OK"))</f>
        <v>OK</v>
      </c>
      <c r="J63" s="10" t="n">
        <f aca="false">IF(COUNT(F63,G63)&lt;2,"",G63/F63)</f>
        <v>0.937028746390521</v>
      </c>
      <c r="K63" s="10" t="n">
        <f aca="false">H63/H62-1</f>
        <v>0.0156757137075687</v>
      </c>
      <c r="L63" s="10" t="n">
        <f aca="false">H68/H63-1</f>
        <v>0.0117495949797863</v>
      </c>
      <c r="M63" s="10" t="n">
        <f aca="false">IF(COUNT(B4:B63)&lt;60,"",(B63-AVERAGE(B4:B63))/STDEV(B4:B63))</f>
        <v>-1.03632747970498</v>
      </c>
      <c r="N63" s="10" t="n">
        <f aca="false">(H63-AVERAGE(H4:H63))/STDEV(H4:H63)</f>
        <v>-0.937713787662395</v>
      </c>
      <c r="O63" s="10" t="n">
        <f aca="false">IF(COUNT(B63)=0,"",B63-('Signal Analysis'!$C$6+'Signal Analysis'!$C$5*H63))</f>
        <v>0.00304264442130453</v>
      </c>
    </row>
    <row r="64" customFormat="false" ht="15" hidden="false" customHeight="false" outlineLevel="0" collapsed="false">
      <c r="A64" s="8" t="n">
        <v>42418</v>
      </c>
      <c r="B64" s="9" t="n">
        <v>11.882122434</v>
      </c>
      <c r="C64" s="9" t="n">
        <v>100.510002</v>
      </c>
      <c r="D64" s="9" t="n">
        <v>100.639999</v>
      </c>
      <c r="E64" s="9" t="n">
        <v>99.540001</v>
      </c>
      <c r="F64" s="9" t="n">
        <v>99.949997</v>
      </c>
      <c r="G64" s="9" t="n">
        <v>93.656013</v>
      </c>
      <c r="H64" s="9" t="n">
        <v>93.656013</v>
      </c>
      <c r="I64" s="2" t="str">
        <f aca="false">IF(COUNT(C64:F64)&lt;4,"",IF(OR(D64&lt;MAX(C64,F64)-0.000001,E64&gt;MIN(C64,F64)+0.000001),"FAIL","OK"))</f>
        <v>OK</v>
      </c>
      <c r="J64" s="10" t="n">
        <f aca="false">IF(COUNT(F64,G64)&lt;2,"",G64/F64)</f>
        <v>0.937028672447084</v>
      </c>
      <c r="K64" s="10" t="n">
        <f aca="false">H64/H63-1</f>
        <v>-0.00477955677905784</v>
      </c>
      <c r="L64" s="10" t="n">
        <f aca="false">H69/H64-1</f>
        <v>0.0259128690434431</v>
      </c>
      <c r="M64" s="10" t="n">
        <f aca="false">IF(COUNT(B5:B64)&lt;60,"",(B64-AVERAGE(B5:B64))/STDEV(B5:B64))</f>
        <v>-0.14619679751216</v>
      </c>
      <c r="N64" s="10" t="n">
        <f aca="false">(H64-AVERAGE(H5:H64))/STDEV(H5:H64)</f>
        <v>-0.966835701074422</v>
      </c>
      <c r="O64" s="10" t="n">
        <f aca="false">IF(COUNT(B64)=0,"",B64-('Signal Analysis'!$C$6+'Signal Analysis'!$C$5*H64))</f>
        <v>0.86843898933258</v>
      </c>
    </row>
    <row r="65" customFormat="false" ht="15" hidden="false" customHeight="false" outlineLevel="0" collapsed="false">
      <c r="A65" s="8" t="n">
        <v>42419</v>
      </c>
      <c r="B65" s="9" t="n">
        <v>11.3111264376</v>
      </c>
      <c r="C65" s="9" t="n">
        <v>99.559998</v>
      </c>
      <c r="D65" s="9" t="n">
        <v>100.559998</v>
      </c>
      <c r="E65" s="9" t="n">
        <v>99.110001</v>
      </c>
      <c r="F65" s="9" t="n">
        <v>100.449997</v>
      </c>
      <c r="G65" s="9" t="n">
        <v>94.124527</v>
      </c>
      <c r="H65" s="9" t="n">
        <v>94.124527</v>
      </c>
      <c r="I65" s="2" t="str">
        <f aca="false">IF(COUNT(C65:F65)&lt;4,"",IF(OR(D65&lt;MAX(C65,F65)-0.000001,E65&gt;MIN(C65,F65)+0.000001),"FAIL","OK"))</f>
        <v>OK</v>
      </c>
      <c r="J65" s="10" t="n">
        <f aca="false">IF(COUNT(F65,G65)&lt;2,"",G65/F65)</f>
        <v>0.937028669099911</v>
      </c>
      <c r="K65" s="10" t="n">
        <f aca="false">H65/H64-1</f>
        <v>0.00500249781079187</v>
      </c>
      <c r="L65" s="10" t="n">
        <f aca="false">H70/H65-1</f>
        <v>0.027277257924494</v>
      </c>
      <c r="M65" s="10" t="n">
        <f aca="false">IF(COUNT(B6:B65)&lt;60,"",(B65-AVERAGE(B6:B65))/STDEV(B6:B65))</f>
        <v>-0.750728305981743</v>
      </c>
      <c r="N65" s="10" t="n">
        <f aca="false">(H65-AVERAGE(H6:H65))/STDEV(H6:H65)</f>
        <v>-0.872392633730617</v>
      </c>
      <c r="O65" s="10" t="n">
        <f aca="false">IF(COUNT(B65)=0,"",B65-('Signal Analysis'!$C$6+'Signal Analysis'!$C$5*H65))</f>
        <v>0.233353825450038</v>
      </c>
    </row>
    <row r="66" customFormat="false" ht="15" hidden="false" customHeight="false" outlineLevel="0" collapsed="false">
      <c r="A66" s="8" t="n">
        <v>42422</v>
      </c>
      <c r="B66" s="9" t="n">
        <v>11.0687511168</v>
      </c>
      <c r="C66" s="9" t="n">
        <v>101.339996</v>
      </c>
      <c r="D66" s="9" t="n">
        <v>102.010002</v>
      </c>
      <c r="E66" s="9" t="n">
        <v>101.239998</v>
      </c>
      <c r="F66" s="9" t="n">
        <v>101.57</v>
      </c>
      <c r="G66" s="9" t="n">
        <v>95.173996</v>
      </c>
      <c r="H66" s="9" t="n">
        <v>95.173996</v>
      </c>
      <c r="I66" s="2" t="str">
        <f aca="false">IF(COUNT(C66:F66)&lt;4,"",IF(OR(D66&lt;MAX(C66,F66)-0.000001,E66&gt;MIN(C66,F66)+0.000001),"FAIL","OK"))</f>
        <v>OK</v>
      </c>
      <c r="J66" s="10" t="n">
        <f aca="false">IF(COUNT(F66,G66)&lt;2,"",G66/F66)</f>
        <v>0.937028610810279</v>
      </c>
      <c r="K66" s="10" t="n">
        <f aca="false">H66/H65-1</f>
        <v>0.0111497930820943</v>
      </c>
      <c r="L66" s="10" t="n">
        <f aca="false">H71/H66-1</f>
        <v>0.0114207666556314</v>
      </c>
      <c r="M66" s="10" t="n">
        <f aca="false">IF(COUNT(B7:B66)&lt;60,"",(B66-AVERAGE(B7:B66))/STDEV(B7:B66))</f>
        <v>-0.990977269506952</v>
      </c>
      <c r="N66" s="10" t="n">
        <f aca="false">(H66-AVERAGE(H7:H66))/STDEV(H7:H66)</f>
        <v>-0.700766742278966</v>
      </c>
      <c r="O66" s="10" t="n">
        <f aca="false">IF(COUNT(B66)=0,"",B66-('Signal Analysis'!$C$6+'Signal Analysis'!$C$5*H66))</f>
        <v>-0.152580907680729</v>
      </c>
    </row>
    <row r="67" customFormat="false" ht="15" hidden="false" customHeight="false" outlineLevel="0" collapsed="false">
      <c r="A67" s="8" t="n">
        <v>42423</v>
      </c>
      <c r="B67" s="9" t="n">
        <v>12.183190236</v>
      </c>
      <c r="C67" s="9" t="n">
        <v>101.239998</v>
      </c>
      <c r="D67" s="9" t="n">
        <v>101.489998</v>
      </c>
      <c r="E67" s="9" t="n">
        <v>100.550003</v>
      </c>
      <c r="F67" s="9" t="n">
        <v>100.639999</v>
      </c>
      <c r="G67" s="9" t="n">
        <v>94.302559</v>
      </c>
      <c r="H67" s="9" t="n">
        <v>94.302559</v>
      </c>
      <c r="I67" s="2" t="str">
        <f aca="false">IF(COUNT(C67:F67)&lt;4,"",IF(OR(D67&lt;MAX(C67,F67)-0.000001,E67&gt;MIN(C67,F67)+0.000001),"FAIL","OK"))</f>
        <v>OK</v>
      </c>
      <c r="J67" s="10" t="n">
        <f aca="false">IF(COUNT(F67,G67)&lt;2,"",G67/F67)</f>
        <v>0.937028616226437</v>
      </c>
      <c r="K67" s="10" t="n">
        <f aca="false">H67/H66-1</f>
        <v>-0.00915625104151352</v>
      </c>
      <c r="L67" s="10" t="n">
        <f aca="false">H72/H67-1</f>
        <v>0.0427266878303907</v>
      </c>
      <c r="M67" s="10" t="n">
        <f aca="false">IF(COUNT(B8:B67)&lt;60,"",(B67-AVERAGE(B8:B67))/STDEV(B8:B67))</f>
        <v>0.280974112915093</v>
      </c>
      <c r="N67" s="10" t="n">
        <f aca="false">(H67-AVERAGE(H8:H67))/STDEV(H8:H67)</f>
        <v>-0.794771742026709</v>
      </c>
      <c r="O67" s="10" t="n">
        <f aca="false">IF(COUNT(B67)=0,"",B67-('Signal Analysis'!$C$6+'Signal Analysis'!$C$5*H67))</f>
        <v>1.08106419435753</v>
      </c>
    </row>
    <row r="68" customFormat="false" ht="15" hidden="false" customHeight="false" outlineLevel="0" collapsed="false">
      <c r="A68" s="8" t="n">
        <v>42424</v>
      </c>
      <c r="B68" s="9" t="n">
        <v>12.128880456</v>
      </c>
      <c r="C68" s="9" t="n">
        <v>99.620003</v>
      </c>
      <c r="D68" s="9" t="n">
        <v>101.82</v>
      </c>
      <c r="E68" s="9" t="n">
        <v>98.970001</v>
      </c>
      <c r="F68" s="9" t="n">
        <v>101.610001</v>
      </c>
      <c r="G68" s="9" t="n">
        <v>95.211502</v>
      </c>
      <c r="H68" s="9" t="n">
        <v>95.211502</v>
      </c>
      <c r="I68" s="2" t="str">
        <f aca="false">IF(COUNT(C68:F68)&lt;4,"",IF(OR(D68&lt;MAX(C68,F68)-0.000001,E68&gt;MIN(C68,F68)+0.000001),"FAIL","OK"))</f>
        <v>OK</v>
      </c>
      <c r="J68" s="10" t="n">
        <f aca="false">IF(COUNT(F68,G68)&lt;2,"",G68/F68)</f>
        <v>0.937028846205798</v>
      </c>
      <c r="K68" s="10" t="n">
        <f aca="false">H68/H67-1</f>
        <v>0.00963858255426553</v>
      </c>
      <c r="L68" s="10" t="n">
        <f aca="false">H73/H68-1</f>
        <v>0.0434009643078628</v>
      </c>
      <c r="M68" s="10" t="n">
        <f aca="false">IF(COUNT(B9:B68)&lt;60,"",(B68-AVERAGE(B9:B68))/STDEV(B9:B68))</f>
        <v>0.239119329539787</v>
      </c>
      <c r="N68" s="10" t="n">
        <f aca="false">(H68-AVERAGE(H9:H68))/STDEV(H9:H68)</f>
        <v>-0.640522600037775</v>
      </c>
      <c r="O68" s="10" t="n">
        <f aca="false">IF(COUNT(B68)=0,"",B68-('Signal Analysis'!$C$6+'Signal Analysis'!$C$5*H68))</f>
        <v>0.902417894725065</v>
      </c>
    </row>
    <row r="69" customFormat="false" ht="15" hidden="false" customHeight="false" outlineLevel="0" collapsed="false">
      <c r="A69" s="8" t="n">
        <v>42425</v>
      </c>
      <c r="B69" s="9" t="n">
        <v>12.271808016</v>
      </c>
      <c r="C69" s="9" t="n">
        <v>101.790001</v>
      </c>
      <c r="D69" s="9" t="n">
        <v>102.599998</v>
      </c>
      <c r="E69" s="9" t="n">
        <v>101.389999</v>
      </c>
      <c r="F69" s="9" t="n">
        <v>102.540001</v>
      </c>
      <c r="G69" s="9" t="n">
        <v>96.082909</v>
      </c>
      <c r="H69" s="9" t="n">
        <v>96.082909</v>
      </c>
      <c r="I69" s="2" t="str">
        <f aca="false">IF(COUNT(C69:F69)&lt;4,"",IF(OR(D69&lt;MAX(C69,F69)-0.000001,E69&gt;MIN(C69,F69)+0.000001),"FAIL","OK"))</f>
        <v>OK</v>
      </c>
      <c r="J69" s="10" t="n">
        <f aca="false">IF(COUNT(F69,G69)&lt;2,"",G69/F69)</f>
        <v>0.937028555324473</v>
      </c>
      <c r="K69" s="10" t="n">
        <f aca="false">H69/H68-1</f>
        <v>0.00915232909570118</v>
      </c>
      <c r="L69" s="10" t="n">
        <f aca="false">H74/H69-1</f>
        <v>0.0447631326399578</v>
      </c>
      <c r="M69" s="10" t="n">
        <f aca="false">IF(COUNT(B10:B69)&lt;60,"",(B69-AVERAGE(B10:B69))/STDEV(B10:B69))</f>
        <v>0.419293185510512</v>
      </c>
      <c r="N69" s="10" t="n">
        <f aca="false">(H69-AVERAGE(H10:H69))/STDEV(H10:H69)</f>
        <v>-0.489361616826388</v>
      </c>
      <c r="O69" s="10" t="n">
        <f aca="false">IF(COUNT(B69)=0,"",B69-('Signal Analysis'!$C$6+'Signal Analysis'!$C$5*H69))</f>
        <v>0.926143575659637</v>
      </c>
    </row>
    <row r="70" customFormat="false" ht="15" hidden="false" customHeight="false" outlineLevel="0" collapsed="false">
      <c r="A70" s="8" t="n">
        <v>42426</v>
      </c>
      <c r="B70" s="9" t="n">
        <v>12.1596778152</v>
      </c>
      <c r="C70" s="9" t="n">
        <v>103.059998</v>
      </c>
      <c r="D70" s="9" t="n">
        <v>103.470001</v>
      </c>
      <c r="E70" s="9" t="n">
        <v>102.699997</v>
      </c>
      <c r="F70" s="9" t="n">
        <v>103.190002</v>
      </c>
      <c r="G70" s="9" t="n">
        <v>96.691986</v>
      </c>
      <c r="H70" s="9" t="n">
        <v>96.691986</v>
      </c>
      <c r="I70" s="2" t="str">
        <f aca="false">IF(COUNT(C70:F70)&lt;4,"",IF(OR(D70&lt;MAX(C70,F70)-0.000001,E70&gt;MIN(C70,F70)+0.000001),"FAIL","OK"))</f>
        <v>OK</v>
      </c>
      <c r="J70" s="10" t="n">
        <f aca="false">IF(COUNT(F70,G70)&lt;2,"",G70/F70)</f>
        <v>0.937028628025417</v>
      </c>
      <c r="K70" s="10" t="n">
        <f aca="false">H70/H69-1</f>
        <v>0.00633907743155437</v>
      </c>
      <c r="L70" s="10" t="n">
        <f aca="false">H75/H70-1</f>
        <v>0.0438996361084154</v>
      </c>
      <c r="M70" s="10" t="n">
        <f aca="false">IF(COUNT(B11:B70)&lt;60,"",(B70-AVERAGE(B11:B70))/STDEV(B11:B70))</f>
        <v>0.314509290545454</v>
      </c>
      <c r="N70" s="10" t="n">
        <f aca="false">(H70-AVERAGE(H11:H70))/STDEV(H11:H70)</f>
        <v>-0.373281596537321</v>
      </c>
      <c r="O70" s="10" t="n">
        <f aca="false">IF(COUNT(B70)=0,"",B70-('Signal Analysis'!$C$6+'Signal Analysis'!$C$5*H70))</f>
        <v>0.730696253358968</v>
      </c>
    </row>
    <row r="71" customFormat="false" ht="15" hidden="false" customHeight="false" outlineLevel="0" collapsed="false">
      <c r="A71" s="8" t="n">
        <v>42429</v>
      </c>
      <c r="B71" s="9" t="n">
        <v>12.648369006</v>
      </c>
      <c r="C71" s="9" t="n">
        <v>103.129997</v>
      </c>
      <c r="D71" s="9" t="n">
        <v>104.029999</v>
      </c>
      <c r="E71" s="9" t="n">
        <v>102.720001</v>
      </c>
      <c r="F71" s="9" t="n">
        <v>102.730003</v>
      </c>
      <c r="G71" s="9" t="n">
        <v>96.260956</v>
      </c>
      <c r="H71" s="9" t="n">
        <v>96.260956</v>
      </c>
      <c r="I71" s="2" t="str">
        <f aca="false">IF(COUNT(C71:F71)&lt;4,"",IF(OR(D71&lt;MAX(C71,F71)-0.000001,E71&gt;MIN(C71,F71)+0.000001),"FAIL","OK"))</f>
        <v>OK</v>
      </c>
      <c r="J71" s="10" t="n">
        <f aca="false">IF(COUNT(F71,G71)&lt;2,"",G71/F71)</f>
        <v>0.93702864975094</v>
      </c>
      <c r="K71" s="10" t="n">
        <f aca="false">H71/H70-1</f>
        <v>-0.00445776343863702</v>
      </c>
      <c r="L71" s="10" t="n">
        <f aca="false">H76/H71-1</f>
        <v>0.0599629095725998</v>
      </c>
      <c r="M71" s="10" t="n">
        <f aca="false">IF(COUNT(B12:B71)&lt;60,"",(B71-AVERAGE(B12:B71))/STDEV(B12:B71))</f>
        <v>0.904041339603817</v>
      </c>
      <c r="N71" s="10" t="n">
        <f aca="false">(H71-AVERAGE(H12:H71))/STDEV(H12:H71)</f>
        <v>-0.411939271705194</v>
      </c>
      <c r="O71" s="10" t="n">
        <f aca="false">IF(COUNT(B71)=0,"",B71-('Signal Analysis'!$C$6+'Signal Analysis'!$C$5*H71))</f>
        <v>1.27834908428071</v>
      </c>
    </row>
    <row r="72" customFormat="false" ht="15" hidden="false" customHeight="false" outlineLevel="0" collapsed="false">
      <c r="A72" s="8" t="n">
        <v>42430</v>
      </c>
      <c r="B72" s="9" t="n">
        <v>11.9912834052</v>
      </c>
      <c r="C72" s="9" t="n">
        <v>103.620003</v>
      </c>
      <c r="D72" s="9" t="n">
        <v>104.940002</v>
      </c>
      <c r="E72" s="9" t="n">
        <v>103.07</v>
      </c>
      <c r="F72" s="9" t="n">
        <v>104.940002</v>
      </c>
      <c r="G72" s="9" t="n">
        <v>98.331795</v>
      </c>
      <c r="H72" s="9" t="n">
        <v>98.331795</v>
      </c>
      <c r="I72" s="2" t="str">
        <f aca="false">IF(COUNT(C72:F72)&lt;4,"",IF(OR(D72&lt;MAX(C72,F72)-0.000001,E72&gt;MIN(C72,F72)+0.000001),"FAIL","OK"))</f>
        <v>OK</v>
      </c>
      <c r="J72" s="10" t="n">
        <f aca="false">IF(COUNT(F72,G72)&lt;2,"",G72/F72)</f>
        <v>0.937028712844888</v>
      </c>
      <c r="K72" s="10" t="n">
        <f aca="false">H72/H71-1</f>
        <v>0.0215127616226876</v>
      </c>
      <c r="L72" s="10" t="n">
        <f aca="false">H77/H72-1</f>
        <v>0.0125784544053122</v>
      </c>
      <c r="M72" s="10" t="n">
        <f aca="false">IF(COUNT(B13:B72)&lt;60,"",(B72-AVERAGE(B13:B72))/STDEV(B13:B72))</f>
        <v>0.146249666358301</v>
      </c>
      <c r="N72" s="10" t="n">
        <f aca="false">(H72-AVERAGE(H13:H72))/STDEV(H13:H72)</f>
        <v>-0.0580505185609049</v>
      </c>
      <c r="O72" s="10" t="n">
        <f aca="false">IF(COUNT(B72)=0,"",B72-('Signal Analysis'!$C$6+'Signal Analysis'!$C$5*H72))</f>
        <v>0.33798838924579</v>
      </c>
    </row>
    <row r="73" customFormat="false" ht="15" hidden="false" customHeight="false" outlineLevel="0" collapsed="false">
      <c r="A73" s="8" t="n">
        <v>42431</v>
      </c>
      <c r="B73" s="9" t="n">
        <v>12.24396516</v>
      </c>
      <c r="C73" s="9" t="n">
        <v>104.790001</v>
      </c>
      <c r="D73" s="9" t="n">
        <v>106.089996</v>
      </c>
      <c r="E73" s="9" t="n">
        <v>104.589996</v>
      </c>
      <c r="F73" s="9" t="n">
        <v>106.019997</v>
      </c>
      <c r="G73" s="9" t="n">
        <v>99.343773</v>
      </c>
      <c r="H73" s="9" t="n">
        <v>99.343773</v>
      </c>
      <c r="I73" s="2" t="str">
        <f aca="false">IF(COUNT(C73:F73)&lt;4,"",IF(OR(D73&lt;MAX(C73,F73)-0.000001,E73&gt;MIN(C73,F73)+0.000001),"FAIL","OK"))</f>
        <v>OK</v>
      </c>
      <c r="J73" s="10" t="n">
        <f aca="false">IF(COUNT(F73,G73)&lt;2,"",G73/F73)</f>
        <v>0.937028634324523</v>
      </c>
      <c r="K73" s="10" t="n">
        <f aca="false">H73/H72-1</f>
        <v>0.0102914626952553</v>
      </c>
      <c r="L73" s="10" t="n">
        <f aca="false">H78/H73-1</f>
        <v>0.00735732072507456</v>
      </c>
      <c r="M73" s="10" t="n">
        <f aca="false">IF(COUNT(B14:B73)&lt;60,"",(B73-AVERAGE(B14:B73))/STDEV(B14:B73))</f>
        <v>0.47227339747355</v>
      </c>
      <c r="N73" s="10" t="n">
        <f aca="false">(H73-AVERAGE(H14:H73))/STDEV(H14:H73)</f>
        <v>0.133224348857239</v>
      </c>
      <c r="O73" s="10" t="n">
        <f aca="false">IF(COUNT(B73)=0,"",B73-('Signal Analysis'!$C$6+'Signal Analysis'!$C$5*H73))</f>
        <v>0.452239216622813</v>
      </c>
    </row>
    <row r="74" customFormat="false" ht="15" hidden="false" customHeight="false" outlineLevel="0" collapsed="false">
      <c r="A74" s="8" t="n">
        <v>42432</v>
      </c>
      <c r="B74" s="9" t="n">
        <v>11.5897916748</v>
      </c>
      <c r="C74" s="9" t="n">
        <v>106.050003</v>
      </c>
      <c r="D74" s="9" t="n">
        <v>107.150002</v>
      </c>
      <c r="E74" s="9" t="n">
        <v>105.919998</v>
      </c>
      <c r="F74" s="9" t="n">
        <v>107.129997</v>
      </c>
      <c r="G74" s="9" t="n">
        <v>100.383881</v>
      </c>
      <c r="H74" s="9" t="n">
        <v>100.383881</v>
      </c>
      <c r="I74" s="2" t="str">
        <f aca="false">IF(COUNT(C74:F74)&lt;4,"",IF(OR(D74&lt;MAX(C74,F74)-0.000001,E74&gt;MIN(C74,F74)+0.000001),"FAIL","OK"))</f>
        <v>OK</v>
      </c>
      <c r="J74" s="10" t="n">
        <f aca="false">IF(COUNT(F74,G74)&lt;2,"",G74/F74)</f>
        <v>0.937028692346552</v>
      </c>
      <c r="K74" s="10" t="n">
        <f aca="false">H74/H73-1</f>
        <v>0.0104697855596847</v>
      </c>
      <c r="L74" s="10" t="n">
        <f aca="false">H79/H74-1</f>
        <v>-0.011201509533189</v>
      </c>
      <c r="M74" s="10" t="n">
        <f aca="false">IF(COUNT(B15:B74)&lt;60,"",(B74-AVERAGE(B15:B74))/STDEV(B15:B74))</f>
        <v>-0.305946683813128</v>
      </c>
      <c r="N74" s="10" t="n">
        <f aca="false">(H74-AVERAGE(H15:H74))/STDEV(H15:H74)</f>
        <v>0.34075609349391</v>
      </c>
      <c r="O74" s="10" t="n">
        <f aca="false">IF(COUNT(B74)=0,"",B74-('Signal Analysis'!$C$6+'Signal Analysis'!$C$5*H74))</f>
        <v>-0.344213166992033</v>
      </c>
    </row>
    <row r="75" customFormat="false" ht="15" hidden="false" customHeight="false" outlineLevel="0" collapsed="false">
      <c r="A75" s="8" t="n">
        <v>42433</v>
      </c>
      <c r="B75" s="9" t="n">
        <v>12.609409302</v>
      </c>
      <c r="C75" s="9" t="n">
        <v>107.07</v>
      </c>
      <c r="D75" s="9" t="n">
        <v>108.32</v>
      </c>
      <c r="E75" s="9" t="n">
        <v>106.669998</v>
      </c>
      <c r="F75" s="9" t="n">
        <v>107.720001</v>
      </c>
      <c r="G75" s="9" t="n">
        <v>100.936729</v>
      </c>
      <c r="H75" s="9" t="n">
        <v>100.936729</v>
      </c>
      <c r="I75" s="2" t="str">
        <f aca="false">IF(COUNT(C75:F75)&lt;4,"",IF(OR(D75&lt;MAX(C75,F75)-0.000001,E75&gt;MIN(C75,F75)+0.000001),"FAIL","OK"))</f>
        <v>OK</v>
      </c>
      <c r="J75" s="10" t="n">
        <f aca="false">IF(COUNT(F75,G75)&lt;2,"",G75/F75)</f>
        <v>0.937028667498806</v>
      </c>
      <c r="K75" s="10" t="n">
        <f aca="false">H75/H74-1</f>
        <v>0.00550733837437512</v>
      </c>
      <c r="L75" s="10" t="n">
        <f aca="false">H80/H75-1</f>
        <v>0.00445587056818519</v>
      </c>
      <c r="M75" s="10" t="n">
        <f aca="false">IF(COUNT(B16:B75)&lt;60,"",(B75-AVERAGE(B16:B75))/STDEV(B16:B75))</f>
        <v>0.967170489025977</v>
      </c>
      <c r="N75" s="10" t="n">
        <f aca="false">(H75-AVERAGE(H16:H75))/STDEV(H16:H75)</f>
        <v>0.465792761293596</v>
      </c>
      <c r="O75" s="10" t="n">
        <f aca="false">IF(COUNT(B75)=0,"",B75-('Signal Analysis'!$C$6+'Signal Analysis'!$C$5*H75))</f>
        <v>0.599779040125773</v>
      </c>
    </row>
    <row r="76" customFormat="false" ht="15" hidden="false" customHeight="false" outlineLevel="0" collapsed="false">
      <c r="A76" s="8" t="n">
        <v>42436</v>
      </c>
      <c r="B76" s="9" t="n">
        <v>11.434686336</v>
      </c>
      <c r="C76" s="9" t="n">
        <v>107.209999</v>
      </c>
      <c r="D76" s="9" t="n">
        <v>108.989998</v>
      </c>
      <c r="E76" s="9" t="n">
        <v>107.209999</v>
      </c>
      <c r="F76" s="9" t="n">
        <v>108.889999</v>
      </c>
      <c r="G76" s="9" t="n">
        <v>102.033043</v>
      </c>
      <c r="H76" s="9" t="n">
        <v>102.033043</v>
      </c>
      <c r="I76" s="2" t="str">
        <f aca="false">IF(COUNT(C76:F76)&lt;4,"",IF(OR(D76&lt;MAX(C76,F76)-0.000001,E76&gt;MIN(C76,F76)+0.000001),"FAIL","OK"))</f>
        <v>OK</v>
      </c>
      <c r="J76" s="10" t="n">
        <f aca="false">IF(COUNT(F76,G76)&lt;2,"",G76/F76)</f>
        <v>0.937028597089068</v>
      </c>
      <c r="K76" s="10" t="n">
        <f aca="false">H76/H75-1</f>
        <v>0.0108613981338745</v>
      </c>
      <c r="L76" s="10" t="n">
        <f aca="false">H81/H76-1</f>
        <v>-0.00890780058377749</v>
      </c>
      <c r="M76" s="10" t="n">
        <f aca="false">IF(COUNT(B17:B76)&lt;60,"",(B76-AVERAGE(B17:B76))/STDEV(B17:B76))</f>
        <v>-0.477848632055038</v>
      </c>
      <c r="N76" s="10" t="n">
        <f aca="false">(H76-AVERAGE(H17:H76))/STDEV(H17:H76)</f>
        <v>0.68558967619405</v>
      </c>
      <c r="O76" s="10" t="n">
        <f aca="false">IF(COUNT(B76)=0,"",B76-('Signal Analysis'!$C$6+'Signal Analysis'!$C$5*H76))</f>
        <v>-0.724911379481711</v>
      </c>
    </row>
    <row r="77" customFormat="false" ht="15" hidden="false" customHeight="false" outlineLevel="0" collapsed="false">
      <c r="A77" s="8" t="n">
        <v>42437</v>
      </c>
      <c r="B77" s="9" t="n">
        <v>12.77469774</v>
      </c>
      <c r="C77" s="9" t="n">
        <v>108.290001</v>
      </c>
      <c r="D77" s="9" t="n">
        <v>108.290001</v>
      </c>
      <c r="E77" s="9" t="n">
        <v>106.139999</v>
      </c>
      <c r="F77" s="9" t="n">
        <v>106.260002</v>
      </c>
      <c r="G77" s="9" t="n">
        <v>99.568657</v>
      </c>
      <c r="H77" s="9" t="n">
        <v>99.568657</v>
      </c>
      <c r="I77" s="2" t="str">
        <f aca="false">IF(COUNT(C77:F77)&lt;4,"",IF(OR(D77&lt;MAX(C77,F77)-0.000001,E77&gt;MIN(C77,F77)+0.000001),"FAIL","OK"))</f>
        <v>OK</v>
      </c>
      <c r="J77" s="10" t="n">
        <f aca="false">IF(COUNT(F77,G77)&lt;2,"",G77/F77)</f>
        <v>0.937028563202926</v>
      </c>
      <c r="K77" s="10" t="n">
        <f aca="false">H77/H76-1</f>
        <v>-0.0241528227282215</v>
      </c>
      <c r="L77" s="10" t="n">
        <f aca="false">H82/H77-1</f>
        <v>-0.000188111405379332</v>
      </c>
      <c r="M77" s="10" t="n">
        <f aca="false">IF(COUNT(B18:B77)&lt;60,"",(B77-AVERAGE(B18:B77))/STDEV(B18:B77))</f>
        <v>1.21280434040958</v>
      </c>
      <c r="N77" s="10" t="n">
        <f aca="false">(H77-AVERAGE(H18:H77))/STDEV(H18:H77)</f>
        <v>0.274381981439109</v>
      </c>
      <c r="O77" s="10" t="n">
        <f aca="false">IF(COUNT(B77)=0,"",B77-('Signal Analysis'!$C$6+'Signal Analysis'!$C$5*H77))</f>
        <v>0.952209368306596</v>
      </c>
    </row>
    <row r="78" customFormat="false" ht="15" hidden="false" customHeight="false" outlineLevel="0" collapsed="false">
      <c r="A78" s="8" t="n">
        <v>42438</v>
      </c>
      <c r="B78" s="9" t="n">
        <v>12.6202942944</v>
      </c>
      <c r="C78" s="9" t="n">
        <v>106.620003</v>
      </c>
      <c r="D78" s="9" t="n">
        <v>107.010002</v>
      </c>
      <c r="E78" s="9" t="n">
        <v>106.07</v>
      </c>
      <c r="F78" s="9" t="n">
        <v>106.800003</v>
      </c>
      <c r="G78" s="9" t="n">
        <v>100.074677</v>
      </c>
      <c r="H78" s="9" t="n">
        <v>100.074677</v>
      </c>
      <c r="I78" s="2" t="str">
        <f aca="false">IF(COUNT(C78:F78)&lt;4,"",IF(OR(D78&lt;MAX(C78,F78)-0.000001,E78&gt;MIN(C78,F78)+0.000001),"FAIL","OK"))</f>
        <v>OK</v>
      </c>
      <c r="J78" s="10" t="n">
        <f aca="false">IF(COUNT(F78,G78)&lt;2,"",G78/F78)</f>
        <v>0.93702878454039</v>
      </c>
      <c r="K78" s="10" t="n">
        <f aca="false">H78/H77-1</f>
        <v>0.00508212137480157</v>
      </c>
      <c r="L78" s="10" t="n">
        <f aca="false">H83/H78-1</f>
        <v>0.00177883162190962</v>
      </c>
      <c r="M78" s="10" t="n">
        <f aca="false">IF(COUNT(B19:B78)&lt;60,"",(B78-AVERAGE(B19:B78))/STDEV(B19:B78))</f>
        <v>1.05120532832126</v>
      </c>
      <c r="N78" s="10" t="n">
        <f aca="false">(H78-AVERAGE(H19:H78))/STDEV(H19:H78)</f>
        <v>0.39383176553523</v>
      </c>
      <c r="O78" s="10" t="n">
        <f aca="false">IF(COUNT(B78)=0,"",B78-('Signal Analysis'!$C$6+'Signal Analysis'!$C$5*H78))</f>
        <v>0.728586218429848</v>
      </c>
    </row>
    <row r="79" customFormat="false" ht="15" hidden="false" customHeight="false" outlineLevel="0" collapsed="false">
      <c r="A79" s="8" t="n">
        <v>42439</v>
      </c>
      <c r="B79" s="9" t="n">
        <v>11.94599124</v>
      </c>
      <c r="C79" s="9" t="n">
        <v>107.099998</v>
      </c>
      <c r="D79" s="9" t="n">
        <v>107.489998</v>
      </c>
      <c r="E79" s="9" t="n">
        <v>104.809998</v>
      </c>
      <c r="F79" s="9" t="n">
        <v>105.93</v>
      </c>
      <c r="G79" s="9" t="n">
        <v>99.25943</v>
      </c>
      <c r="H79" s="9" t="n">
        <v>99.25943</v>
      </c>
      <c r="I79" s="2" t="str">
        <f aca="false">IF(COUNT(C79:F79)&lt;4,"",IF(OR(D79&lt;MAX(C79,F79)-0.000001,E79&gt;MIN(C79,F79)+0.000001),"FAIL","OK"))</f>
        <v>OK</v>
      </c>
      <c r="J79" s="10" t="n">
        <f aca="false">IF(COUNT(F79,G79)&lt;2,"",G79/F79)</f>
        <v>0.937028509392995</v>
      </c>
      <c r="K79" s="10" t="n">
        <f aca="false">H79/H78-1</f>
        <v>-0.00814638652293631</v>
      </c>
      <c r="L79" s="10" t="n">
        <f aca="false">H84/H79-1</f>
        <v>0.0254885908573119</v>
      </c>
      <c r="M79" s="10" t="n">
        <f aca="false">IF(COUNT(B20:B79)&lt;60,"",(B79-AVERAGE(B20:B79))/STDEV(B20:B79))</f>
        <v>0.21069557689207</v>
      </c>
      <c r="N79" s="10" t="n">
        <f aca="false">(H79-AVERAGE(H20:H79))/STDEV(H20:H79)</f>
        <v>0.262637404944957</v>
      </c>
      <c r="O79" s="10" t="n">
        <f aca="false">IF(COUNT(B79)=0,"",B79-('Signal Analysis'!$C$6+'Signal Analysis'!$C$5*H79))</f>
        <v>0.165802780354312</v>
      </c>
    </row>
    <row r="80" customFormat="false" ht="15" hidden="false" customHeight="false" outlineLevel="0" collapsed="false">
      <c r="A80" s="8" t="n">
        <v>42440</v>
      </c>
      <c r="B80" s="9" t="n">
        <v>12.03032316</v>
      </c>
      <c r="C80" s="9" t="n">
        <v>106.790001</v>
      </c>
      <c r="D80" s="9" t="n">
        <v>108.330002</v>
      </c>
      <c r="E80" s="9" t="n">
        <v>106.660004</v>
      </c>
      <c r="F80" s="9" t="n">
        <v>108.199997</v>
      </c>
      <c r="G80" s="9" t="n">
        <v>101.38649</v>
      </c>
      <c r="H80" s="9" t="n">
        <v>101.38649</v>
      </c>
      <c r="I80" s="2" t="str">
        <f aca="false">IF(COUNT(C80:F80)&lt;4,"",IF(OR(D80&lt;MAX(C80,F80)-0.000001,E80&gt;MIN(C80,F80)+0.000001),"FAIL","OK"))</f>
        <v>OK</v>
      </c>
      <c r="J80" s="10" t="n">
        <f aca="false">IF(COUNT(F80,G80)&lt;2,"",G80/F80)</f>
        <v>0.937028584205968</v>
      </c>
      <c r="K80" s="10" t="n">
        <f aca="false">H80/H79-1</f>
        <v>0.021429298959303</v>
      </c>
      <c r="L80" s="10" t="n">
        <f aca="false">H85/H80-1</f>
        <v>0.0130314502454914</v>
      </c>
      <c r="M80" s="10" t="n">
        <f aca="false">IF(COUNT(B21:B80)&lt;60,"",(B80-AVERAGE(B21:B80))/STDEV(B21:B80))</f>
        <v>0.352738768910359</v>
      </c>
      <c r="N80" s="10" t="n">
        <f aca="false">(H80-AVERAGE(H21:H80))/STDEV(H21:H80)</f>
        <v>0.670145778020764</v>
      </c>
      <c r="O80" s="10" t="n">
        <f aca="false">IF(COUNT(B80)=0,"",B80-('Signal Analysis'!$C$6+'Signal Analysis'!$C$5*H80))</f>
        <v>-0.0408310009596669</v>
      </c>
    </row>
    <row r="81" customFormat="false" ht="15" hidden="false" customHeight="false" outlineLevel="0" collapsed="false">
      <c r="A81" s="8" t="n">
        <v>42443</v>
      </c>
      <c r="B81" s="9" t="n">
        <v>11.7261403776</v>
      </c>
      <c r="C81" s="9" t="n">
        <v>107.870003</v>
      </c>
      <c r="D81" s="9" t="n">
        <v>108.339996</v>
      </c>
      <c r="E81" s="9" t="n">
        <v>107.400002</v>
      </c>
      <c r="F81" s="9" t="n">
        <v>107.919998</v>
      </c>
      <c r="G81" s="9" t="n">
        <v>101.124153</v>
      </c>
      <c r="H81" s="9" t="n">
        <v>101.124153</v>
      </c>
      <c r="I81" s="2" t="str">
        <f aca="false">IF(COUNT(C81:F81)&lt;4,"",IF(OR(D81&lt;MAX(C81,F81)-0.000001,E81&gt;MIN(C81,F81)+0.000001),"FAIL","OK"))</f>
        <v>OK</v>
      </c>
      <c r="J81" s="10" t="n">
        <f aca="false">IF(COUNT(F81,G81)&lt;2,"",G81/F81)</f>
        <v>0.937028862806317</v>
      </c>
      <c r="K81" s="10" t="n">
        <f aca="false">H81/H80-1</f>
        <v>-0.00258749464548969</v>
      </c>
      <c r="L81" s="10" t="n">
        <f aca="false">H86/H81-1</f>
        <v>0.0132502469513884</v>
      </c>
      <c r="M81" s="10" t="n">
        <f aca="false">IF(COUNT(B22:B81)&lt;60,"",(B81-AVERAGE(B22:B81))/STDEV(B22:B81))</f>
        <v>-0.0469696927113807</v>
      </c>
      <c r="N81" s="10" t="n">
        <f aca="false">(H81-AVERAGE(H22:H81))/STDEV(H22:H81)</f>
        <v>0.641885512484118</v>
      </c>
      <c r="O81" s="10" t="n">
        <f aca="false">IF(COUNT(B81)=0,"",B81-('Signal Analysis'!$C$6+'Signal Analysis'!$C$5*H81))</f>
        <v>-0.309128068247915</v>
      </c>
    </row>
    <row r="82" customFormat="false" ht="15" hidden="false" customHeight="false" outlineLevel="0" collapsed="false">
      <c r="A82" s="8" t="n">
        <v>42444</v>
      </c>
      <c r="B82" s="9" t="n">
        <v>12.2016751164</v>
      </c>
      <c r="C82" s="9" t="n">
        <v>107.209999</v>
      </c>
      <c r="D82" s="9" t="n">
        <v>107.279999</v>
      </c>
      <c r="E82" s="9" t="n">
        <v>106.029999</v>
      </c>
      <c r="F82" s="9" t="n">
        <v>106.239998</v>
      </c>
      <c r="G82" s="9" t="n">
        <v>99.549927</v>
      </c>
      <c r="H82" s="9" t="n">
        <v>99.549927</v>
      </c>
      <c r="I82" s="2" t="str">
        <f aca="false">IF(COUNT(C82:F82)&lt;4,"",IF(OR(D82&lt;MAX(C82,F82)-0.000001,E82&gt;MIN(C82,F82)+0.000001),"FAIL","OK"))</f>
        <v>OK</v>
      </c>
      <c r="J82" s="10" t="n">
        <f aca="false">IF(COUNT(F82,G82)&lt;2,"",G82/F82)</f>
        <v>0.937028697986233</v>
      </c>
      <c r="K82" s="10" t="n">
        <f aca="false">H82/H81-1</f>
        <v>-0.0155672601776947</v>
      </c>
      <c r="L82" s="10" t="n">
        <f aca="false">H87/H82-1</f>
        <v>0.0280495233311422</v>
      </c>
      <c r="M82" s="10" t="n">
        <f aca="false">IF(COUNT(B23:B82)&lt;60,"",(B82-AVERAGE(B23:B82))/STDEV(B23:B82))</f>
        <v>0.632896800160854</v>
      </c>
      <c r="N82" s="10" t="n">
        <f aca="false">(H82-AVERAGE(H23:H82))/STDEV(H23:H82)</f>
        <v>0.374891906951061</v>
      </c>
      <c r="O82" s="10" t="n">
        <f aca="false">IF(COUNT(B82)=0,"",B82-('Signal Analysis'!$C$6+'Signal Analysis'!$C$5*H82))</f>
        <v>0.38174886687786</v>
      </c>
    </row>
    <row r="83" customFormat="false" ht="15" hidden="false" customHeight="false" outlineLevel="0" collapsed="false">
      <c r="A83" s="8" t="n">
        <v>42445</v>
      </c>
      <c r="B83" s="9" t="n">
        <v>12.7875163104</v>
      </c>
      <c r="C83" s="9" t="n">
        <v>105.730003</v>
      </c>
      <c r="D83" s="9" t="n">
        <v>107.330002</v>
      </c>
      <c r="E83" s="9" t="n">
        <v>105.730003</v>
      </c>
      <c r="F83" s="9" t="n">
        <v>106.989998</v>
      </c>
      <c r="G83" s="9" t="n">
        <v>100.252693</v>
      </c>
      <c r="H83" s="9" t="n">
        <v>100.252693</v>
      </c>
      <c r="I83" s="2" t="str">
        <f aca="false">IF(COUNT(C83:F83)&lt;4,"",IF(OR(D83&lt;MAX(C83,F83)-0.000001,E83&gt;MIN(C83,F83)+0.000001),"FAIL","OK"))</f>
        <v>OK</v>
      </c>
      <c r="J83" s="10" t="n">
        <f aca="false">IF(COUNT(F83,G83)&lt;2,"",G83/F83)</f>
        <v>0.937028646360008</v>
      </c>
      <c r="K83" s="10" t="n">
        <f aca="false">H83/H82-1</f>
        <v>0.00705943260008612</v>
      </c>
      <c r="L83" s="10" t="n">
        <f aca="false">H88/H83-1</f>
        <v>0.00197171760762571</v>
      </c>
      <c r="M83" s="10" t="n">
        <f aca="false">IF(COUNT(B24:B83)&lt;60,"",(B83-AVERAGE(B24:B83))/STDEV(B24:B83))</f>
        <v>1.42473954554876</v>
      </c>
      <c r="N83" s="10" t="n">
        <f aca="false">(H83-AVERAGE(H24:H83))/STDEV(H24:H83)</f>
        <v>0.539180389638168</v>
      </c>
      <c r="O83" s="10" t="n">
        <f aca="false">IF(COUNT(B83)=0,"",B83-('Signal Analysis'!$C$6+'Signal Analysis'!$C$5*H83))</f>
        <v>0.871456993616183</v>
      </c>
    </row>
    <row r="84" customFormat="false" ht="15" hidden="false" customHeight="false" outlineLevel="0" collapsed="false">
      <c r="A84" s="8" t="n">
        <v>42446</v>
      </c>
      <c r="B84" s="9" t="n">
        <v>12.649502718</v>
      </c>
      <c r="C84" s="9" t="n">
        <v>106.989998</v>
      </c>
      <c r="D84" s="9" t="n">
        <v>109.099998</v>
      </c>
      <c r="E84" s="9" t="n">
        <v>106.330002</v>
      </c>
      <c r="F84" s="9" t="n">
        <v>108.629997</v>
      </c>
      <c r="G84" s="9" t="n">
        <v>101.789413</v>
      </c>
      <c r="H84" s="9" t="n">
        <v>101.789413</v>
      </c>
      <c r="I84" s="2" t="str">
        <f aca="false">IF(COUNT(C84:F84)&lt;4,"",IF(OR(D84&lt;MAX(C84,F84)-0.000001,E84&gt;MIN(C84,F84)+0.000001),"FAIL","OK"))</f>
        <v>OK</v>
      </c>
      <c r="J84" s="10" t="n">
        <f aca="false">IF(COUNT(F84,G84)&lt;2,"",G84/F84)</f>
        <v>0.937028590730791</v>
      </c>
      <c r="K84" s="10" t="n">
        <f aca="false">H84/H83-1</f>
        <v>0.0153284660393114</v>
      </c>
      <c r="L84" s="10" t="n">
        <f aca="false">H89/H84-1</f>
        <v>-0.0102005402074575</v>
      </c>
      <c r="M84" s="10" t="n">
        <f aca="false">IF(COUNT(B25:B84)&lt;60,"",(B84-AVERAGE(B25:B84))/STDEV(B25:B84))</f>
        <v>1.26656230978663</v>
      </c>
      <c r="N84" s="10" t="n">
        <f aca="false">(H84-AVERAGE(H25:H84))/STDEV(H25:H84)</f>
        <v>0.858221691452264</v>
      </c>
      <c r="O84" s="10" t="n">
        <f aca="false">IF(COUNT(B84)=0,"",B84-('Signal Analysis'!$C$6+'Signal Analysis'!$C$5*H84))</f>
        <v>0.523231741684617</v>
      </c>
    </row>
    <row r="85" customFormat="false" ht="15" hidden="false" customHeight="false" outlineLevel="0" collapsed="false">
      <c r="A85" s="8" t="n">
        <v>42447</v>
      </c>
      <c r="B85" s="9" t="n">
        <v>11.9335031244</v>
      </c>
      <c r="C85" s="9" t="n">
        <v>108.769997</v>
      </c>
      <c r="D85" s="9" t="n">
        <v>109.949997</v>
      </c>
      <c r="E85" s="9" t="n">
        <v>108.699997</v>
      </c>
      <c r="F85" s="9" t="n">
        <v>109.610001</v>
      </c>
      <c r="G85" s="9" t="n">
        <v>102.707703</v>
      </c>
      <c r="H85" s="9" t="n">
        <v>102.707703</v>
      </c>
      <c r="I85" s="2" t="str">
        <f aca="false">IF(COUNT(C85:F85)&lt;4,"",IF(OR(D85&lt;MAX(C85,F85)-0.000001,E85&gt;MIN(C85,F85)+0.000001),"FAIL","OK"))</f>
        <v>OK</v>
      </c>
      <c r="J85" s="10" t="n">
        <f aca="false">IF(COUNT(F85,G85)&lt;2,"",G85/F85)</f>
        <v>0.93702857460972</v>
      </c>
      <c r="K85" s="10" t="n">
        <f aca="false">H85/H84-1</f>
        <v>0.00902146866688391</v>
      </c>
      <c r="L85" s="10" t="n">
        <f aca="false">H90/H85-1</f>
        <v>-0.0178603643779278</v>
      </c>
      <c r="M85" s="10" t="n">
        <f aca="false">IF(COUNT(B26:B85)&lt;60,"",(B85-AVERAGE(B26:B85))/STDEV(B26:B85))</f>
        <v>0.280007083255724</v>
      </c>
      <c r="N85" s="10" t="n">
        <f aca="false">(H85-AVERAGE(H26:H85))/STDEV(H26:H85)</f>
        <v>1.05821504030066</v>
      </c>
      <c r="O85" s="10" t="n">
        <f aca="false">IF(COUNT(B85)=0,"",B85-('Signal Analysis'!$C$6+'Signal Analysis'!$C$5*H85))</f>
        <v>-0.318382970369784</v>
      </c>
    </row>
    <row r="86" customFormat="false" ht="15" hidden="false" customHeight="false" outlineLevel="0" collapsed="false">
      <c r="A86" s="8" t="n">
        <v>42450</v>
      </c>
      <c r="B86" s="9" t="n">
        <v>11.485626084</v>
      </c>
      <c r="C86" s="9" t="n">
        <v>109.440002</v>
      </c>
      <c r="D86" s="9" t="n">
        <v>109.940002</v>
      </c>
      <c r="E86" s="9" t="n">
        <v>109.080002</v>
      </c>
      <c r="F86" s="9" t="n">
        <v>109.349998</v>
      </c>
      <c r="G86" s="9" t="n">
        <v>102.464073</v>
      </c>
      <c r="H86" s="9" t="n">
        <v>102.464073</v>
      </c>
      <c r="I86" s="2" t="str">
        <f aca="false">IF(COUNT(C86:F86)&lt;4,"",IF(OR(D86&lt;MAX(C86,F86)-0.000001,E86&gt;MIN(C86,F86)+0.000001),"FAIL","OK"))</f>
        <v>OK</v>
      </c>
      <c r="J86" s="10" t="n">
        <f aca="false">IF(COUNT(F86,G86)&lt;2,"",G86/F86)</f>
        <v>0.937028576808936</v>
      </c>
      <c r="K86" s="10" t="n">
        <f aca="false">H86/H85-1</f>
        <v>-0.00237207135281758</v>
      </c>
      <c r="L86" s="10" t="n">
        <f aca="false">H91/H86-1</f>
        <v>0.0118084121055777</v>
      </c>
      <c r="M86" s="10" t="n">
        <f aca="false">IF(COUNT(B27:B86)&lt;60,"",(B86-AVERAGE(B27:B86))/STDEV(B27:B86))</f>
        <v>-0.325935058709323</v>
      </c>
      <c r="N86" s="10" t="n">
        <f aca="false">(H86-AVERAGE(H27:H86))/STDEV(H27:H86)</f>
        <v>1.03592887253117</v>
      </c>
      <c r="O86" s="10" t="n">
        <f aca="false">IF(COUNT(B86)=0,"",B86-('Signal Analysis'!$C$6+'Signal Analysis'!$C$5*H86))</f>
        <v>-0.732933271603459</v>
      </c>
    </row>
    <row r="87" customFormat="false" ht="15" hidden="false" customHeight="false" outlineLevel="0" collapsed="false">
      <c r="A87" s="8" t="n">
        <v>42451</v>
      </c>
      <c r="B87" s="9" t="n">
        <v>11.6206048512</v>
      </c>
      <c r="C87" s="9" t="n">
        <v>108.779999</v>
      </c>
      <c r="D87" s="9" t="n">
        <v>109.690002</v>
      </c>
      <c r="E87" s="9" t="n">
        <v>108.470001</v>
      </c>
      <c r="F87" s="9" t="n">
        <v>109.220001</v>
      </c>
      <c r="G87" s="9" t="n">
        <v>102.342255</v>
      </c>
      <c r="H87" s="9" t="n">
        <v>102.342255</v>
      </c>
      <c r="I87" s="2" t="str">
        <f aca="false">IF(COUNT(C87:F87)&lt;4,"",IF(OR(D87&lt;MAX(C87,F87)-0.000001,E87&gt;MIN(C87,F87)+0.000001),"FAIL","OK"))</f>
        <v>OK</v>
      </c>
      <c r="J87" s="10" t="n">
        <f aca="false">IF(COUNT(F87,G87)&lt;2,"",G87/F87)</f>
        <v>0.93702851183823</v>
      </c>
      <c r="K87" s="10" t="n">
        <f aca="false">H87/H86-1</f>
        <v>-0.00118888500557657</v>
      </c>
      <c r="L87" s="10" t="n">
        <f aca="false">H92/H87-1</f>
        <v>0.013104841201711</v>
      </c>
      <c r="M87" s="10" t="n">
        <f aca="false">IF(COUNT(B28:B87)&lt;60,"",(B87-AVERAGE(B28:B87))/STDEV(B28:B87))</f>
        <v>-0.101312394823528</v>
      </c>
      <c r="N87" s="10" t="n">
        <f aca="false">(H87-AVERAGE(H28:H87))/STDEV(H28:H87)</f>
        <v>1.05363958280842</v>
      </c>
      <c r="O87" s="10" t="n">
        <f aca="false">IF(COUNT(B87)=0,"",B87-('Signal Analysis'!$C$6+'Signal Analysis'!$C$5*H87))</f>
        <v>-0.581290724443011</v>
      </c>
    </row>
    <row r="88" customFormat="false" ht="15" hidden="false" customHeight="false" outlineLevel="0" collapsed="false">
      <c r="A88" s="8" t="n">
        <v>42452</v>
      </c>
      <c r="B88" s="9" t="n">
        <v>11.9432460672</v>
      </c>
      <c r="C88" s="9" t="n">
        <v>108.540001</v>
      </c>
      <c r="D88" s="9" t="n">
        <v>108.589996</v>
      </c>
      <c r="E88" s="9" t="n">
        <v>106.800003</v>
      </c>
      <c r="F88" s="9" t="n">
        <v>106.879997</v>
      </c>
      <c r="G88" s="9" t="n">
        <v>100.450363</v>
      </c>
      <c r="H88" s="9" t="n">
        <v>100.450363</v>
      </c>
      <c r="I88" s="2" t="str">
        <f aca="false">IF(COUNT(C88:F88)&lt;4,"",IF(OR(D88&lt;MAX(C88,F88)-0.000001,E88&gt;MIN(C88,F88)+0.000001),"FAIL","OK"))</f>
        <v>OK</v>
      </c>
      <c r="J88" s="10" t="n">
        <f aca="false">IF(COUNT(F88,G88)&lt;2,"",G88/F88)</f>
        <v>0.939842494568932</v>
      </c>
      <c r="K88" s="10" t="n">
        <f aca="false">H88/H87-1</f>
        <v>-0.0184859323258023</v>
      </c>
      <c r="L88" s="10" t="n">
        <f aca="false">H93/H88-1</f>
        <v>0.0350860553883714</v>
      </c>
      <c r="M88" s="10" t="n">
        <f aca="false">IF(COUNT(B29:B88)&lt;60,"",(B88-AVERAGE(B29:B88))/STDEV(B29:B88))</f>
        <v>0.399989438431783</v>
      </c>
      <c r="N88" s="10" t="n">
        <f aca="false">(H88-AVERAGE(H29:H88))/STDEV(H29:H88)</f>
        <v>0.704183172535966</v>
      </c>
      <c r="O88" s="10" t="n">
        <f aca="false">IF(COUNT(B88)=0,"",B88-('Signal Analysis'!$C$6+'Signal Analysis'!$C$5*H88))</f>
        <v>0.00014699122804096</v>
      </c>
    </row>
    <row r="89" customFormat="false" ht="15" hidden="false" customHeight="false" outlineLevel="0" collapsed="false">
      <c r="A89" s="8" t="n">
        <v>42453</v>
      </c>
      <c r="B89" s="9" t="n">
        <v>13.064112684</v>
      </c>
      <c r="C89" s="9" t="n">
        <v>106.239998</v>
      </c>
      <c r="D89" s="9" t="n">
        <v>107.220001</v>
      </c>
      <c r="E89" s="9" t="n">
        <v>105.739998</v>
      </c>
      <c r="F89" s="9" t="n">
        <v>107.199997</v>
      </c>
      <c r="G89" s="9" t="n">
        <v>100.751106</v>
      </c>
      <c r="H89" s="9" t="n">
        <v>100.751106</v>
      </c>
      <c r="I89" s="2" t="str">
        <f aca="false">IF(COUNT(C89:F89)&lt;4,"",IF(OR(D89&lt;MAX(C89,F89)-0.000001,E89&gt;MIN(C89,F89)+0.000001),"FAIL","OK"))</f>
        <v>OK</v>
      </c>
      <c r="J89" s="10" t="n">
        <f aca="false">IF(COUNT(F89,G89)&lt;2,"",G89/F89)</f>
        <v>0.939842433017979</v>
      </c>
      <c r="K89" s="10" t="n">
        <f aca="false">H89/H88-1</f>
        <v>0.00299394637329486</v>
      </c>
      <c r="L89" s="10" t="n">
        <f aca="false">H94/H89-1</f>
        <v>0.0365673802131761</v>
      </c>
      <c r="M89" s="10" t="n">
        <f aca="false">IF(COUNT(B30:B89)&lt;60,"",(B89-AVERAGE(B30:B89))/STDEV(B30:B89))</f>
        <v>2.10695117749748</v>
      </c>
      <c r="N89" s="10" t="n">
        <f aca="false">(H89-AVERAGE(H30:H89))/STDEV(H30:H89)</f>
        <v>0.818221302597866</v>
      </c>
      <c r="O89" s="10" t="n">
        <f aca="false">IF(COUNT(B89)=0,"",B89-('Signal Analysis'!$C$6+'Signal Analysis'!$C$5*H89))</f>
        <v>1.07987424293713</v>
      </c>
    </row>
    <row r="90" customFormat="false" ht="15" hidden="false" customHeight="false" outlineLevel="0" collapsed="false">
      <c r="A90" s="8" t="n">
        <v>42457</v>
      </c>
      <c r="B90" s="9" t="n">
        <v>12.102663228</v>
      </c>
      <c r="C90" s="9" t="n">
        <v>107.43</v>
      </c>
      <c r="D90" s="9" t="n">
        <v>107.779999</v>
      </c>
      <c r="E90" s="9" t="n">
        <v>106.550003</v>
      </c>
      <c r="F90" s="9" t="n">
        <v>107.330002</v>
      </c>
      <c r="G90" s="9" t="n">
        <v>100.873306</v>
      </c>
      <c r="H90" s="9" t="n">
        <v>100.873306</v>
      </c>
      <c r="I90" s="2" t="str">
        <f aca="false">IF(COUNT(C90:F90)&lt;4,"",IF(OR(D90&lt;MAX(C90,F90)-0.000001,E90&gt;MIN(C90,F90)+0.000001),"FAIL","OK"))</f>
        <v>OK</v>
      </c>
      <c r="J90" s="10" t="n">
        <f aca="false">IF(COUNT(F90,G90)&lt;2,"",G90/F90)</f>
        <v>0.93984258008306</v>
      </c>
      <c r="K90" s="10" t="n">
        <f aca="false">H90/H89-1</f>
        <v>0.00121288991110435</v>
      </c>
      <c r="L90" s="10" t="n">
        <f aca="false">H95/H90-1</f>
        <v>0.0266468712743488</v>
      </c>
      <c r="M90" s="10" t="n">
        <f aca="false">IF(COUNT(B31:B90)&lt;60,"",(B90-AVERAGE(B31:B90))/STDEV(B31:B90))</f>
        <v>0.690795079295562</v>
      </c>
      <c r="N90" s="10" t="n">
        <f aca="false">(H90-AVERAGE(H31:H90))/STDEV(H31:H90)</f>
        <v>0.913970523151645</v>
      </c>
      <c r="O90" s="10" t="n">
        <f aca="false">IF(COUNT(B90)=0,"",B90-('Signal Analysis'!$C$6+'Signal Analysis'!$C$5*H90))</f>
        <v>0.101708752269294</v>
      </c>
    </row>
    <row r="91" customFormat="false" ht="15" hidden="false" customHeight="false" outlineLevel="0" collapsed="false">
      <c r="A91" s="8" t="n">
        <v>42458</v>
      </c>
      <c r="B91" s="9" t="n">
        <v>12.5322372</v>
      </c>
      <c r="C91" s="9" t="n">
        <v>107.040001</v>
      </c>
      <c r="D91" s="9" t="n">
        <v>110.339996</v>
      </c>
      <c r="E91" s="9" t="n">
        <v>106.769997</v>
      </c>
      <c r="F91" s="9" t="n">
        <v>110.309998</v>
      </c>
      <c r="G91" s="9" t="n">
        <v>103.674011</v>
      </c>
      <c r="H91" s="9" t="n">
        <v>103.674011</v>
      </c>
      <c r="I91" s="2" t="str">
        <f aca="false">IF(COUNT(C91:F91)&lt;4,"",IF(OR(D91&lt;MAX(C91,F91)-0.000001,E91&gt;MIN(C91,F91)+0.000001),"FAIL","OK"))</f>
        <v>OK</v>
      </c>
      <c r="J91" s="10" t="n">
        <f aca="false">IF(COUNT(F91,G91)&lt;2,"",G91/F91)</f>
        <v>0.939842379473164</v>
      </c>
      <c r="K91" s="10" t="n">
        <f aca="false">H91/H90-1</f>
        <v>0.0277645802547604</v>
      </c>
      <c r="L91" s="10" t="n">
        <f aca="false">H96/H91-1</f>
        <v>-0.0124194577559075</v>
      </c>
      <c r="M91" s="10" t="n">
        <f aca="false">IF(COUNT(B32:B91)&lt;60,"",(B91-AVERAGE(B32:B91))/STDEV(B32:B91))</f>
        <v>1.3727068509278</v>
      </c>
      <c r="N91" s="10" t="n">
        <f aca="false">(H91-AVERAGE(H32:H91))/STDEV(H32:H91)</f>
        <v>1.62778268530299</v>
      </c>
      <c r="O91" s="10" t="n">
        <f aca="false">IF(COUNT(B91)=0,"",B91-('Signal Analysis'!$C$6+'Signal Analysis'!$C$5*H91))</f>
        <v>0.148167487981382</v>
      </c>
    </row>
    <row r="92" customFormat="false" ht="15" hidden="false" customHeight="false" outlineLevel="0" collapsed="false">
      <c r="A92" s="8" t="n">
        <v>42459</v>
      </c>
      <c r="B92" s="9" t="n">
        <v>11.9302576128</v>
      </c>
      <c r="C92" s="9" t="n">
        <v>110.889999</v>
      </c>
      <c r="D92" s="9" t="n">
        <v>111.120003</v>
      </c>
      <c r="E92" s="9" t="n">
        <v>110.050003</v>
      </c>
      <c r="F92" s="9" t="n">
        <v>110.32</v>
      </c>
      <c r="G92" s="9" t="n">
        <v>103.683434</v>
      </c>
      <c r="H92" s="9" t="n">
        <v>103.683434</v>
      </c>
      <c r="I92" s="2" t="str">
        <f aca="false">IF(COUNT(C92:F92)&lt;4,"",IF(OR(D92&lt;MAX(C92,F92)-0.000001,E92&gt;MIN(C92,F92)+0.000001),"FAIL","OK"))</f>
        <v>OK</v>
      </c>
      <c r="J92" s="10" t="n">
        <f aca="false">IF(COUNT(F92,G92)&lt;2,"",G92/F92)</f>
        <v>0.939842585206672</v>
      </c>
      <c r="K92" s="10" t="n">
        <f aca="false">H92/H91-1</f>
        <v>9.08906669001564E-005</v>
      </c>
      <c r="L92" s="10" t="n">
        <f aca="false">H97/H92-1</f>
        <v>-0.00135975434609936</v>
      </c>
      <c r="M92" s="10" t="n">
        <f aca="false">IF(COUNT(B33:B92)&lt;60,"",(B92-AVERAGE(B33:B92))/STDEV(B33:B92))</f>
        <v>0.426540802797641</v>
      </c>
      <c r="N92" s="10" t="n">
        <f aca="false">(H92-AVERAGE(H33:H92))/STDEV(H33:H92)</f>
        <v>1.6609853016165</v>
      </c>
      <c r="O92" s="10" t="n">
        <f aca="false">IF(COUNT(B92)=0,"",B92-('Signal Analysis'!$C$6+'Signal Analysis'!$C$5*H92))</f>
        <v>-0.455101094265061</v>
      </c>
    </row>
    <row r="93" customFormat="false" ht="15" hidden="false" customHeight="false" outlineLevel="0" collapsed="false">
      <c r="A93" s="8" t="n">
        <v>42460</v>
      </c>
      <c r="B93" s="9" t="n">
        <v>12.5320997664</v>
      </c>
      <c r="C93" s="9" t="n">
        <v>110.480003</v>
      </c>
      <c r="D93" s="9" t="n">
        <v>111.169998</v>
      </c>
      <c r="E93" s="9" t="n">
        <v>110.339996</v>
      </c>
      <c r="F93" s="9" t="n">
        <v>110.629997</v>
      </c>
      <c r="G93" s="9" t="n">
        <v>103.97477</v>
      </c>
      <c r="H93" s="9" t="n">
        <v>103.97477</v>
      </c>
      <c r="I93" s="2" t="str">
        <f aca="false">IF(COUNT(C93:F93)&lt;4,"",IF(OR(D93&lt;MAX(C93,F93)-0.000001,E93&gt;MIN(C93,F93)+0.000001),"FAIL","OK"))</f>
        <v>OK</v>
      </c>
      <c r="J93" s="10" t="n">
        <f aca="false">IF(COUNT(F93,G93)&lt;2,"",G93/F93)</f>
        <v>0.939842473285071</v>
      </c>
      <c r="K93" s="10" t="n">
        <f aca="false">H93/H92-1</f>
        <v>0.00280986063791056</v>
      </c>
      <c r="L93" s="10" t="n">
        <f aca="false">H98/H93-1</f>
        <v>-0.0176262760667805</v>
      </c>
      <c r="M93" s="10" t="n">
        <f aca="false">IF(COUNT(B34:B93)&lt;60,"",(B93-AVERAGE(B34:B93))/STDEV(B34:B93))</f>
        <v>1.36973289300488</v>
      </c>
      <c r="N93" s="10" t="n">
        <f aca="false">(H93-AVERAGE(H34:H93))/STDEV(H34:H93)</f>
        <v>1.71850170920829</v>
      </c>
      <c r="O93" s="10" t="n">
        <f aca="false">IF(COUNT(B93)=0,"",B93-('Signal Analysis'!$C$6+'Signal Analysis'!$C$5*H93))</f>
        <v>0.106888500611626</v>
      </c>
    </row>
    <row r="94" customFormat="false" ht="15" hidden="false" customHeight="false" outlineLevel="0" collapsed="false">
      <c r="A94" s="8" t="n">
        <v>42461</v>
      </c>
      <c r="B94" s="9" t="n">
        <v>12.425094</v>
      </c>
      <c r="C94" s="9" t="n">
        <v>109.610001</v>
      </c>
      <c r="D94" s="9" t="n">
        <v>111.220001</v>
      </c>
      <c r="E94" s="9" t="n">
        <v>109.480003</v>
      </c>
      <c r="F94" s="9" t="n">
        <v>111.120003</v>
      </c>
      <c r="G94" s="9" t="n">
        <v>104.43531</v>
      </c>
      <c r="H94" s="9" t="n">
        <v>104.43531</v>
      </c>
      <c r="I94" s="2" t="str">
        <f aca="false">IF(COUNT(C94:F94)&lt;4,"",IF(OR(D94&lt;MAX(C94,F94)-0.000001,E94&gt;MIN(C94,F94)+0.000001),"FAIL","OK"))</f>
        <v>OK</v>
      </c>
      <c r="J94" s="10" t="n">
        <f aca="false">IF(COUNT(F94,G94)&lt;2,"",G94/F94)</f>
        <v>0.939842577218073</v>
      </c>
      <c r="K94" s="10" t="n">
        <f aca="false">H94/H93-1</f>
        <v>0.00442934377253246</v>
      </c>
      <c r="L94" s="10" t="n">
        <f aca="false">H99/H94-1</f>
        <v>-0.0180887000766312</v>
      </c>
      <c r="M94" s="10" t="n">
        <f aca="false">IF(COUNT(B35:B94)&lt;60,"",(B94-AVERAGE(B35:B94))/STDEV(B35:B94))</f>
        <v>1.16108265183899</v>
      </c>
      <c r="N94" s="10" t="n">
        <f aca="false">(H94-AVERAGE(H35:H94))/STDEV(H35:H94)</f>
        <v>1.81199386140411</v>
      </c>
      <c r="O94" s="10" t="n">
        <f aca="false">IF(COUNT(B94)=0,"",B94-('Signal Analysis'!$C$6+'Signal Analysis'!$C$5*H94))</f>
        <v>-0.0631156504522483</v>
      </c>
    </row>
    <row r="95" customFormat="false" ht="15" hidden="false" customHeight="false" outlineLevel="0" collapsed="false">
      <c r="A95" s="8" t="n">
        <v>42464</v>
      </c>
      <c r="B95" s="9" t="n">
        <v>12.7473318336</v>
      </c>
      <c r="C95" s="9" t="n">
        <v>110.910004</v>
      </c>
      <c r="D95" s="9" t="n">
        <v>111.32</v>
      </c>
      <c r="E95" s="9" t="n">
        <v>110.099998</v>
      </c>
      <c r="F95" s="9" t="n">
        <v>110.190002</v>
      </c>
      <c r="G95" s="9" t="n">
        <v>103.561264</v>
      </c>
      <c r="H95" s="9" t="n">
        <v>103.561264</v>
      </c>
      <c r="I95" s="2" t="str">
        <f aca="false">IF(COUNT(C95:F95)&lt;4,"",IF(OR(D95&lt;MAX(C95,F95)-0.000001,E95&gt;MIN(C95,F95)+0.000001),"FAIL","OK"))</f>
        <v>OK</v>
      </c>
      <c r="J95" s="10" t="n">
        <f aca="false">IF(COUNT(F95,G95)&lt;2,"",G95/F95)</f>
        <v>0.939842654690214</v>
      </c>
      <c r="K95" s="10" t="n">
        <f aca="false">H95/H94-1</f>
        <v>-0.0083692574858063</v>
      </c>
      <c r="L95" s="10" t="n">
        <f aca="false">H100/H95-1</f>
        <v>-0.0128869323186321</v>
      </c>
      <c r="M95" s="10" t="n">
        <f aca="false">IF(COUNT(B36:B95)&lt;60,"",(B95-AVERAGE(B36:B95))/STDEV(B36:B95))</f>
        <v>1.59662528852279</v>
      </c>
      <c r="N95" s="10" t="n">
        <f aca="false">(H95-AVERAGE(H36:H95))/STDEV(H36:H95)</f>
        <v>1.57696338858051</v>
      </c>
      <c r="O95" s="10" t="n">
        <f aca="false">IF(COUNT(B95)=0,"",B95-('Signal Analysis'!$C$6+'Signal Analysis'!$C$5*H95))</f>
        <v>0.378685057429946</v>
      </c>
    </row>
    <row r="96" customFormat="false" ht="15" hidden="false" customHeight="false" outlineLevel="0" collapsed="false">
      <c r="A96" s="8" t="n">
        <v>42465</v>
      </c>
      <c r="B96" s="9" t="n">
        <v>12.5516562264</v>
      </c>
      <c r="C96" s="9" t="n">
        <v>109.370003</v>
      </c>
      <c r="D96" s="9" t="n">
        <v>109.860001</v>
      </c>
      <c r="E96" s="9" t="n">
        <v>108.839996</v>
      </c>
      <c r="F96" s="9" t="n">
        <v>108.940002</v>
      </c>
      <c r="G96" s="9" t="n">
        <v>102.386436</v>
      </c>
      <c r="H96" s="9" t="n">
        <v>102.386436</v>
      </c>
      <c r="I96" s="2" t="str">
        <f aca="false">IF(COUNT(C96:F96)&lt;4,"",IF(OR(D96&lt;MAX(C96,F96)-0.000001,E96&gt;MIN(C96,F96)+0.000001),"FAIL","OK"))</f>
        <v>OK</v>
      </c>
      <c r="J96" s="10" t="n">
        <f aca="false">IF(COUNT(F96,G96)&lt;2,"",G96/F96)</f>
        <v>0.939842428128467</v>
      </c>
      <c r="K96" s="10" t="n">
        <f aca="false">H96/H95-1</f>
        <v>-0.0113442802320373</v>
      </c>
      <c r="L96" s="10" t="n">
        <f aca="false">H101/H96-1</f>
        <v>0.00917937020485793</v>
      </c>
      <c r="M96" s="10" t="n">
        <f aca="false">IF(COUNT(B37:B96)&lt;60,"",(B96-AVERAGE(B37:B96))/STDEV(B37:B96))</f>
        <v>1.26645562952988</v>
      </c>
      <c r="N96" s="10" t="n">
        <f aca="false">(H96-AVERAGE(H37:H96))/STDEV(H37:H96)</f>
        <v>1.26688961115908</v>
      </c>
      <c r="O96" s="10" t="n">
        <f aca="false">IF(COUNT(B96)=0,"",B96-('Signal Analysis'!$C$6+'Signal Analysis'!$C$5*H96))</f>
        <v>0.343717024507727</v>
      </c>
    </row>
    <row r="97" customFormat="false" ht="15" hidden="false" customHeight="false" outlineLevel="0" collapsed="false">
      <c r="A97" s="8" t="n">
        <v>42466</v>
      </c>
      <c r="B97" s="9" t="n">
        <v>11.653841178</v>
      </c>
      <c r="C97" s="9" t="n">
        <v>108.93</v>
      </c>
      <c r="D97" s="9" t="n">
        <v>110.269997</v>
      </c>
      <c r="E97" s="9" t="n">
        <v>108.589996</v>
      </c>
      <c r="F97" s="9" t="n">
        <v>110.169998</v>
      </c>
      <c r="G97" s="9" t="n">
        <v>103.54245</v>
      </c>
      <c r="H97" s="9" t="n">
        <v>103.54245</v>
      </c>
      <c r="I97" s="2" t="str">
        <f aca="false">IF(COUNT(C97:F97)&lt;4,"",IF(OR(D97&lt;MAX(C97,F97)-0.000001,E97&gt;MIN(C97,F97)+0.000001),"FAIL","OK"))</f>
        <v>OK</v>
      </c>
      <c r="J97" s="10" t="n">
        <f aca="false">IF(COUNT(F97,G97)&lt;2,"",G97/F97)</f>
        <v>0.939842533173142</v>
      </c>
      <c r="K97" s="10" t="n">
        <f aca="false">H97/H96-1</f>
        <v>0.0112906947947675</v>
      </c>
      <c r="L97" s="10" t="n">
        <f aca="false">H102/H97-1</f>
        <v>0.0194245838301101</v>
      </c>
      <c r="M97" s="10" t="n">
        <f aca="false">IF(COUNT(B38:B97)&lt;60,"",(B97-AVERAGE(B38:B97))/STDEV(B38:B97))</f>
        <v>-0.123236875450844</v>
      </c>
      <c r="N97" s="10" t="n">
        <f aca="false">(H97-AVERAGE(H38:H97))/STDEV(H38:H97)</f>
        <v>1.48677356935094</v>
      </c>
      <c r="O97" s="10" t="n">
        <f aca="false">IF(COUNT(B97)=0,"",B97-('Signal Analysis'!$C$6+'Signal Analysis'!$C$5*H97))</f>
        <v>-0.712231985434862</v>
      </c>
    </row>
    <row r="98" customFormat="false" ht="15" hidden="false" customHeight="false" outlineLevel="0" collapsed="false">
      <c r="A98" s="8" t="n">
        <v>42467</v>
      </c>
      <c r="B98" s="9" t="n">
        <v>12.6471365496</v>
      </c>
      <c r="C98" s="9" t="n">
        <v>109.370003</v>
      </c>
      <c r="D98" s="9" t="n">
        <v>109.879997</v>
      </c>
      <c r="E98" s="9" t="n">
        <v>108.129997</v>
      </c>
      <c r="F98" s="9" t="n">
        <v>108.68</v>
      </c>
      <c r="G98" s="9" t="n">
        <v>102.142082</v>
      </c>
      <c r="H98" s="9" t="n">
        <v>102.142082</v>
      </c>
      <c r="I98" s="2" t="str">
        <f aca="false">IF(COUNT(C98:F98)&lt;4,"",IF(OR(D98&lt;MAX(C98,F98)-0.000001,E98&gt;MIN(C98,F98)+0.000001),"FAIL","OK"))</f>
        <v>OK</v>
      </c>
      <c r="J98" s="10" t="n">
        <f aca="false">IF(COUNT(F98,G98)&lt;2,"",G98/F98)</f>
        <v>0.939842491718808</v>
      </c>
      <c r="K98" s="10" t="n">
        <f aca="false">H98/H97-1</f>
        <v>-0.0135245785665686</v>
      </c>
      <c r="L98" s="10" t="n">
        <f aca="false">H103/H98-1</f>
        <v>0.0321123471910432</v>
      </c>
      <c r="M98" s="10" t="n">
        <f aca="false">IF(COUNT(B39:B98)&lt;60,"",(B98-AVERAGE(B39:B98))/STDEV(B39:B98))</f>
        <v>1.36412619626663</v>
      </c>
      <c r="N98" s="10" t="n">
        <f aca="false">(H98-AVERAGE(H39:H98))/STDEV(H39:H98)</f>
        <v>1.12884870458083</v>
      </c>
      <c r="O98" s="10" t="n">
        <f aca="false">IF(COUNT(B98)=0,"",B98-('Signal Analysis'!$C$6+'Signal Analysis'!$C$5*H98))</f>
        <v>0.472623124591724</v>
      </c>
    </row>
    <row r="99" customFormat="false" ht="15" hidden="false" customHeight="false" outlineLevel="0" collapsed="false">
      <c r="A99" s="8" t="n">
        <v>42468</v>
      </c>
      <c r="B99" s="9" t="n">
        <v>13.1731041312</v>
      </c>
      <c r="C99" s="9" t="n">
        <v>109.610001</v>
      </c>
      <c r="D99" s="9" t="n">
        <v>110.07</v>
      </c>
      <c r="E99" s="9" t="n">
        <v>108.629997</v>
      </c>
      <c r="F99" s="9" t="n">
        <v>109.110001</v>
      </c>
      <c r="G99" s="9" t="n">
        <v>102.546211</v>
      </c>
      <c r="H99" s="9" t="n">
        <v>102.546211</v>
      </c>
      <c r="I99" s="2" t="str">
        <f aca="false">IF(COUNT(C99:F99)&lt;4,"",IF(OR(D99&lt;MAX(C99,F99)-0.000001,E99&gt;MIN(C99,F99)+0.000001),"FAIL","OK"))</f>
        <v>OK</v>
      </c>
      <c r="J99" s="10" t="n">
        <f aca="false">IF(COUNT(F99,G99)&lt;2,"",G99/F99)</f>
        <v>0.939842453122148</v>
      </c>
      <c r="K99" s="10" t="n">
        <f aca="false">H99/H98-1</f>
        <v>0.00395653771772531</v>
      </c>
      <c r="L99" s="10" t="n">
        <f aca="false">H104/H99-1</f>
        <v>0.0306114089383565</v>
      </c>
      <c r="M99" s="10" t="n">
        <f aca="false">IF(COUNT(B40:B99)&lt;60,"",(B99-AVERAGE(B40:B99))/STDEV(B40:B99))</f>
        <v>2.06703291067532</v>
      </c>
      <c r="N99" s="10" t="n">
        <f aca="false">(H99-AVERAGE(H40:H99))/STDEV(H40:H99)</f>
        <v>1.18642369234427</v>
      </c>
      <c r="O99" s="10" t="n">
        <f aca="false">IF(COUNT(B99)=0,"",B99-('Signal Analysis'!$C$6+'Signal Analysis'!$C$5*H99))</f>
        <v>0.943308919168173</v>
      </c>
    </row>
    <row r="100" customFormat="false" ht="15" hidden="false" customHeight="false" outlineLevel="0" collapsed="false">
      <c r="A100" s="8" t="n">
        <v>42471</v>
      </c>
      <c r="B100" s="9" t="n">
        <v>12.2711329056</v>
      </c>
      <c r="C100" s="9" t="n">
        <v>109.739998</v>
      </c>
      <c r="D100" s="9" t="n">
        <v>110.550003</v>
      </c>
      <c r="E100" s="9" t="n">
        <v>108.75</v>
      </c>
      <c r="F100" s="9" t="n">
        <v>108.769997</v>
      </c>
      <c r="G100" s="9" t="n">
        <v>102.226677</v>
      </c>
      <c r="H100" s="9" t="n">
        <v>102.226677</v>
      </c>
      <c r="I100" s="2" t="str">
        <f aca="false">IF(COUNT(C100:F100)&lt;4,"",IF(OR(D100&lt;MAX(C100,F100)-0.000001,E100&gt;MIN(C100,F100)+0.000001),"FAIL","OK"))</f>
        <v>OK</v>
      </c>
      <c r="J100" s="10" t="n">
        <f aca="false">IF(COUNT(F100,G100)&lt;2,"",G100/F100)</f>
        <v>0.939842601999888</v>
      </c>
      <c r="K100" s="10" t="n">
        <f aca="false">H100/H99-1</f>
        <v>-0.00311600006362012</v>
      </c>
      <c r="L100" s="10" t="n">
        <f aca="false">H105/H100-1</f>
        <v>0.0416475632872229</v>
      </c>
      <c r="M100" s="10" t="n">
        <f aca="false">IF(COUNT(B41:B100)&lt;60,"",(B100-AVERAGE(B41:B100))/STDEV(B41:B100))</f>
        <v>0.696452549478499</v>
      </c>
      <c r="N100" s="10" t="n">
        <f aca="false">(H100-AVERAGE(H41:H100))/STDEV(H41:H100)</f>
        <v>1.07728538904602</v>
      </c>
      <c r="O100" s="10" t="n">
        <f aca="false">IF(COUNT(B100)=0,"",B100-('Signal Analysis'!$C$6+'Signal Analysis'!$C$5*H100))</f>
        <v>0.0850475251684379</v>
      </c>
    </row>
    <row r="101" customFormat="false" ht="15" hidden="false" customHeight="false" outlineLevel="0" collapsed="false">
      <c r="A101" s="8" t="n">
        <v>42472</v>
      </c>
      <c r="B101" s="9" t="n">
        <v>13.31634717</v>
      </c>
      <c r="C101" s="9" t="n">
        <v>108.790001</v>
      </c>
      <c r="D101" s="9" t="n">
        <v>110.18</v>
      </c>
      <c r="E101" s="9" t="n">
        <v>108.43</v>
      </c>
      <c r="F101" s="9" t="n">
        <v>109.940002</v>
      </c>
      <c r="G101" s="9" t="n">
        <v>103.326279</v>
      </c>
      <c r="H101" s="9" t="n">
        <v>103.326279</v>
      </c>
      <c r="I101" s="2" t="str">
        <f aca="false">IF(COUNT(C101:F101)&lt;4,"",IF(OR(D101&lt;MAX(C101,F101)-0.000001,E101&gt;MIN(C101,F101)+0.000001),"FAIL","OK"))</f>
        <v>OK</v>
      </c>
      <c r="J101" s="10" t="n">
        <f aca="false">IF(COUNT(F101,G101)&lt;2,"",G101/F101)</f>
        <v>0.939842433330136</v>
      </c>
      <c r="K101" s="10" t="n">
        <f aca="false">H101/H100-1</f>
        <v>0.0107565073253824</v>
      </c>
      <c r="L101" s="10" t="n">
        <f aca="false">H106/H101-1</f>
        <v>0.0313806616417494</v>
      </c>
      <c r="M101" s="10" t="n">
        <f aca="false">IF(COUNT(B42:B101)&lt;60,"",(B101-AVERAGE(B42:B101))/STDEV(B42:B101))</f>
        <v>2.12979449619488</v>
      </c>
      <c r="N101" s="10" t="n">
        <f aca="false">(H101-AVERAGE(H42:H101))/STDEV(H42:H101)</f>
        <v>1.27938253173432</v>
      </c>
      <c r="O101" s="10" t="n">
        <f aca="false">IF(COUNT(B101)=0,"",B101-('Signal Analysis'!$C$6+'Signal Analysis'!$C$5*H101))</f>
        <v>0.979844562458599</v>
      </c>
    </row>
    <row r="102" customFormat="false" ht="15" hidden="false" customHeight="false" outlineLevel="0" collapsed="false">
      <c r="A102" s="8" t="n">
        <v>42473</v>
      </c>
      <c r="B102" s="9" t="n">
        <v>12.139195266</v>
      </c>
      <c r="C102" s="9" t="n">
        <v>110.580002</v>
      </c>
      <c r="D102" s="9" t="n">
        <v>112.43</v>
      </c>
      <c r="E102" s="9" t="n">
        <v>110.510002</v>
      </c>
      <c r="F102" s="9" t="n">
        <v>112.309998</v>
      </c>
      <c r="G102" s="9" t="n">
        <v>105.553719</v>
      </c>
      <c r="H102" s="9" t="n">
        <v>105.553719</v>
      </c>
      <c r="I102" s="2" t="str">
        <f aca="false">IF(COUNT(C102:F102)&lt;4,"",IF(OR(D102&lt;MAX(C102,F102)-0.000001,E102&gt;MIN(C102,F102)+0.000001),"FAIL","OK"))</f>
        <v>OK</v>
      </c>
      <c r="J102" s="10" t="n">
        <f aca="false">IF(COUNT(F102,G102)&lt;2,"",G102/F102)</f>
        <v>0.939842586409805</v>
      </c>
      <c r="K102" s="10" t="n">
        <f aca="false">H102/H101-1</f>
        <v>0.021557342638846</v>
      </c>
      <c r="L102" s="10" t="n">
        <f aca="false">H107/H102-1</f>
        <v>0.0111298494371384</v>
      </c>
      <c r="M102" s="10" t="n">
        <f aca="false">IF(COUNT(B43:B102)&lt;60,"",(B102-AVERAGE(B43:B102))/STDEV(B43:B102))</f>
        <v>0.42967192699834</v>
      </c>
      <c r="N102" s="10" t="n">
        <f aca="false">(H102-AVERAGE(H43:H102))/STDEV(H43:H102)</f>
        <v>1.69868573187381</v>
      </c>
      <c r="O102" s="10" t="n">
        <f aca="false">IF(COUNT(B102)=0,"",B102-('Signal Analysis'!$C$6+'Signal Analysis'!$C$5*H102))</f>
        <v>-0.502004266750287</v>
      </c>
    </row>
    <row r="103" customFormat="false" ht="15" hidden="false" customHeight="false" outlineLevel="0" collapsed="false">
      <c r="A103" s="8" t="n">
        <v>42474</v>
      </c>
      <c r="B103" s="9" t="n">
        <v>13.2997770048</v>
      </c>
      <c r="C103" s="9" t="n">
        <v>112.260002</v>
      </c>
      <c r="D103" s="9" t="n">
        <v>112.699997</v>
      </c>
      <c r="E103" s="9" t="n">
        <v>111.879997</v>
      </c>
      <c r="F103" s="9" t="n">
        <v>112.169998</v>
      </c>
      <c r="G103" s="9" t="n">
        <v>105.422104</v>
      </c>
      <c r="H103" s="9" t="n">
        <v>105.422104</v>
      </c>
      <c r="I103" s="2" t="str">
        <f aca="false">IF(COUNT(C103:F103)&lt;4,"",IF(OR(D103&lt;MAX(C103,F103)-0.000001,E103&gt;MIN(C103,F103)+0.000001),"FAIL","OK"))</f>
        <v>OK</v>
      </c>
      <c r="J103" s="10" t="n">
        <f aca="false">IF(COUNT(F103,G103)&lt;2,"",G103/F103)</f>
        <v>0.939842256215428</v>
      </c>
      <c r="K103" s="10" t="n">
        <f aca="false">H103/H102-1</f>
        <v>-0.00124690064212707</v>
      </c>
      <c r="L103" s="10" t="n">
        <f aca="false">H108/H103-1</f>
        <v>0.00731059209366558</v>
      </c>
      <c r="M103" s="10" t="n">
        <f aca="false">IF(COUNT(B44:B103)&lt;60,"",(B103-AVERAGE(B44:B103))/STDEV(B44:B103))</f>
        <v>1.99387726452684</v>
      </c>
      <c r="N103" s="10" t="n">
        <f aca="false">(H103-AVERAGE(H44:H103))/STDEV(H44:H103)</f>
        <v>1.60477623005307</v>
      </c>
      <c r="O103" s="10" t="n">
        <f aca="false">IF(COUNT(B103)=0,"",B103-('Signal Analysis'!$C$6+'Signal Analysis'!$C$5*H103))</f>
        <v>0.676581407424568</v>
      </c>
    </row>
    <row r="104" customFormat="false" ht="15" hidden="false" customHeight="false" outlineLevel="0" collapsed="false">
      <c r="A104" s="8" t="n">
        <v>42475</v>
      </c>
      <c r="B104" s="9" t="n">
        <v>12.5512734816</v>
      </c>
      <c r="C104" s="9" t="n">
        <v>111.900002</v>
      </c>
      <c r="D104" s="9" t="n">
        <v>112.629997</v>
      </c>
      <c r="E104" s="9" t="n">
        <v>111.860001</v>
      </c>
      <c r="F104" s="9" t="n">
        <v>112.449997</v>
      </c>
      <c r="G104" s="9" t="n">
        <v>105.685295</v>
      </c>
      <c r="H104" s="9" t="n">
        <v>105.685295</v>
      </c>
      <c r="I104" s="2" t="str">
        <f aca="false">IF(COUNT(C104:F104)&lt;4,"",IF(OR(D104&lt;MAX(C104,F104)-0.000001,E104&gt;MIN(C104,F104)+0.000001),"FAIL","OK"))</f>
        <v>OK</v>
      </c>
      <c r="J104" s="10" t="n">
        <f aca="false">IF(COUNT(F104,G104)&lt;2,"",G104/F104)</f>
        <v>0.939842577319055</v>
      </c>
      <c r="K104" s="10" t="n">
        <f aca="false">H104/H103-1</f>
        <v>0.00249654474738992</v>
      </c>
      <c r="L104" s="10" t="n">
        <f aca="false">H109/H104-1</f>
        <v>0.0147620063888738</v>
      </c>
      <c r="M104" s="10" t="n">
        <f aca="false">IF(COUNT(B45:B104)&lt;60,"",(B104-AVERAGE(B45:B104))/STDEV(B45:B104))</f>
        <v>0.914508518400119</v>
      </c>
      <c r="N104" s="10" t="n">
        <f aca="false">(H104-AVERAGE(H45:H104))/STDEV(H45:H104)</f>
        <v>1.5963501806201</v>
      </c>
      <c r="O104" s="10" t="n">
        <f aca="false">IF(COUNT(B104)=0,"",B104-('Signal Analysis'!$C$6+'Signal Analysis'!$C$5*H104))</f>
        <v>-0.107924651620461</v>
      </c>
    </row>
    <row r="105" customFormat="false" ht="15" hidden="false" customHeight="false" outlineLevel="0" collapsed="false">
      <c r="A105" s="8" t="n">
        <v>42478</v>
      </c>
      <c r="B105" s="9" t="n">
        <v>12.8705676024</v>
      </c>
      <c r="C105" s="9" t="n">
        <v>111.980003</v>
      </c>
      <c r="D105" s="9" t="n">
        <v>113.389999</v>
      </c>
      <c r="E105" s="9" t="n">
        <v>111.870003</v>
      </c>
      <c r="F105" s="9" t="n">
        <v>113.300003</v>
      </c>
      <c r="G105" s="9" t="n">
        <v>106.484169</v>
      </c>
      <c r="H105" s="9" t="n">
        <v>106.484169</v>
      </c>
      <c r="I105" s="2" t="str">
        <f aca="false">IF(COUNT(C105:F105)&lt;4,"",IF(OR(D105&lt;MAX(C105,F105)-0.000001,E105&gt;MIN(C105,F105)+0.000001),"FAIL","OK"))</f>
        <v>OK</v>
      </c>
      <c r="J105" s="10" t="n">
        <f aca="false">IF(COUNT(F105,G105)&lt;2,"",G105/F105)</f>
        <v>0.939842596473718</v>
      </c>
      <c r="K105" s="10" t="n">
        <f aca="false">H105/H104-1</f>
        <v>0.00755898916684661</v>
      </c>
      <c r="L105" s="10" t="n">
        <f aca="false">H110/H105-1</f>
        <v>0</v>
      </c>
      <c r="M105" s="10" t="n">
        <f aca="false">IF(COUNT(B46:B105)&lt;60,"",(B105-AVERAGE(B46:B105))/STDEV(B46:B105))</f>
        <v>1.31665569345038</v>
      </c>
      <c r="N105" s="10" t="n">
        <f aca="false">(H105-AVERAGE(H46:H105))/STDEV(H46:H105)</f>
        <v>1.69495524269872</v>
      </c>
      <c r="O105" s="10" t="n">
        <f aca="false">IF(COUNT(B105)=0,"",B105-('Signal Analysis'!$C$6+'Signal Analysis'!$C$5*H105))</f>
        <v>0.102089555274194</v>
      </c>
    </row>
    <row r="106" customFormat="false" ht="15" hidden="false" customHeight="false" outlineLevel="0" collapsed="false">
      <c r="A106" s="8" t="n">
        <v>42479</v>
      </c>
      <c r="B106" s="9" t="n">
        <v>12.6120616272</v>
      </c>
      <c r="C106" s="9" t="n">
        <v>113.510002</v>
      </c>
      <c r="D106" s="9" t="n">
        <v>114.129997</v>
      </c>
      <c r="E106" s="9" t="n">
        <v>112.889999</v>
      </c>
      <c r="F106" s="9" t="n">
        <v>113.389999</v>
      </c>
      <c r="G106" s="9" t="n">
        <v>106.568726</v>
      </c>
      <c r="H106" s="9" t="n">
        <v>106.568726</v>
      </c>
      <c r="I106" s="2" t="str">
        <f aca="false">IF(COUNT(C106:F106)&lt;4,"",IF(OR(D106&lt;MAX(C106,F106)-0.000001,E106&gt;MIN(C106,F106)+0.000001),"FAIL","OK"))</f>
        <v>OK</v>
      </c>
      <c r="J106" s="10" t="n">
        <f aca="false">IF(COUNT(F106,G106)&lt;2,"",G106/F106)</f>
        <v>0.939842375340351</v>
      </c>
      <c r="K106" s="10" t="n">
        <f aca="false">H106/H105-1</f>
        <v>0.000794080479700199</v>
      </c>
      <c r="L106" s="10" t="n">
        <f aca="false">H111/H106-1</f>
        <v>0.00899558468963968</v>
      </c>
      <c r="M106" s="10" t="n">
        <f aca="false">IF(COUNT(B47:B106)&lt;60,"",(B106-AVERAGE(B47:B106))/STDEV(B47:B106))</f>
        <v>0.924659527887419</v>
      </c>
      <c r="N106" s="10" t="n">
        <f aca="false">(H106-AVERAGE(H47:H106))/STDEV(H47:H106)</f>
        <v>1.64034734028739</v>
      </c>
      <c r="O106" s="10" t="n">
        <f aca="false">IF(COUNT(B106)=0,"",B106-('Signal Analysis'!$C$6+'Signal Analysis'!$C$5*H106))</f>
        <v>-0.16798317723684</v>
      </c>
    </row>
    <row r="107" customFormat="false" ht="15" hidden="false" customHeight="false" outlineLevel="0" collapsed="false">
      <c r="A107" s="8" t="n">
        <v>42480</v>
      </c>
      <c r="B107" s="9" t="n">
        <v>12.139195266</v>
      </c>
      <c r="C107" s="9" t="n">
        <v>113.389999</v>
      </c>
      <c r="D107" s="9" t="n">
        <v>114.209999</v>
      </c>
      <c r="E107" s="9" t="n">
        <v>112.970001</v>
      </c>
      <c r="F107" s="9" t="n">
        <v>113.559998</v>
      </c>
      <c r="G107" s="9" t="n">
        <v>106.728516</v>
      </c>
      <c r="H107" s="9" t="n">
        <v>106.728516</v>
      </c>
      <c r="I107" s="2" t="str">
        <f aca="false">IF(COUNT(C107:F107)&lt;4,"",IF(OR(D107&lt;MAX(C107,F107)-0.000001,E107&gt;MIN(C107,F107)+0.000001),"FAIL","OK"))</f>
        <v>OK</v>
      </c>
      <c r="J107" s="10" t="n">
        <f aca="false">IF(COUNT(F107,G107)&lt;2,"",G107/F107)</f>
        <v>0.939842531522412</v>
      </c>
      <c r="K107" s="10" t="n">
        <f aca="false">H107/H106-1</f>
        <v>0.00149940799705162</v>
      </c>
      <c r="L107" s="10" t="n">
        <f aca="false">H112/H107-1</f>
        <v>0.0110071894937618</v>
      </c>
      <c r="M107" s="10" t="n">
        <f aca="false">IF(COUNT(B48:B107)&lt;60,"",(B107-AVERAGE(B48:B107))/STDEV(B48:B107))</f>
        <v>0.250130019534427</v>
      </c>
      <c r="N107" s="10" t="n">
        <f aca="false">(H107-AVERAGE(H48:H107))/STDEV(H48:H107)</f>
        <v>1.60867742966854</v>
      </c>
      <c r="O107" s="10" t="n">
        <f aca="false">IF(COUNT(B107)=0,"",B107-('Signal Analysis'!$C$6+'Signal Analysis'!$C$5*H107))</f>
        <v>-0.662707600462809</v>
      </c>
    </row>
    <row r="108" customFormat="false" ht="15" hidden="false" customHeight="false" outlineLevel="0" collapsed="false">
      <c r="A108" s="8" t="n">
        <v>42481</v>
      </c>
      <c r="B108" s="9" t="n">
        <v>12.90328488</v>
      </c>
      <c r="C108" s="9" t="n">
        <v>113.470001</v>
      </c>
      <c r="D108" s="9" t="n">
        <v>113.919998</v>
      </c>
      <c r="E108" s="9" t="n">
        <v>112.660004</v>
      </c>
      <c r="F108" s="9" t="n">
        <v>112.989998</v>
      </c>
      <c r="G108" s="9" t="n">
        <v>106.192802</v>
      </c>
      <c r="H108" s="9" t="n">
        <v>106.192802</v>
      </c>
      <c r="I108" s="2" t="str">
        <f aca="false">IF(COUNT(C108:F108)&lt;4,"",IF(OR(D108&lt;MAX(C108,F108)-0.000001,E108&gt;MIN(C108,F108)+0.000001),"FAIL","OK"))</f>
        <v>OK</v>
      </c>
      <c r="J108" s="10" t="n">
        <f aca="false">IF(COUNT(F108,G108)&lt;2,"",G108/F108)</f>
        <v>0.939842498271396</v>
      </c>
      <c r="K108" s="10" t="n">
        <f aca="false">H108/H107-1</f>
        <v>-0.00501940830883474</v>
      </c>
      <c r="L108" s="10" t="n">
        <f aca="false">H113/H108-1</f>
        <v>0.00451364867460602</v>
      </c>
      <c r="M108" s="10" t="n">
        <f aca="false">IF(COUNT(B49:B108)&lt;60,"",(B108-AVERAGE(B49:B108))/STDEV(B49:B108))</f>
        <v>1.27346076739072</v>
      </c>
      <c r="N108" s="10" t="n">
        <f aca="false">(H108-AVERAGE(H49:H108))/STDEV(H49:H108)</f>
        <v>1.44257301998922</v>
      </c>
      <c r="O108" s="10" t="n">
        <f aca="false">IF(COUNT(B108)=0,"",B108-('Signal Analysis'!$C$6+'Signal Analysis'!$C$5*H108))</f>
        <v>0.174663632162765</v>
      </c>
    </row>
    <row r="109" customFormat="false" ht="15" hidden="false" customHeight="false" outlineLevel="0" collapsed="false">
      <c r="A109" s="8" t="n">
        <v>42482</v>
      </c>
      <c r="B109" s="9" t="n">
        <v>12.8189116836</v>
      </c>
      <c r="C109" s="9" t="n">
        <v>112.980003</v>
      </c>
      <c r="D109" s="9" t="n">
        <v>114.190002</v>
      </c>
      <c r="E109" s="9" t="n">
        <v>112.980003</v>
      </c>
      <c r="F109" s="9" t="n">
        <v>114.110001</v>
      </c>
      <c r="G109" s="9" t="n">
        <v>107.245422</v>
      </c>
      <c r="H109" s="9" t="n">
        <v>107.245422</v>
      </c>
      <c r="I109" s="2" t="str">
        <f aca="false">IF(COUNT(C109:F109)&lt;4,"",IF(OR(D109&lt;MAX(C109,F109)-0.000001,E109&gt;MIN(C109,F109)+0.000001),"FAIL","OK"))</f>
        <v>OK</v>
      </c>
      <c r="J109" s="10" t="n">
        <f aca="false">IF(COUNT(F109,G109)&lt;2,"",G109/F109)</f>
        <v>0.939842442031001</v>
      </c>
      <c r="K109" s="10" t="n">
        <f aca="false">H109/H108-1</f>
        <v>0.00991234791977713</v>
      </c>
      <c r="L109" s="10" t="n">
        <f aca="false">H114/H109-1</f>
        <v>-0.014284330010842</v>
      </c>
      <c r="M109" s="10" t="n">
        <f aca="false">IF(COUNT(B50:B109)&lt;60,"",(B109-AVERAGE(B50:B109))/STDEV(B50:B109))</f>
        <v>1.11948548031872</v>
      </c>
      <c r="N109" s="10" t="n">
        <f aca="false">(H109-AVERAGE(H50:H109))/STDEV(H50:H109)</f>
        <v>1.59092504482124</v>
      </c>
      <c r="O109" s="10" t="n">
        <f aca="false">IF(COUNT(B109)=0,"",B109-('Signal Analysis'!$C$6+'Signal Analysis'!$C$5*H109))</f>
        <v>-0.0537000095077591</v>
      </c>
    </row>
    <row r="110" customFormat="false" ht="15" hidden="false" customHeight="false" outlineLevel="0" collapsed="false">
      <c r="A110" s="8" t="n">
        <v>42485</v>
      </c>
      <c r="B110" s="9" t="n">
        <v>13.440686994</v>
      </c>
      <c r="C110" s="9" t="n">
        <v>113.800003</v>
      </c>
      <c r="D110" s="9" t="n">
        <v>113.910004</v>
      </c>
      <c r="E110" s="9" t="n">
        <v>112.809998</v>
      </c>
      <c r="F110" s="9" t="n">
        <v>113.300003</v>
      </c>
      <c r="G110" s="9" t="n">
        <v>106.484169</v>
      </c>
      <c r="H110" s="9" t="n">
        <v>106.484169</v>
      </c>
      <c r="I110" s="2" t="str">
        <f aca="false">IF(COUNT(C110:F110)&lt;4,"",IF(OR(D110&lt;MAX(C110,F110)-0.000001,E110&gt;MIN(C110,F110)+0.000001),"FAIL","OK"))</f>
        <v>OK</v>
      </c>
      <c r="J110" s="10" t="n">
        <f aca="false">IF(COUNT(F110,G110)&lt;2,"",G110/F110)</f>
        <v>0.939842596473718</v>
      </c>
      <c r="K110" s="10" t="n">
        <f aca="false">H110/H109-1</f>
        <v>-0.00709823306024204</v>
      </c>
      <c r="L110" s="10" t="n">
        <f aca="false">H115/H110-1</f>
        <v>0.00158872442344005</v>
      </c>
      <c r="M110" s="10" t="n">
        <f aca="false">IF(COUNT(B51:B110)&lt;60,"",(B110-AVERAGE(B51:B110))/STDEV(B51:B110))</f>
        <v>1.90096157514736</v>
      </c>
      <c r="N110" s="10" t="n">
        <f aca="false">(H110-AVERAGE(H51:H110))/STDEV(H51:H110)</f>
        <v>1.38852148048194</v>
      </c>
      <c r="O110" s="10" t="n">
        <f aca="false">IF(COUNT(B110)=0,"",B110-('Signal Analysis'!$C$6+'Signal Analysis'!$C$5*H110))</f>
        <v>0.672208946874195</v>
      </c>
    </row>
    <row r="111" customFormat="false" ht="15" hidden="false" customHeight="false" outlineLevel="0" collapsed="false">
      <c r="A111" s="8" t="n">
        <v>42486</v>
      </c>
      <c r="B111" s="9" t="n">
        <v>12.4319067768</v>
      </c>
      <c r="C111" s="9" t="n">
        <v>113.669998</v>
      </c>
      <c r="D111" s="9" t="n">
        <v>114.529999</v>
      </c>
      <c r="E111" s="9" t="n">
        <v>113.169998</v>
      </c>
      <c r="F111" s="9" t="n">
        <v>114.410004</v>
      </c>
      <c r="G111" s="9" t="n">
        <v>107.527374</v>
      </c>
      <c r="H111" s="9" t="n">
        <v>107.527374</v>
      </c>
      <c r="I111" s="2" t="str">
        <f aca="false">IF(COUNT(C111:F111)&lt;4,"",IF(OR(D111&lt;MAX(C111,F111)-0.000001,E111&gt;MIN(C111,F111)+0.000001),"FAIL","OK"))</f>
        <v>OK</v>
      </c>
      <c r="J111" s="10" t="n">
        <f aca="false">IF(COUNT(F111,G111)&lt;2,"",G111/F111)</f>
        <v>0.939842410983571</v>
      </c>
      <c r="K111" s="10" t="n">
        <f aca="false">H111/H110-1</f>
        <v>0.00979680838754549</v>
      </c>
      <c r="L111" s="10" t="n">
        <f aca="false">H116/H111-1</f>
        <v>-0.0243859205563785</v>
      </c>
      <c r="M111" s="10" t="n">
        <f aca="false">IF(COUNT(B52:B111)&lt;60,"",(B111-AVERAGE(B52:B111))/STDEV(B52:B111))</f>
        <v>0.498671159816993</v>
      </c>
      <c r="N111" s="10" t="n">
        <f aca="false">(H111-AVERAGE(H52:H111))/STDEV(H52:H111)</f>
        <v>1.53214615663115</v>
      </c>
      <c r="O111" s="10" t="n">
        <f aca="false">IF(COUNT(B111)=0,"",B111-('Signal Analysis'!$C$6+'Signal Analysis'!$C$5*H111))</f>
        <v>-0.479273814889311</v>
      </c>
    </row>
    <row r="112" customFormat="false" ht="15" hidden="false" customHeight="false" outlineLevel="0" collapsed="false">
      <c r="A112" s="8" t="n">
        <v>42487</v>
      </c>
      <c r="B112" s="9" t="n">
        <v>13.1823531948</v>
      </c>
      <c r="C112" s="9" t="n">
        <v>114.480003</v>
      </c>
      <c r="D112" s="9" t="n">
        <v>115.050003</v>
      </c>
      <c r="E112" s="9" t="n">
        <v>113.900002</v>
      </c>
      <c r="F112" s="9" t="n">
        <v>114.809998</v>
      </c>
      <c r="G112" s="9" t="n">
        <v>107.903297</v>
      </c>
      <c r="H112" s="9" t="n">
        <v>107.903297</v>
      </c>
      <c r="I112" s="2" t="str">
        <f aca="false">IF(COUNT(C112:F112)&lt;4,"",IF(OR(D112&lt;MAX(C112,F112)-0.000001,E112&gt;MIN(C112,F112)+0.000001),"FAIL","OK"))</f>
        <v>OK</v>
      </c>
      <c r="J112" s="10" t="n">
        <f aca="false">IF(COUNT(F112,G112)&lt;2,"",G112/F112)</f>
        <v>0.939842338469512</v>
      </c>
      <c r="K112" s="10" t="n">
        <f aca="false">H112/H111-1</f>
        <v>0.0034960678943019</v>
      </c>
      <c r="L112" s="10" t="n">
        <f aca="false">H117/H112-1</f>
        <v>-0.0357980905810505</v>
      </c>
      <c r="M112" s="10" t="n">
        <f aca="false">IF(COUNT(B53:B112)&lt;60,"",(B112-AVERAGE(B53:B112))/STDEV(B53:B112))</f>
        <v>1.49187889612935</v>
      </c>
      <c r="N112" s="10" t="n">
        <f aca="false">(H112-AVERAGE(H53:H112))/STDEV(H53:H112)</f>
        <v>1.54126854138105</v>
      </c>
      <c r="O112" s="10" t="n">
        <f aca="false">IF(COUNT(B112)=0,"",B112-('Signal Analysis'!$C$6+'Signal Analysis'!$C$5*H112))</f>
        <v>0.219749183303511</v>
      </c>
    </row>
    <row r="113" customFormat="false" ht="15" hidden="false" customHeight="false" outlineLevel="0" collapsed="false">
      <c r="A113" s="8" t="n">
        <v>42488</v>
      </c>
      <c r="B113" s="9" t="n">
        <v>13.092171456</v>
      </c>
      <c r="C113" s="9" t="n">
        <v>114.269997</v>
      </c>
      <c r="D113" s="9" t="n">
        <v>115</v>
      </c>
      <c r="E113" s="9" t="n">
        <v>113.190002</v>
      </c>
      <c r="F113" s="9" t="n">
        <v>113.5</v>
      </c>
      <c r="G113" s="9" t="n">
        <v>106.672119</v>
      </c>
      <c r="H113" s="9" t="n">
        <v>106.672119</v>
      </c>
      <c r="I113" s="2" t="str">
        <f aca="false">IF(COUNT(C113:F113)&lt;4,"",IF(OR(D113&lt;MAX(C113,F113)-0.000001,E113&gt;MIN(C113,F113)+0.000001),"FAIL","OK"))</f>
        <v>OK</v>
      </c>
      <c r="J113" s="10" t="n">
        <f aca="false">IF(COUNT(F113,G113)&lt;2,"",G113/F113)</f>
        <v>0.93984245814978</v>
      </c>
      <c r="K113" s="10" t="n">
        <f aca="false">H113/H112-1</f>
        <v>-0.0114100128006284</v>
      </c>
      <c r="L113" s="10" t="n">
        <f aca="false">H118/H113-1</f>
        <v>-0.0285463252117454</v>
      </c>
      <c r="M113" s="10" t="n">
        <f aca="false">IF(COUNT(B54:B113)&lt;60,"",(B113-AVERAGE(B54:B113))/STDEV(B54:B113))</f>
        <v>1.34098976330866</v>
      </c>
      <c r="N113" s="10" t="n">
        <f aca="false">(H113-AVERAGE(H54:H113))/STDEV(H54:H113)</f>
        <v>1.26075434138505</v>
      </c>
      <c r="O113" s="10" t="n">
        <f aca="false">IF(COUNT(B113)=0,"",B113-('Signal Analysis'!$C$6+'Signal Analysis'!$C$5*H113))</f>
        <v>0.297983272083526</v>
      </c>
    </row>
    <row r="114" customFormat="false" ht="15" hidden="false" customHeight="false" outlineLevel="0" collapsed="false">
      <c r="A114" s="8" t="n">
        <v>42489</v>
      </c>
      <c r="B114" s="9" t="n">
        <v>12.4848678</v>
      </c>
      <c r="C114" s="9" t="n">
        <v>113.010002</v>
      </c>
      <c r="D114" s="9" t="n">
        <v>113.459999</v>
      </c>
      <c r="E114" s="9" t="n">
        <v>111.720001</v>
      </c>
      <c r="F114" s="9" t="n">
        <v>112.480003</v>
      </c>
      <c r="G114" s="9" t="n">
        <v>105.713493</v>
      </c>
      <c r="H114" s="9" t="n">
        <v>105.713493</v>
      </c>
      <c r="I114" s="2" t="str">
        <f aca="false">IF(COUNT(C114:F114)&lt;4,"",IF(OR(D114&lt;MAX(C114,F114)-0.000001,E114&gt;MIN(C114,F114)+0.000001),"FAIL","OK"))</f>
        <v>OK</v>
      </c>
      <c r="J114" s="10" t="n">
        <f aca="false">IF(COUNT(F114,G114)&lt;2,"",G114/F114)</f>
        <v>0.939842551391113</v>
      </c>
      <c r="K114" s="10" t="n">
        <f aca="false">H114/H113-1</f>
        <v>-0.00898665939128851</v>
      </c>
      <c r="L114" s="10" t="n">
        <f aca="false">H119/H114-1</f>
        <v>-0.0139581330455139</v>
      </c>
      <c r="M114" s="10" t="n">
        <f aca="false">IF(COUNT(B55:B114)&lt;60,"",(B114-AVERAGE(B55:B114))/STDEV(B55:B114))</f>
        <v>0.460277939307333</v>
      </c>
      <c r="N114" s="10" t="n">
        <f aca="false">(H114-AVERAGE(H55:H114))/STDEV(H55:H114)</f>
        <v>1.04214476317788</v>
      </c>
      <c r="O114" s="10" t="n">
        <f aca="false">IF(COUNT(B114)=0,"",B114-('Signal Analysis'!$C$6+'Signal Analysis'!$C$5*H114))</f>
        <v>-0.178187606097413</v>
      </c>
    </row>
    <row r="115" customFormat="false" ht="15" hidden="false" customHeight="false" outlineLevel="0" collapsed="false">
      <c r="A115" s="8" t="n">
        <v>42492</v>
      </c>
      <c r="B115" s="9" t="n">
        <v>12.1865377872</v>
      </c>
      <c r="C115" s="9" t="n">
        <v>112.830002</v>
      </c>
      <c r="D115" s="9" t="n">
        <v>113.510002</v>
      </c>
      <c r="E115" s="9" t="n">
        <v>112.18</v>
      </c>
      <c r="F115" s="9" t="n">
        <v>113.480003</v>
      </c>
      <c r="G115" s="9" t="n">
        <v>106.653343</v>
      </c>
      <c r="H115" s="9" t="n">
        <v>106.653343</v>
      </c>
      <c r="I115" s="2" t="str">
        <f aca="false">IF(COUNT(C115:F115)&lt;4,"",IF(OR(D115&lt;MAX(C115,F115)-0.000001,E115&gt;MIN(C115,F115)+0.000001),"FAIL","OK"))</f>
        <v>OK</v>
      </c>
      <c r="J115" s="10" t="n">
        <f aca="false">IF(COUNT(F115,G115)&lt;2,"",G115/F115)</f>
        <v>0.939842617029187</v>
      </c>
      <c r="K115" s="10" t="n">
        <f aca="false">H115/H114-1</f>
        <v>0.00889053964000608</v>
      </c>
      <c r="L115" s="10" t="n">
        <f aca="false">H120/H115-1</f>
        <v>-0.0198274328822493</v>
      </c>
      <c r="M115" s="10" t="n">
        <f aca="false">IF(COUNT(B56:B115)&lt;60,"",(B115-AVERAGE(B56:B115))/STDEV(B56:B115))</f>
        <v>-0.0139731746480386</v>
      </c>
      <c r="N115" s="10" t="n">
        <f aca="false">(H115-AVERAGE(H56:H115))/STDEV(H56:H115)</f>
        <v>1.18204880086639</v>
      </c>
      <c r="O115" s="10" t="n">
        <f aca="false">IF(COUNT(B115)=0,"",B115-('Signal Analysis'!$C$6+'Signal Analysis'!$C$5*H115))</f>
        <v>-0.605081982093536</v>
      </c>
    </row>
    <row r="116" customFormat="false" ht="15" hidden="false" customHeight="false" outlineLevel="0" collapsed="false">
      <c r="A116" s="8" t="n">
        <v>42493</v>
      </c>
      <c r="B116" s="9" t="n">
        <v>13.13397918</v>
      </c>
      <c r="C116" s="9" t="n">
        <v>112.550003</v>
      </c>
      <c r="D116" s="9" t="n">
        <v>112.559998</v>
      </c>
      <c r="E116" s="9" t="n">
        <v>110.93</v>
      </c>
      <c r="F116" s="9" t="n">
        <v>111.620003</v>
      </c>
      <c r="G116" s="9" t="n">
        <v>104.90522</v>
      </c>
      <c r="H116" s="9" t="n">
        <v>104.90522</v>
      </c>
      <c r="I116" s="2" t="str">
        <f aca="false">IF(COUNT(C116:F116)&lt;4,"",IF(OR(D116&lt;MAX(C116,F116)-0.000001,E116&gt;MIN(C116,F116)+0.000001),"FAIL","OK"))</f>
        <v>OK</v>
      </c>
      <c r="J116" s="10" t="n">
        <f aca="false">IF(COUNT(F116,G116)&lt;2,"",G116/F116)</f>
        <v>0.93984247608379</v>
      </c>
      <c r="K116" s="10" t="n">
        <f aca="false">H116/H115-1</f>
        <v>-0.0163907004771525</v>
      </c>
      <c r="L116" s="10" t="n">
        <f aca="false">H121/H116-1</f>
        <v>0.00654008446862786</v>
      </c>
      <c r="M116" s="10" t="n">
        <f aca="false">IF(COUNT(B57:B116)&lt;60,"",(B116-AVERAGE(B57:B116))/STDEV(B57:B116))</f>
        <v>1.38960960282782</v>
      </c>
      <c r="N116" s="10" t="n">
        <f aca="false">(H116-AVERAGE(H57:H116))/STDEV(H57:H116)</f>
        <v>0.820058265807423</v>
      </c>
      <c r="O116" s="10" t="n">
        <f aca="false">IF(COUNT(B116)=0,"",B116-('Signal Analysis'!$C$6+'Signal Analysis'!$C$5*H116))</f>
        <v>0.581489399836109</v>
      </c>
    </row>
    <row r="117" customFormat="false" ht="15" hidden="false" customHeight="false" outlineLevel="0" collapsed="false">
      <c r="A117" s="8" t="n">
        <v>42494</v>
      </c>
      <c r="B117" s="9" t="n">
        <v>12.4191953028</v>
      </c>
      <c r="C117" s="9" t="n">
        <v>110.989998</v>
      </c>
      <c r="D117" s="9" t="n">
        <v>111.989998</v>
      </c>
      <c r="E117" s="9" t="n">
        <v>110.370003</v>
      </c>
      <c r="F117" s="9" t="n">
        <v>110.699997</v>
      </c>
      <c r="G117" s="9" t="n">
        <v>104.040565</v>
      </c>
      <c r="H117" s="9" t="n">
        <v>104.040565</v>
      </c>
      <c r="I117" s="2" t="str">
        <f aca="false">IF(COUNT(C117:F117)&lt;4,"",IF(OR(D117&lt;MAX(C117,F117)-0.000001,E117&gt;MIN(C117,F117)+0.000001),"FAIL","OK"))</f>
        <v>OK</v>
      </c>
      <c r="J117" s="10" t="n">
        <f aca="false">IF(COUNT(F117,G117)&lt;2,"",G117/F117)</f>
        <v>0.939842527728343</v>
      </c>
      <c r="K117" s="10" t="n">
        <f aca="false">H117/H116-1</f>
        <v>-0.00824224952771657</v>
      </c>
      <c r="L117" s="10" t="n">
        <f aca="false">H122/H117-1</f>
        <v>0.00234849743463039</v>
      </c>
      <c r="M117" s="10" t="n">
        <f aca="false">IF(COUNT(B58:B117)&lt;60,"",(B117-AVERAGE(B58:B117))/STDEV(B58:B117))</f>
        <v>0.267850531682933</v>
      </c>
      <c r="N117" s="10" t="n">
        <f aca="false">(H117-AVERAGE(H58:H117))/STDEV(H58:H117)</f>
        <v>0.627083448092125</v>
      </c>
      <c r="O117" s="10" t="n">
        <f aca="false">IF(COUNT(B117)=0,"",B117-('Signal Analysis'!$C$6+'Signal Analysis'!$C$5*H117))</f>
        <v>-0.0150162207704536</v>
      </c>
    </row>
    <row r="118" customFormat="false" ht="15" hidden="false" customHeight="false" outlineLevel="0" collapsed="false">
      <c r="A118" s="8" t="n">
        <v>42495</v>
      </c>
      <c r="B118" s="9" t="n">
        <v>12.9243762216</v>
      </c>
      <c r="C118" s="9" t="n">
        <v>111.150002</v>
      </c>
      <c r="D118" s="9" t="n">
        <v>111.330002</v>
      </c>
      <c r="E118" s="9" t="n">
        <v>110.099998</v>
      </c>
      <c r="F118" s="9" t="n">
        <v>110.260002</v>
      </c>
      <c r="G118" s="9" t="n">
        <v>103.627022</v>
      </c>
      <c r="H118" s="9" t="n">
        <v>103.627022</v>
      </c>
      <c r="I118" s="2" t="str">
        <f aca="false">IF(COUNT(C118:F118)&lt;4,"",IF(OR(D118&lt;MAX(C118,F118)-0.000001,E118&gt;MIN(C118,F118)+0.000001),"FAIL","OK"))</f>
        <v>OK</v>
      </c>
      <c r="J118" s="10" t="n">
        <f aca="false">IF(COUNT(F118,G118)&lt;2,"",G118/F118)</f>
        <v>0.939842373665112</v>
      </c>
      <c r="K118" s="10" t="n">
        <f aca="false">H118/H117-1</f>
        <v>-0.00397482462729804</v>
      </c>
      <c r="L118" s="10" t="n">
        <f aca="false">H123/H118-1</f>
        <v>0.000997741689421572</v>
      </c>
      <c r="M118" s="10" t="n">
        <f aca="false">IF(COUNT(B59:B118)&lt;60,"",(B118-AVERAGE(B59:B118))/STDEV(B59:B118))</f>
        <v>1.04920353299605</v>
      </c>
      <c r="N118" s="10" t="n">
        <f aca="false">(H118-AVERAGE(H59:H118))/STDEV(H59:H118)</f>
        <v>0.519091253861945</v>
      </c>
      <c r="O118" s="10" t="n">
        <f aca="false">IF(COUNT(B118)=0,"",B118-('Signal Analysis'!$C$6+'Signal Analysis'!$C$5*H118))</f>
        <v>0.546734248967688</v>
      </c>
    </row>
    <row r="119" customFormat="false" ht="15" hidden="false" customHeight="false" outlineLevel="0" collapsed="false">
      <c r="A119" s="8" t="n">
        <v>42496</v>
      </c>
      <c r="B119" s="9" t="n">
        <v>13.0147560192</v>
      </c>
      <c r="C119" s="9" t="n">
        <v>109.800003</v>
      </c>
      <c r="D119" s="9" t="n">
        <v>110.93</v>
      </c>
      <c r="E119" s="9" t="n">
        <v>109.540001</v>
      </c>
      <c r="F119" s="9" t="n">
        <v>110.910004</v>
      </c>
      <c r="G119" s="9" t="n">
        <v>104.23793</v>
      </c>
      <c r="H119" s="9" t="n">
        <v>104.23793</v>
      </c>
      <c r="I119" s="2" t="str">
        <f aca="false">IF(COUNT(C119:F119)&lt;4,"",IF(OR(D119&lt;MAX(C119,F119)-0.000001,E119&gt;MIN(C119,F119)+0.000001),"FAIL","OK"))</f>
        <v>OK</v>
      </c>
      <c r="J119" s="10" t="n">
        <f aca="false">IF(COUNT(F119,G119)&lt;2,"",G119/F119)</f>
        <v>0.939842451001985</v>
      </c>
      <c r="K119" s="10" t="n">
        <f aca="false">H119/H118-1</f>
        <v>0.00589525770604515</v>
      </c>
      <c r="L119" s="10" t="n">
        <f aca="false">H124/H119-1</f>
        <v>-0.0114506878638131</v>
      </c>
      <c r="M119" s="10" t="n">
        <f aca="false">IF(COUNT(B60:B119)&lt;60,"",(B119-AVERAGE(B60:B119))/STDEV(B60:B119))</f>
        <v>1.16047771859396</v>
      </c>
      <c r="N119" s="10" t="n">
        <f aca="false">(H119-AVERAGE(H60:H119))/STDEV(H60:H119)</f>
        <v>0.62699613559352</v>
      </c>
      <c r="O119" s="10" t="n">
        <f aca="false">IF(COUNT(B119)=0,"",B119-('Signal Analysis'!$C$6+'Signal Analysis'!$C$5*H119))</f>
        <v>0.553546458131857</v>
      </c>
    </row>
    <row r="120" customFormat="false" ht="15" hidden="false" customHeight="false" outlineLevel="0" collapsed="false">
      <c r="A120" s="8" t="n">
        <v>42499</v>
      </c>
      <c r="B120" s="9" t="n">
        <v>12.198696804</v>
      </c>
      <c r="C120" s="9" t="n">
        <v>110.919998</v>
      </c>
      <c r="D120" s="9" t="n">
        <v>111.889999</v>
      </c>
      <c r="E120" s="9" t="n">
        <v>110.629997</v>
      </c>
      <c r="F120" s="9" t="n">
        <v>111.230003</v>
      </c>
      <c r="G120" s="9" t="n">
        <v>104.538681</v>
      </c>
      <c r="H120" s="9" t="n">
        <v>104.538681</v>
      </c>
      <c r="I120" s="2" t="str">
        <f aca="false">IF(COUNT(C120:F120)&lt;4,"",IF(OR(D120&lt;MAX(C120,F120)-0.000001,E120&gt;MIN(C120,F120)+0.000001),"FAIL","OK"))</f>
        <v>OK</v>
      </c>
      <c r="J120" s="10" t="n">
        <f aca="false">IF(COUNT(F120,G120)&lt;2,"",G120/F120)</f>
        <v>0.939842472179022</v>
      </c>
      <c r="K120" s="10" t="n">
        <f aca="false">H120/H119-1</f>
        <v>0.00288523572945087</v>
      </c>
      <c r="L120" s="10" t="n">
        <f aca="false">H125/H120-1</f>
        <v>-0.00179826259717197</v>
      </c>
      <c r="M120" s="10" t="n">
        <f aca="false">IF(COUNT(B61:B120)&lt;60,"",(B120-AVERAGE(B61:B120))/STDEV(B61:B120))</f>
        <v>-0.217979755183891</v>
      </c>
      <c r="N120" s="10" t="n">
        <f aca="false">(H120-AVERAGE(H61:H120))/STDEV(H61:H120)</f>
        <v>0.680190126255828</v>
      </c>
      <c r="O120" s="10" t="n">
        <f aca="false">IF(COUNT(B120)=0,"",B120-('Signal Analysis'!$C$6+'Signal Analysis'!$C$5*H120))</f>
        <v>-0.303653216498473</v>
      </c>
    </row>
    <row r="121" customFormat="false" ht="15" hidden="false" customHeight="false" outlineLevel="0" collapsed="false">
      <c r="A121" s="8" t="n">
        <v>42500</v>
      </c>
      <c r="B121" s="9" t="n">
        <v>12.983586084</v>
      </c>
      <c r="C121" s="9" t="n">
        <v>111.660004</v>
      </c>
      <c r="D121" s="9" t="n">
        <v>112.400002</v>
      </c>
      <c r="E121" s="9" t="n">
        <v>111.07</v>
      </c>
      <c r="F121" s="9" t="n">
        <v>112.349998</v>
      </c>
      <c r="G121" s="9" t="n">
        <v>105.591309</v>
      </c>
      <c r="H121" s="9" t="n">
        <v>105.591309</v>
      </c>
      <c r="I121" s="2" t="str">
        <f aca="false">IF(COUNT(C121:F121)&lt;4,"",IF(OR(D121&lt;MAX(C121,F121)-0.000001,E121&gt;MIN(C121,F121)+0.000001),"FAIL","OK"))</f>
        <v>OK</v>
      </c>
      <c r="J121" s="10" t="n">
        <f aca="false">IF(COUNT(F121,G121)&lt;2,"",G121/F121)</f>
        <v>0.93984255344624</v>
      </c>
      <c r="K121" s="10" t="n">
        <f aca="false">H121/H120-1</f>
        <v>0.0100692680444285</v>
      </c>
      <c r="L121" s="10" t="n">
        <f aca="false">H126/H121-1</f>
        <v>-0.0274144721513018</v>
      </c>
      <c r="M121" s="10" t="n">
        <f aca="false">IF(COUNT(B62:B121)&lt;60,"",(B121-AVERAGE(B62:B121))/STDEV(B62:B121))</f>
        <v>1.08732543585718</v>
      </c>
      <c r="N121" s="10" t="n">
        <f aca="false">(H121-AVERAGE(H62:H121))/STDEV(H62:H121)</f>
        <v>0.920931603880241</v>
      </c>
      <c r="O121" s="10" t="n">
        <f aca="false">IF(COUNT(B121)=0,"",B121-('Signal Analysis'!$C$6+'Signal Analysis'!$C$5*H121))</f>
        <v>0.337244523891581</v>
      </c>
    </row>
    <row r="122" customFormat="false" ht="15" hidden="false" customHeight="false" outlineLevel="0" collapsed="false">
      <c r="A122" s="8" t="n">
        <v>42501</v>
      </c>
      <c r="B122" s="9" t="n">
        <v>12.7725248232</v>
      </c>
      <c r="C122" s="9" t="n">
        <v>112.099998</v>
      </c>
      <c r="D122" s="9" t="n">
        <v>112.269997</v>
      </c>
      <c r="E122" s="9" t="n">
        <v>110.870003</v>
      </c>
      <c r="F122" s="9" t="n">
        <v>110.959999</v>
      </c>
      <c r="G122" s="9" t="n">
        <v>104.284904</v>
      </c>
      <c r="H122" s="9" t="n">
        <v>104.284904</v>
      </c>
      <c r="I122" s="2" t="str">
        <f aca="false">IF(COUNT(C122:F122)&lt;4,"",IF(OR(D122&lt;MAX(C122,F122)-0.000001,E122&gt;MIN(C122,F122)+0.000001),"FAIL","OK"))</f>
        <v>OK</v>
      </c>
      <c r="J122" s="10" t="n">
        <f aca="false">IF(COUNT(F122,G122)&lt;2,"",G122/F122)</f>
        <v>0.939842330027418</v>
      </c>
      <c r="K122" s="10" t="n">
        <f aca="false">H122/H121-1</f>
        <v>-0.0123722777222129</v>
      </c>
      <c r="L122" s="10" t="n">
        <f aca="false">H127/H122-1</f>
        <v>-0.010093541439133</v>
      </c>
      <c r="M122" s="10" t="n">
        <f aca="false">IF(COUNT(B63:B122)&lt;60,"",(B122-AVERAGE(B63:B122))/STDEV(B63:B122))</f>
        <v>0.694420297987546</v>
      </c>
      <c r="N122" s="10" t="n">
        <f aca="false">(H122-AVERAGE(H63:H122))/STDEV(H63:H122)</f>
        <v>0.57032757146087</v>
      </c>
      <c r="O122" s="10" t="n">
        <f aca="false">IF(COUNT(B122)=0,"",B122-('Signal Analysis'!$C$6+'Signal Analysis'!$C$5*H122))</f>
        <v>0.304889574631964</v>
      </c>
    </row>
    <row r="123" customFormat="false" ht="15" hidden="false" customHeight="false" outlineLevel="0" collapsed="false">
      <c r="A123" s="8" t="n">
        <v>42502</v>
      </c>
      <c r="B123" s="9" t="n">
        <v>12.939768954</v>
      </c>
      <c r="C123" s="9" t="n">
        <v>111.190002</v>
      </c>
      <c r="D123" s="9" t="n">
        <v>111.489998</v>
      </c>
      <c r="E123" s="9" t="n">
        <v>109.5</v>
      </c>
      <c r="F123" s="9" t="n">
        <v>110.370003</v>
      </c>
      <c r="G123" s="9" t="n">
        <v>103.730415</v>
      </c>
      <c r="H123" s="9" t="n">
        <v>103.730415</v>
      </c>
      <c r="I123" s="2" t="str">
        <f aca="false">IF(COUNT(C123:F123)&lt;4,"",IF(OR(D123&lt;MAX(C123,F123)-0.000001,E123&gt;MIN(C123,F123)+0.000001),"FAIL","OK"))</f>
        <v>OK</v>
      </c>
      <c r="J123" s="10" t="n">
        <f aca="false">IF(COUNT(F123,G123)&lt;2,"",G123/F123)</f>
        <v>0.939842458824614</v>
      </c>
      <c r="K123" s="10" t="n">
        <f aca="false">H123/H122-1</f>
        <v>-0.00531705912104019</v>
      </c>
      <c r="L123" s="10" t="n">
        <f aca="false">H128/H123-1</f>
        <v>-0.0127751537483003</v>
      </c>
      <c r="M123" s="10" t="n">
        <f aca="false">IF(COUNT(B64:B123)&lt;60,"",(B123-AVERAGE(B64:B123))/STDEV(B64:B123))</f>
        <v>0.974358709199204</v>
      </c>
      <c r="N123" s="10" t="n">
        <f aca="false">(H123-AVERAGE(H64:H123))/STDEV(H64:H123)</f>
        <v>0.397509847605225</v>
      </c>
      <c r="O123" s="10" t="n">
        <f aca="false">IF(COUNT(B123)=0,"",B123-('Signal Analysis'!$C$6+'Signal Analysis'!$C$5*H123))</f>
        <v>0.547983601888053</v>
      </c>
    </row>
    <row r="124" customFormat="false" ht="15" hidden="false" customHeight="false" outlineLevel="0" collapsed="false">
      <c r="A124" s="8" t="n">
        <v>42503</v>
      </c>
      <c r="B124" s="9" t="n">
        <v>12.14011848</v>
      </c>
      <c r="C124" s="9" t="n">
        <v>110.059998</v>
      </c>
      <c r="D124" s="9" t="n">
        <v>110.940002</v>
      </c>
      <c r="E124" s="9" t="n">
        <v>109.360001</v>
      </c>
      <c r="F124" s="9" t="n">
        <v>109.639999</v>
      </c>
      <c r="G124" s="9" t="n">
        <v>103.044334</v>
      </c>
      <c r="H124" s="9" t="n">
        <v>103.044334</v>
      </c>
      <c r="I124" s="2" t="str">
        <f aca="false">IF(COUNT(C124:F124)&lt;4,"",IF(OR(D124&lt;MAX(C124,F124)-0.000001,E124&gt;MIN(C124,F124)+0.000001),"FAIL","OK"))</f>
        <v>OK</v>
      </c>
      <c r="J124" s="10" t="n">
        <f aca="false">IF(COUNT(F124,G124)&lt;2,"",G124/F124)</f>
        <v>0.939842529549822</v>
      </c>
      <c r="K124" s="10" t="n">
        <f aca="false">H124/H123-1</f>
        <v>-0.00661407746223697</v>
      </c>
      <c r="L124" s="10" t="n">
        <f aca="false">H129/H124-1</f>
        <v>0.0104888736531596</v>
      </c>
      <c r="M124" s="10" t="n">
        <f aca="false">IF(COUNT(B65:B124)&lt;60,"",(B124-AVERAGE(B65:B124))/STDEV(B65:B124))</f>
        <v>-0.513393845948739</v>
      </c>
      <c r="N124" s="10" t="n">
        <f aca="false">(H124-AVERAGE(H65:H124))/STDEV(H65:H124)</f>
        <v>0.17616532112137</v>
      </c>
      <c r="O124" s="10" t="n">
        <f aca="false">IF(COUNT(B124)=0,"",B124-('Signal Analysis'!$C$6+'Signal Analysis'!$C$5*H124))</f>
        <v>-0.157816186506842</v>
      </c>
    </row>
    <row r="125" customFormat="false" ht="15" hidden="false" customHeight="false" outlineLevel="0" collapsed="false">
      <c r="A125" s="8" t="n">
        <v>42506</v>
      </c>
      <c r="B125" s="9" t="n">
        <v>12.7801743264</v>
      </c>
      <c r="C125" s="9" t="n">
        <v>109.919998</v>
      </c>
      <c r="D125" s="9" t="n">
        <v>111.519997</v>
      </c>
      <c r="E125" s="9" t="n">
        <v>109.870003</v>
      </c>
      <c r="F125" s="9" t="n">
        <v>111.029999</v>
      </c>
      <c r="G125" s="9" t="n">
        <v>104.350693</v>
      </c>
      <c r="H125" s="9" t="n">
        <v>104.350693</v>
      </c>
      <c r="I125" s="2" t="str">
        <f aca="false">IF(COUNT(C125:F125)&lt;4,"",IF(OR(D125&lt;MAX(C125,F125)-0.000001,E125&gt;MIN(C125,F125)+0.000001),"FAIL","OK"))</f>
        <v>OK</v>
      </c>
      <c r="J125" s="10" t="n">
        <f aca="false">IF(COUNT(F125,G125)&lt;2,"",G125/F125)</f>
        <v>0.939842330359744</v>
      </c>
      <c r="K125" s="10" t="n">
        <f aca="false">H125/H124-1</f>
        <v>0.0126776402863644</v>
      </c>
      <c r="L125" s="10" t="n">
        <f aca="false">H130/H125-1</f>
        <v>-0.00333227303052042</v>
      </c>
      <c r="M125" s="10" t="n">
        <f aca="false">IF(COUNT(B66:B125)&lt;60,"",(B125-AVERAGE(B66:B125))/STDEV(B66:B125))</f>
        <v>0.652114331902432</v>
      </c>
      <c r="N125" s="10" t="n">
        <f aca="false">(H125-AVERAGE(H66:H125))/STDEV(H66:H125)</f>
        <v>0.527191371013271</v>
      </c>
      <c r="O125" s="10" t="n">
        <f aca="false">IF(COUNT(B125)=0,"",B125-('Signal Analysis'!$C$6+'Signal Analysis'!$C$5*H125))</f>
        <v>0.303539640804447</v>
      </c>
    </row>
    <row r="126" customFormat="false" ht="15" hidden="false" customHeight="false" outlineLevel="0" collapsed="false">
      <c r="A126" s="8" t="n">
        <v>42507</v>
      </c>
      <c r="B126" s="9" t="n">
        <v>11.9952176256</v>
      </c>
      <c r="C126" s="9" t="n">
        <v>110.879997</v>
      </c>
      <c r="D126" s="9" t="n">
        <v>111.419998</v>
      </c>
      <c r="E126" s="9" t="n">
        <v>108.769997</v>
      </c>
      <c r="F126" s="9" t="n">
        <v>109.269997</v>
      </c>
      <c r="G126" s="9" t="n">
        <v>102.696579</v>
      </c>
      <c r="H126" s="9" t="n">
        <v>102.696579</v>
      </c>
      <c r="I126" s="2" t="str">
        <f aca="false">IF(COUNT(C126:F126)&lt;4,"",IF(OR(D126&lt;MAX(C126,F126)-0.000001,E126&gt;MIN(C126,F126)+0.000001),"FAIL","OK"))</f>
        <v>OK</v>
      </c>
      <c r="J126" s="10" t="n">
        <f aca="false">IF(COUNT(F126,G126)&lt;2,"",G126/F126)</f>
        <v>0.939842425364027</v>
      </c>
      <c r="K126" s="10" t="n">
        <f aca="false">H126/H125-1</f>
        <v>-0.0158514903202417</v>
      </c>
      <c r="L126" s="10" t="n">
        <f aca="false">H131/H126-1</f>
        <v>0.0335866494637567</v>
      </c>
      <c r="M126" s="10" t="n">
        <f aca="false">IF(COUNT(B67:B126)&lt;60,"",(B126-AVERAGE(B67:B126))/STDEV(B67:B126))</f>
        <v>-0.93774271132307</v>
      </c>
      <c r="N126" s="10" t="n">
        <f aca="false">(H126-AVERAGE(H67:H126))/STDEV(H67:H126)</f>
        <v>-0.00924232331634205</v>
      </c>
      <c r="O126" s="10" t="n">
        <f aca="false">IF(COUNT(B126)=0,"",B126-('Signal Analysis'!$C$6+'Signal Analysis'!$C$5*H126))</f>
        <v>-0.255146790203785</v>
      </c>
    </row>
    <row r="127" customFormat="false" ht="15" hidden="false" customHeight="false" outlineLevel="0" collapsed="false">
      <c r="A127" s="8" t="n">
        <v>42508</v>
      </c>
      <c r="B127" s="9" t="n">
        <v>13.104373968</v>
      </c>
      <c r="C127" s="9" t="n">
        <v>108.809998</v>
      </c>
      <c r="D127" s="9" t="n">
        <v>110.660004</v>
      </c>
      <c r="E127" s="9" t="n">
        <v>108.790001</v>
      </c>
      <c r="F127" s="9" t="n">
        <v>109.839996</v>
      </c>
      <c r="G127" s="9" t="n">
        <v>103.2323</v>
      </c>
      <c r="H127" s="9" t="n">
        <v>103.2323</v>
      </c>
      <c r="I127" s="2" t="str">
        <f aca="false">IF(COUNT(C127:F127)&lt;4,"",IF(OR(D127&lt;MAX(C127,F127)-0.000001,E127&gt;MIN(C127,F127)+0.000001),"FAIL","OK"))</f>
        <v>OK</v>
      </c>
      <c r="J127" s="10" t="n">
        <f aca="false">IF(COUNT(F127,G127)&lt;2,"",G127/F127)</f>
        <v>0.939842532405045</v>
      </c>
      <c r="K127" s="10" t="n">
        <f aca="false">H127/H126-1</f>
        <v>0.00521654182852571</v>
      </c>
      <c r="L127" s="10" t="n">
        <f aca="false">H132/H127-1</f>
        <v>0.0342315922439005</v>
      </c>
      <c r="M127" s="10" t="n">
        <f aca="false">IF(COUNT(B68:B127)&lt;60,"",(B127-AVERAGE(B68:B127))/STDEV(B68:B127))</f>
        <v>1.27179363906557</v>
      </c>
      <c r="N127" s="10" t="n">
        <f aca="false">(H127-AVERAGE(H68:H127))/STDEV(H68:H127)</f>
        <v>0.120196360213519</v>
      </c>
      <c r="O127" s="10" t="n">
        <f aca="false">IF(COUNT(B127)=0,"",B127-('Signal Analysis'!$C$6+'Signal Analysis'!$C$5*H127))</f>
        <v>0.780726976023646</v>
      </c>
    </row>
    <row r="128" customFormat="false" ht="15" hidden="false" customHeight="false" outlineLevel="0" collapsed="false">
      <c r="A128" s="8" t="n">
        <v>42509</v>
      </c>
      <c r="B128" s="9" t="n">
        <v>12.2279976576</v>
      </c>
      <c r="C128" s="9" t="n">
        <v>109.040001</v>
      </c>
      <c r="D128" s="9" t="n">
        <v>109.769997</v>
      </c>
      <c r="E128" s="9" t="n">
        <v>107.989998</v>
      </c>
      <c r="F128" s="9" t="n">
        <v>108.959999</v>
      </c>
      <c r="G128" s="9" t="n">
        <v>102.405243</v>
      </c>
      <c r="H128" s="9" t="n">
        <v>102.405243</v>
      </c>
      <c r="I128" s="2" t="str">
        <f aca="false">IF(COUNT(C128:F128)&lt;4,"",IF(OR(D128&lt;MAX(C128,F128)-0.000001,E128&gt;MIN(C128,F128)+0.000001),"FAIL","OK"))</f>
        <v>OK</v>
      </c>
      <c r="J128" s="10" t="n">
        <f aca="false">IF(COUNT(F128,G128)&lt;2,"",G128/F128)</f>
        <v>0.93984254717183</v>
      </c>
      <c r="K128" s="10" t="n">
        <f aca="false">H128/H127-1</f>
        <v>-0.00801161070711387</v>
      </c>
      <c r="L128" s="10" t="n">
        <f aca="false">H133/H128-1</f>
        <v>0.0413913670416271</v>
      </c>
      <c r="M128" s="10" t="n">
        <f aca="false">IF(COUNT(B69:B128)&lt;60,"",(B128-AVERAGE(B69:B128))/STDEV(B69:B128))</f>
        <v>-0.494268965776673</v>
      </c>
      <c r="N128" s="10" t="n">
        <f aca="false">(H128-AVERAGE(H69:H128))/STDEV(H69:H128)</f>
        <v>-0.210451733976413</v>
      </c>
      <c r="O128" s="10" t="n">
        <f aca="false">IF(COUNT(B128)=0,"",B128-('Signal Analysis'!$C$6+'Signal Analysis'!$C$5*H128))</f>
        <v>0.0174858005195269</v>
      </c>
    </row>
    <row r="129" customFormat="false" ht="15" hidden="false" customHeight="false" outlineLevel="0" collapsed="false">
      <c r="A129" s="8" t="n">
        <v>42510</v>
      </c>
      <c r="B129" s="9" t="n">
        <v>13.3244100288</v>
      </c>
      <c r="C129" s="9" t="n">
        <v>109.290001</v>
      </c>
      <c r="D129" s="9" t="n">
        <v>110.790001</v>
      </c>
      <c r="E129" s="9" t="n">
        <v>109.230003</v>
      </c>
      <c r="F129" s="9" t="n">
        <v>110.790001</v>
      </c>
      <c r="G129" s="9" t="n">
        <v>104.125153</v>
      </c>
      <c r="H129" s="9" t="n">
        <v>104.125153</v>
      </c>
      <c r="I129" s="2" t="str">
        <f aca="false">IF(COUNT(C129:F129)&lt;4,"",IF(OR(D129&lt;MAX(C129,F129)-0.000001,E129&gt;MIN(C129,F129)+0.000001),"FAIL","OK"))</f>
        <v>OK</v>
      </c>
      <c r="J129" s="10" t="n">
        <f aca="false">IF(COUNT(F129,G129)&lt;2,"",G129/F129)</f>
        <v>0.939842513405158</v>
      </c>
      <c r="K129" s="10" t="n">
        <f aca="false">H129/H128-1</f>
        <v>0.0167951361630967</v>
      </c>
      <c r="L129" s="10" t="n">
        <f aca="false">H134/H129-1</f>
        <v>0.0343891931664198</v>
      </c>
      <c r="M129" s="10" t="n">
        <f aca="false">IF(COUNT(B70:B129)&lt;60,"",(B129-AVERAGE(B70:B129))/STDEV(B70:B129))</f>
        <v>1.6417642147965</v>
      </c>
      <c r="N129" s="10" t="n">
        <f aca="false">(H129-AVERAGE(H70:H129))/STDEV(H70:H129)</f>
        <v>0.375642707761852</v>
      </c>
      <c r="O129" s="10" t="n">
        <f aca="false">IF(COUNT(B129)=0,"",B129-('Signal Analysis'!$C$6+'Signal Analysis'!$C$5*H129))</f>
        <v>0.878627507353253</v>
      </c>
    </row>
    <row r="130" customFormat="false" ht="15" hidden="false" customHeight="false" outlineLevel="0" collapsed="false">
      <c r="A130" s="8" t="n">
        <v>42513</v>
      </c>
      <c r="B130" s="9" t="n">
        <v>13.0532177664</v>
      </c>
      <c r="C130" s="9" t="n">
        <v>110.769997</v>
      </c>
      <c r="D130" s="9" t="n">
        <v>111.389999</v>
      </c>
      <c r="E130" s="9" t="n">
        <v>110.5</v>
      </c>
      <c r="F130" s="9" t="n">
        <v>110.660004</v>
      </c>
      <c r="G130" s="9" t="n">
        <v>104.002968</v>
      </c>
      <c r="H130" s="9" t="n">
        <v>104.002968</v>
      </c>
      <c r="I130" s="2" t="str">
        <f aca="false">IF(COUNT(C130:F130)&lt;4,"",IF(OR(D130&lt;MAX(C130,F130)-0.000001,E130&gt;MIN(C130,F130)+0.000001),"FAIL","OK"))</f>
        <v>OK</v>
      </c>
      <c r="J130" s="10" t="n">
        <f aca="false">IF(COUNT(F130,G130)&lt;2,"",G130/F130)</f>
        <v>0.939842438465844</v>
      </c>
      <c r="K130" s="10" t="n">
        <f aca="false">H130/H129-1</f>
        <v>-0.00117344365390759</v>
      </c>
      <c r="L130" s="10" t="n">
        <f aca="false">H135/H130-1</f>
        <v>0.0392192461276681</v>
      </c>
      <c r="M130" s="10" t="n">
        <f aca="false">IF(COUNT(B71:B130)&lt;60,"",(B130-AVERAGE(B71:B130))/STDEV(B71:B130))</f>
        <v>1.07146585730777</v>
      </c>
      <c r="N130" s="10" t="n">
        <f aca="false">(H130-AVERAGE(H71:H130))/STDEV(H71:H130)</f>
        <v>0.299008132766551</v>
      </c>
      <c r="O130" s="10" t="n">
        <f aca="false">IF(COUNT(B130)=0,"",B130-('Signal Analysis'!$C$6+'Signal Analysis'!$C$5*H130))</f>
        <v>0.624149227734673</v>
      </c>
    </row>
    <row r="131" customFormat="false" ht="15" hidden="false" customHeight="false" outlineLevel="0" collapsed="false">
      <c r="A131" s="8" t="n">
        <v>42514</v>
      </c>
      <c r="B131" s="9" t="n">
        <v>12.7954648404</v>
      </c>
      <c r="C131" s="9" t="n">
        <v>111.309998</v>
      </c>
      <c r="D131" s="9" t="n">
        <v>113.220001</v>
      </c>
      <c r="E131" s="9" t="n">
        <v>111.269997</v>
      </c>
      <c r="F131" s="9" t="n">
        <v>112.940002</v>
      </c>
      <c r="G131" s="9" t="n">
        <v>106.145813</v>
      </c>
      <c r="H131" s="9" t="n">
        <v>106.145813</v>
      </c>
      <c r="I131" s="2" t="str">
        <f aca="false">IF(COUNT(C131:F131)&lt;4,"",IF(OR(D131&lt;MAX(C131,F131)-0.000001,E131&gt;MIN(C131,F131)+0.000001),"FAIL","OK"))</f>
        <v>OK</v>
      </c>
      <c r="J131" s="10" t="n">
        <f aca="false">IF(COUNT(F131,G131)&lt;2,"",G131/F131)</f>
        <v>0.939842492653754</v>
      </c>
      <c r="K131" s="10" t="n">
        <f aca="false">H131/H130-1</f>
        <v>0.020603690848515</v>
      </c>
      <c r="L131" s="10" t="n">
        <f aca="false">H136/H131-1</f>
        <v>0.0251461543753968</v>
      </c>
      <c r="M131" s="10" t="n">
        <f aca="false">IF(COUNT(B72:B131)&lt;60,"",(B131-AVERAGE(B72:B131))/STDEV(B72:B131))</f>
        <v>0.56100208339899</v>
      </c>
      <c r="N131" s="10" t="n">
        <f aca="false">(H131-AVERAGE(H72:H131))/STDEV(H72:H131)</f>
        <v>1.15190188854519</v>
      </c>
      <c r="O131" s="10" t="n">
        <f aca="false">IF(COUNT(B131)=0,"",B131-('Signal Analysis'!$C$6+'Signal Analysis'!$C$5*H131))</f>
        <v>0.0732713319490745</v>
      </c>
    </row>
    <row r="132" customFormat="false" ht="15" hidden="false" customHeight="false" outlineLevel="0" collapsed="false">
      <c r="A132" s="8" t="n">
        <v>42515</v>
      </c>
      <c r="B132" s="9" t="n">
        <v>12.7104297936</v>
      </c>
      <c r="C132" s="9" t="n">
        <v>113.300003</v>
      </c>
      <c r="D132" s="9" t="n">
        <v>113.900002</v>
      </c>
      <c r="E132" s="9" t="n">
        <v>113.080002</v>
      </c>
      <c r="F132" s="9" t="n">
        <v>113.599998</v>
      </c>
      <c r="G132" s="9" t="n">
        <v>106.766106</v>
      </c>
      <c r="H132" s="9" t="n">
        <v>106.766106</v>
      </c>
      <c r="I132" s="2" t="str">
        <f aca="false">IF(COUNT(C132:F132)&lt;4,"",IF(OR(D132&lt;MAX(C132,F132)-0.000001,E132&gt;MIN(C132,F132)+0.000001),"FAIL","OK"))</f>
        <v>OK</v>
      </c>
      <c r="J132" s="10" t="n">
        <f aca="false">IF(COUNT(F132,G132)&lt;2,"",G132/F132)</f>
        <v>0.939842498940889</v>
      </c>
      <c r="K132" s="10" t="n">
        <f aca="false">H132/H131-1</f>
        <v>0.0058437820811641</v>
      </c>
      <c r="L132" s="10" t="n">
        <f aca="false">H137/H132-1</f>
        <v>0.0270245596481715</v>
      </c>
      <c r="M132" s="10" t="n">
        <f aca="false">IF(COUNT(B73:B132)&lt;60,"",(B132-AVERAGE(B73:B132))/STDEV(B73:B132))</f>
        <v>0.37434183966746</v>
      </c>
      <c r="N132" s="10" t="n">
        <f aca="false">(H132-AVERAGE(H73:H132))/STDEV(H73:H132)</f>
        <v>1.38774671900073</v>
      </c>
      <c r="O132" s="10" t="n">
        <f aca="false">IF(COUNT(B132)=0,"",B132-('Signal Analysis'!$C$6+'Signal Analysis'!$C$5*H132))</f>
        <v>-0.0966151002209426</v>
      </c>
    </row>
    <row r="133" customFormat="false" ht="15" hidden="false" customHeight="false" outlineLevel="0" collapsed="false">
      <c r="A133" s="8" t="n">
        <v>42516</v>
      </c>
      <c r="B133" s="9" t="n">
        <v>13.1883746064</v>
      </c>
      <c r="C133" s="9" t="n">
        <v>113.769997</v>
      </c>
      <c r="D133" s="9" t="n">
        <v>114.019997</v>
      </c>
      <c r="E133" s="9" t="n">
        <v>113.25</v>
      </c>
      <c r="F133" s="9" t="n">
        <v>113.470001</v>
      </c>
      <c r="G133" s="9" t="n">
        <v>106.643936</v>
      </c>
      <c r="H133" s="9" t="n">
        <v>106.643936</v>
      </c>
      <c r="I133" s="2" t="str">
        <f aca="false">IF(COUNT(C133:F133)&lt;4,"",IF(OR(D133&lt;MAX(C133,F133)-0.000001,E133&gt;MIN(C133,F133)+0.000001),"FAIL","OK"))</f>
        <v>OK</v>
      </c>
      <c r="J133" s="10" t="n">
        <f aca="false">IF(COUNT(F133,G133)&lt;2,"",G133/F133)</f>
        <v>0.939842558034348</v>
      </c>
      <c r="K133" s="10" t="n">
        <f aca="false">H133/H132-1</f>
        <v>-0.00114427700491382</v>
      </c>
      <c r="L133" s="10" t="n">
        <f aca="false">H138/H133-1</f>
        <v>0.0220322138147639</v>
      </c>
      <c r="M133" s="10" t="n">
        <f aca="false">IF(COUNT(B74:B133)&lt;60,"",(B133-AVERAGE(B74:B133))/STDEV(B74:B133))</f>
        <v>1.26941201812681</v>
      </c>
      <c r="N133" s="10" t="n">
        <f aca="false">(H133-AVERAGE(H74:H133))/STDEV(H74:H133)</f>
        <v>1.30121405232238</v>
      </c>
      <c r="O133" s="10" t="n">
        <f aca="false">IF(COUNT(B133)=0,"",B133-('Signal Analysis'!$C$6+'Signal Analysis'!$C$5*H133))</f>
        <v>0.398041643474063</v>
      </c>
    </row>
    <row r="134" customFormat="false" ht="15" hidden="false" customHeight="false" outlineLevel="0" collapsed="false">
      <c r="A134" s="8" t="n">
        <v>42517</v>
      </c>
      <c r="B134" s="9" t="n">
        <v>12.7634244732</v>
      </c>
      <c r="C134" s="9" t="n">
        <v>113.559998</v>
      </c>
      <c r="D134" s="9" t="n">
        <v>114.599998</v>
      </c>
      <c r="E134" s="9" t="n">
        <v>113.510002</v>
      </c>
      <c r="F134" s="9" t="n">
        <v>114.599998</v>
      </c>
      <c r="G134" s="9" t="n">
        <v>107.705933</v>
      </c>
      <c r="H134" s="9" t="n">
        <v>107.705933</v>
      </c>
      <c r="I134" s="2" t="str">
        <f aca="false">IF(COUNT(C134:F134)&lt;4,"",IF(OR(D134&lt;MAX(C134,F134)-0.000001,E134&gt;MIN(C134,F134)+0.000001),"FAIL","OK"))</f>
        <v>OK</v>
      </c>
      <c r="J134" s="10" t="n">
        <f aca="false">IF(COUNT(F134,G134)&lt;2,"",G134/F134)</f>
        <v>0.939842363697074</v>
      </c>
      <c r="K134" s="10" t="n">
        <f aca="false">H134/H133-1</f>
        <v>0.00995834399810613</v>
      </c>
      <c r="L134" s="10" t="n">
        <f aca="false">H139/H134-1</f>
        <v>0.0228621946016661</v>
      </c>
      <c r="M134" s="10" t="n">
        <f aca="false">IF(COUNT(B75:B134)&lt;60,"",(B134-AVERAGE(B75:B134))/STDEV(B75:B134))</f>
        <v>0.41621785116592</v>
      </c>
      <c r="N134" s="10" t="n">
        <f aca="false">(H134-AVERAGE(H75:H134))/STDEV(H75:H134)</f>
        <v>1.70112563072285</v>
      </c>
      <c r="O134" s="10" t="n">
        <f aca="false">IF(COUNT(B134)=0,"",B134-('Signal Analysis'!$C$6+'Signal Analysis'!$C$5*H134))</f>
        <v>-0.172181637591228</v>
      </c>
    </row>
    <row r="135" customFormat="false" ht="15" hidden="false" customHeight="false" outlineLevel="0" collapsed="false">
      <c r="A135" s="8" t="n">
        <v>42521</v>
      </c>
      <c r="B135" s="9" t="n">
        <v>13.07922456</v>
      </c>
      <c r="C135" s="9" t="n">
        <v>114.82</v>
      </c>
      <c r="D135" s="9" t="n">
        <v>115.540001</v>
      </c>
      <c r="E135" s="9" t="n">
        <v>114.5</v>
      </c>
      <c r="F135" s="9" t="n">
        <v>115</v>
      </c>
      <c r="G135" s="9" t="n">
        <v>108.081886</v>
      </c>
      <c r="H135" s="9" t="n">
        <v>108.081886</v>
      </c>
      <c r="I135" s="2" t="str">
        <f aca="false">IF(COUNT(C135:F135)&lt;4,"",IF(OR(D135&lt;MAX(C135,F135)-0.000001,E135&gt;MIN(C135,F135)+0.000001),"FAIL","OK"))</f>
        <v>OK</v>
      </c>
      <c r="J135" s="10" t="n">
        <f aca="false">IF(COUNT(F135,G135)&lt;2,"",G135/F135)</f>
        <v>0.939842486956522</v>
      </c>
      <c r="K135" s="10" t="n">
        <f aca="false">H135/H134-1</f>
        <v>0.00349055051591263</v>
      </c>
      <c r="L135" s="10" t="n">
        <f aca="false">H140/H135-1</f>
        <v>0.0222609549948083</v>
      </c>
      <c r="M135" s="10" t="n">
        <f aca="false">IF(COUNT(B76:B135)&lt;60,"",(B135-AVERAGE(B76:B135))/STDEV(B76:B135))</f>
        <v>1.02359136118249</v>
      </c>
      <c r="N135" s="10" t="n">
        <f aca="false">(H135-AVERAGE(H76:H135))/STDEV(H76:H135)</f>
        <v>1.78650288173077</v>
      </c>
      <c r="O135" s="10" t="n">
        <f aca="false">IF(COUNT(B135)=0,"",B135-('Signal Analysis'!$C$6+'Signal Analysis'!$C$5*H135))</f>
        <v>0.0921909256287634</v>
      </c>
    </row>
    <row r="136" customFormat="false" ht="15" hidden="false" customHeight="false" outlineLevel="0" collapsed="false">
      <c r="A136" s="8" t="n">
        <v>42522</v>
      </c>
      <c r="B136" s="9" t="n">
        <v>12.559189278</v>
      </c>
      <c r="C136" s="9" t="n">
        <v>114.610001</v>
      </c>
      <c r="D136" s="9" t="n">
        <v>115.949997</v>
      </c>
      <c r="E136" s="9" t="n">
        <v>114.419998</v>
      </c>
      <c r="F136" s="9" t="n">
        <v>115.779999</v>
      </c>
      <c r="G136" s="9" t="n">
        <v>108.814972</v>
      </c>
      <c r="H136" s="9" t="n">
        <v>108.814972</v>
      </c>
      <c r="I136" s="2" t="str">
        <f aca="false">IF(COUNT(C136:F136)&lt;4,"",IF(OR(D136&lt;MAX(C136,F136)-0.000001,E136&gt;MIN(C136,F136)+0.000001),"FAIL","OK"))</f>
        <v>OK</v>
      </c>
      <c r="J136" s="10" t="n">
        <f aca="false">IF(COUNT(F136,G136)&lt;2,"",G136/F136)</f>
        <v>0.939842571599953</v>
      </c>
      <c r="K136" s="10" t="n">
        <f aca="false">H136/H135-1</f>
        <v>0.00678269067214465</v>
      </c>
      <c r="L136" s="10" t="n">
        <f aca="false">H141/H136-1</f>
        <v>0.0228881922608959</v>
      </c>
      <c r="M136" s="10" t="n">
        <f aca="false">IF(COUNT(B77:B136)&lt;60,"",(B136-AVERAGE(B77:B136))/STDEV(B77:B136))</f>
        <v>-0.0476131474884118</v>
      </c>
      <c r="N136" s="10" t="n">
        <f aca="false">(H136-AVERAGE(H77:H136))/STDEV(H77:H136)</f>
        <v>1.99238436459996</v>
      </c>
      <c r="O136" s="10" t="n">
        <f aca="false">IF(COUNT(B136)=0,"",B136-('Signal Analysis'!$C$6+'Signal Analysis'!$C$5*H136))</f>
        <v>-0.528124970041496</v>
      </c>
    </row>
    <row r="137" customFormat="false" ht="15" hidden="false" customHeight="false" outlineLevel="0" collapsed="false">
      <c r="A137" s="8" t="n">
        <v>42523</v>
      </c>
      <c r="B137" s="9" t="n">
        <v>13.921474392</v>
      </c>
      <c r="C137" s="9" t="n">
        <v>115.489998</v>
      </c>
      <c r="D137" s="9" t="n">
        <v>116.669998</v>
      </c>
      <c r="E137" s="9" t="n">
        <v>115.370003</v>
      </c>
      <c r="F137" s="9" t="n">
        <v>116.669998</v>
      </c>
      <c r="G137" s="9" t="n">
        <v>109.651413</v>
      </c>
      <c r="H137" s="9" t="n">
        <v>109.651413</v>
      </c>
      <c r="I137" s="2" t="str">
        <f aca="false">IF(COUNT(C137:F137)&lt;4,"",IF(OR(D137&lt;MAX(C137,F137)-0.000001,E137&gt;MIN(C137,F137)+0.000001),"FAIL","OK"))</f>
        <v>OK</v>
      </c>
      <c r="J137" s="10" t="n">
        <f aca="false">IF(COUNT(F137,G137)&lt;2,"",G137/F137)</f>
        <v>0.939842417756791</v>
      </c>
      <c r="K137" s="10" t="n">
        <f aca="false">H137/H136-1</f>
        <v>0.00768681905280477</v>
      </c>
      <c r="L137" s="10" t="n">
        <f aca="false">H142/H137-1</f>
        <v>0.00857125297601047</v>
      </c>
      <c r="M137" s="10" t="n">
        <f aca="false">IF(COUNT(B78:B137)&lt;60,"",(B137-AVERAGE(B78:B137))/STDEV(B78:B137))</f>
        <v>2.58213677134987</v>
      </c>
      <c r="N137" s="10" t="n">
        <f aca="false">(H137-AVERAGE(H78:H137))/STDEV(H78:H137)</f>
        <v>2.2382207189108</v>
      </c>
      <c r="O137" s="10" t="n">
        <f aca="false">IF(COUNT(B137)=0,"",B137-('Signal Analysis'!$C$6+'Signal Analysis'!$C$5*H137))</f>
        <v>0.719741348920863</v>
      </c>
    </row>
    <row r="138" customFormat="false" ht="15" hidden="false" customHeight="false" outlineLevel="0" collapsed="false">
      <c r="A138" s="8" t="n">
        <v>42524</v>
      </c>
      <c r="B138" s="9" t="n">
        <v>12.95596602</v>
      </c>
      <c r="C138" s="9" t="n">
        <v>116.470001</v>
      </c>
      <c r="D138" s="9" t="n">
        <v>116.470001</v>
      </c>
      <c r="E138" s="9" t="n">
        <v>115</v>
      </c>
      <c r="F138" s="9" t="n">
        <v>115.970001</v>
      </c>
      <c r="G138" s="9" t="n">
        <v>108.993538</v>
      </c>
      <c r="H138" s="9" t="n">
        <v>108.993538</v>
      </c>
      <c r="I138" s="2" t="str">
        <f aca="false">IF(COUNT(C138:F138)&lt;4,"",IF(OR(D138&lt;MAX(C138,F138)-0.000001,E138&gt;MIN(C138,F138)+0.000001),"FAIL","OK"))</f>
        <v>OK</v>
      </c>
      <c r="J138" s="10" t="n">
        <f aca="false">IF(COUNT(F138,G138)&lt;2,"",G138/F138)</f>
        <v>0.939842520135876</v>
      </c>
      <c r="K138" s="10" t="n">
        <f aca="false">H138/H137-1</f>
        <v>-0.005999694687017</v>
      </c>
      <c r="L138" s="10" t="n">
        <f aca="false">H143/H138-1</f>
        <v>0.000862170379311911</v>
      </c>
      <c r="M138" s="10" t="n">
        <f aca="false">IF(COUNT(B79:B138)&lt;60,"",(B138-AVERAGE(B79:B138))/STDEV(B79:B138))</f>
        <v>0.680122531004513</v>
      </c>
      <c r="N138" s="10" t="n">
        <f aca="false">(H138-AVERAGE(H79:H138))/STDEV(H79:H138)</f>
        <v>1.89458585422926</v>
      </c>
      <c r="O138" s="10" t="n">
        <f aca="false">IF(COUNT(B138)=0,"",B138-('Signal Analysis'!$C$6+'Signal Analysis'!$C$5*H138))</f>
        <v>-0.155774704690407</v>
      </c>
    </row>
    <row r="139" customFormat="false" ht="15" hidden="false" customHeight="false" outlineLevel="0" collapsed="false">
      <c r="A139" s="8" t="n">
        <v>42527</v>
      </c>
      <c r="B139" s="9" t="n">
        <v>13.6690801068</v>
      </c>
      <c r="C139" s="9" t="n">
        <v>116.080002</v>
      </c>
      <c r="D139" s="9" t="n">
        <v>117.580002</v>
      </c>
      <c r="E139" s="9" t="n">
        <v>116.010002</v>
      </c>
      <c r="F139" s="9" t="n">
        <v>117.220001</v>
      </c>
      <c r="G139" s="9" t="n">
        <v>110.168327</v>
      </c>
      <c r="H139" s="9" t="n">
        <v>110.168327</v>
      </c>
      <c r="I139" s="2" t="str">
        <f aca="false">IF(COUNT(C139:F139)&lt;4,"",IF(OR(D139&lt;MAX(C139,F139)-0.000001,E139&gt;MIN(C139,F139)+0.000001),"FAIL","OK"))</f>
        <v>OK</v>
      </c>
      <c r="J139" s="10" t="n">
        <f aca="false">IF(COUNT(F139,G139)&lt;2,"",G139/F139)</f>
        <v>0.939842399421239</v>
      </c>
      <c r="K139" s="10" t="n">
        <f aca="false">H139/H138-1</f>
        <v>0.0107785197320598</v>
      </c>
      <c r="L139" s="10" t="n">
        <f aca="false">H144/H139-1</f>
        <v>-0.0205597203994938</v>
      </c>
      <c r="M139" s="10" t="n">
        <f aca="false">IF(COUNT(B80:B139)&lt;60,"",(B139-AVERAGE(B80:B139))/STDEV(B80:B139))</f>
        <v>1.97300724690115</v>
      </c>
      <c r="N139" s="10" t="n">
        <f aca="false">(H139-AVERAGE(H80:H139))/STDEV(H80:H139)</f>
        <v>2.28039979860743</v>
      </c>
      <c r="O139" s="10" t="n">
        <f aca="false">IF(COUNT(B139)=0,"",B139-('Signal Analysis'!$C$6+'Signal Analysis'!$C$5*H139))</f>
        <v>0.396637142736491</v>
      </c>
    </row>
    <row r="140" customFormat="false" ht="15" hidden="false" customHeight="false" outlineLevel="0" collapsed="false">
      <c r="A140" s="8" t="n">
        <v>42528</v>
      </c>
      <c r="B140" s="9" t="n">
        <v>12.435976026</v>
      </c>
      <c r="C140" s="9" t="n">
        <v>117.290001</v>
      </c>
      <c r="D140" s="9" t="n">
        <v>117.980003</v>
      </c>
      <c r="E140" s="9" t="n">
        <v>116.959999</v>
      </c>
      <c r="F140" s="9" t="n">
        <v>117.559998</v>
      </c>
      <c r="G140" s="9" t="n">
        <v>110.487892</v>
      </c>
      <c r="H140" s="9" t="n">
        <v>110.487892</v>
      </c>
      <c r="I140" s="2" t="str">
        <f aca="false">IF(COUNT(C140:F140)&lt;4,"",IF(OR(D140&lt;MAX(C140,F140)-0.000001,E140&gt;MIN(C140,F140)+0.000001),"FAIL","OK"))</f>
        <v>OK</v>
      </c>
      <c r="J140" s="10" t="n">
        <f aca="false">IF(COUNT(F140,G140)&lt;2,"",G140/F140)</f>
        <v>0.939842581487625</v>
      </c>
      <c r="K140" s="10" t="n">
        <f aca="false">H140/H139-1</f>
        <v>0.00290069758434286</v>
      </c>
      <c r="L140" s="10" t="n">
        <f aca="false">H145/H140-1</f>
        <v>-0.0261995133367192</v>
      </c>
      <c r="M140" s="10" t="n">
        <f aca="false">IF(COUNT(B81:B140)&lt;60,"",(B140-AVERAGE(B81:B140))/STDEV(B81:B140))</f>
        <v>-0.397958465068075</v>
      </c>
      <c r="N140" s="10" t="n">
        <f aca="false">(H140-AVERAGE(H81:H140))/STDEV(H81:H140)</f>
        <v>2.27317821947795</v>
      </c>
      <c r="O140" s="10" t="n">
        <f aca="false">IF(COUNT(B140)=0,"",B140-('Signal Analysis'!$C$6+'Signal Analysis'!$C$5*H140))</f>
        <v>-0.880181010229032</v>
      </c>
    </row>
    <row r="141" customFormat="false" ht="15" hidden="false" customHeight="false" outlineLevel="0" collapsed="false">
      <c r="A141" s="8" t="n">
        <v>42529</v>
      </c>
      <c r="B141" s="9" t="n">
        <v>12.6894277272</v>
      </c>
      <c r="C141" s="9" t="n">
        <v>117.660004</v>
      </c>
      <c r="D141" s="9" t="n">
        <v>118.639999</v>
      </c>
      <c r="E141" s="9" t="n">
        <v>117.650002</v>
      </c>
      <c r="F141" s="9" t="n">
        <v>118.43</v>
      </c>
      <c r="G141" s="9" t="n">
        <v>111.30555</v>
      </c>
      <c r="H141" s="9" t="n">
        <v>111.30555</v>
      </c>
      <c r="I141" s="2" t="str">
        <f aca="false">IF(COUNT(C141:F141)&lt;4,"",IF(OR(D141&lt;MAX(C141,F141)-0.000001,E141&gt;MIN(C141,F141)+0.000001),"FAIL","OK"))</f>
        <v>OK</v>
      </c>
      <c r="J141" s="10" t="n">
        <f aca="false">IF(COUNT(F141,G141)&lt;2,"",G141/F141)</f>
        <v>0.939842523009373</v>
      </c>
      <c r="K141" s="10" t="n">
        <f aca="false">H141/H140-1</f>
        <v>0.00740043080919661</v>
      </c>
      <c r="L141" s="10" t="n">
        <f aca="false">H146/H141-1</f>
        <v>-0.0326774810420505</v>
      </c>
      <c r="M141" s="10" t="n">
        <f aca="false">IF(COUNT(B82:B141)&lt;60,"",(B141-AVERAGE(B82:B141))/STDEV(B82:B141))</f>
        <v>0.0615890475724584</v>
      </c>
      <c r="N141" s="10" t="n">
        <f aca="false">(H141-AVERAGE(H82:H141))/STDEV(H82:H141)</f>
        <v>2.43530348220165</v>
      </c>
      <c r="O141" s="10" t="n">
        <f aca="false">IF(COUNT(B141)=0,"",B141-('Signal Analysis'!$C$6+'Signal Analysis'!$C$5*H141))</f>
        <v>-0.738578731896739</v>
      </c>
    </row>
    <row r="142" customFormat="false" ht="15" hidden="false" customHeight="false" outlineLevel="0" collapsed="false">
      <c r="A142" s="8" t="n">
        <v>42530</v>
      </c>
      <c r="B142" s="9" t="n">
        <v>12.5238441732</v>
      </c>
      <c r="C142" s="9" t="n">
        <v>117.940002</v>
      </c>
      <c r="D142" s="9" t="n">
        <v>117.940002</v>
      </c>
      <c r="E142" s="9" t="n">
        <v>117.290001</v>
      </c>
      <c r="F142" s="9" t="n">
        <v>117.669998</v>
      </c>
      <c r="G142" s="9" t="n">
        <v>110.591263</v>
      </c>
      <c r="H142" s="9" t="n">
        <v>110.591263</v>
      </c>
      <c r="I142" s="2" t="str">
        <f aca="false">IF(COUNT(C142:F142)&lt;4,"",IF(OR(D142&lt;MAX(C142,F142)-0.000001,E142&gt;MIN(C142,F142)+0.000001),"FAIL","OK"))</f>
        <v>OK</v>
      </c>
      <c r="J142" s="10" t="n">
        <f aca="false">IF(COUNT(F142,G142)&lt;2,"",G142/F142)</f>
        <v>0.939842482193295</v>
      </c>
      <c r="K142" s="10" t="n">
        <f aca="false">H142/H141-1</f>
        <v>-0.00641735295319956</v>
      </c>
      <c r="L142" s="10" t="n">
        <f aca="false">H147/H142-1</f>
        <v>-0.0265146533320629</v>
      </c>
      <c r="M142" s="10" t="n">
        <f aca="false">IF(COUNT(B83:B142)&lt;60,"",(B142-AVERAGE(B83:B142))/STDEV(B83:B142))</f>
        <v>-0.279159056447438</v>
      </c>
      <c r="N142" s="10" t="n">
        <f aca="false">(H142-AVERAGE(H83:H142))/STDEV(H83:H142)</f>
        <v>2.08928232070201</v>
      </c>
      <c r="O142" s="10" t="n">
        <f aca="false">IF(COUNT(B142)=0,"",B142-('Signal Analysis'!$C$6+'Signal Analysis'!$C$5*H142))</f>
        <v>-0.80645323307526</v>
      </c>
    </row>
    <row r="143" customFormat="false" ht="15" hidden="false" customHeight="false" outlineLevel="0" collapsed="false">
      <c r="A143" s="8" t="n">
        <v>42531</v>
      </c>
      <c r="B143" s="9" t="n">
        <v>12.9202038</v>
      </c>
      <c r="C143" s="9" t="n">
        <v>116.580002</v>
      </c>
      <c r="D143" s="9" t="n">
        <v>116.879997</v>
      </c>
      <c r="E143" s="9" t="n">
        <v>115.690002</v>
      </c>
      <c r="F143" s="9" t="n">
        <v>116.07</v>
      </c>
      <c r="G143" s="9" t="n">
        <v>109.087509</v>
      </c>
      <c r="H143" s="9" t="n">
        <v>109.087509</v>
      </c>
      <c r="I143" s="2" t="str">
        <f aca="false">IF(COUNT(C143:F143)&lt;4,"",IF(OR(D143&lt;MAX(C143,F143)-0.000001,E143&gt;MIN(C143,F143)+0.000001),"FAIL","OK"))</f>
        <v>OK</v>
      </c>
      <c r="J143" s="10" t="n">
        <f aca="false">IF(COUNT(F143,G143)&lt;2,"",G143/F143)</f>
        <v>0.939842414060481</v>
      </c>
      <c r="K143" s="10" t="n">
        <f aca="false">H143/H142-1</f>
        <v>-0.0135974032596047</v>
      </c>
      <c r="L143" s="10" t="n">
        <f aca="false">H148/H143-1</f>
        <v>-0.0173172072340564</v>
      </c>
      <c r="M143" s="10" t="n">
        <f aca="false">IF(COUNT(B84:B143)&lt;60,"",(B143-AVERAGE(B84:B143))/STDEV(B84:B143))</f>
        <v>0.506528810605932</v>
      </c>
      <c r="N143" s="10" t="n">
        <f aca="false">(H143-AVERAGE(H84:H143))/STDEV(H84:H143)</f>
        <v>1.48225185381374</v>
      </c>
      <c r="O143" s="10" t="n">
        <f aca="false">IF(COUNT(B143)=0,"",B143-('Signal Analysis'!$C$6+'Signal Analysis'!$C$5*H143))</f>
        <v>-0.204391445916031</v>
      </c>
    </row>
    <row r="144" customFormat="false" ht="15" hidden="false" customHeight="false" outlineLevel="0" collapsed="false">
      <c r="A144" s="8" t="n">
        <v>42534</v>
      </c>
      <c r="B144" s="9" t="n">
        <v>13.1774584176</v>
      </c>
      <c r="C144" s="9" t="n">
        <v>115.650002</v>
      </c>
      <c r="D144" s="9" t="n">
        <v>116.18</v>
      </c>
      <c r="E144" s="9" t="n">
        <v>114.589996</v>
      </c>
      <c r="F144" s="9" t="n">
        <v>114.809998</v>
      </c>
      <c r="G144" s="9" t="n">
        <v>107.903297</v>
      </c>
      <c r="H144" s="9" t="n">
        <v>107.903297</v>
      </c>
      <c r="I144" s="2" t="str">
        <f aca="false">IF(COUNT(C144:F144)&lt;4,"",IF(OR(D144&lt;MAX(C144,F144)-0.000001,E144&gt;MIN(C144,F144)+0.000001),"FAIL","OK"))</f>
        <v>OK</v>
      </c>
      <c r="J144" s="10" t="n">
        <f aca="false">IF(COUNT(F144,G144)&lt;2,"",G144/F144)</f>
        <v>0.939842338469512</v>
      </c>
      <c r="K144" s="10" t="n">
        <f aca="false">H144/H143-1</f>
        <v>-0.0108556150090475</v>
      </c>
      <c r="L144" s="10" t="n">
        <f aca="false">H149/H144-1</f>
        <v>0.0042681642990019</v>
      </c>
      <c r="M144" s="10" t="n">
        <f aca="false">IF(COUNT(B85:B144)&lt;60,"",(B144-AVERAGE(B85:B144))/STDEV(B85:B144))</f>
        <v>0.992960789467583</v>
      </c>
      <c r="N144" s="10" t="n">
        <f aca="false">(H144-AVERAGE(H85:H144))/STDEV(H85:H144)</f>
        <v>0.999835044853757</v>
      </c>
      <c r="O144" s="10" t="n">
        <f aca="false">IF(COUNT(B144)=0,"",B144-('Signal Analysis'!$C$6+'Signal Analysis'!$C$5*H144))</f>
        <v>0.214854406103512</v>
      </c>
    </row>
    <row r="145" customFormat="false" ht="15" hidden="false" customHeight="false" outlineLevel="0" collapsed="false">
      <c r="A145" s="8" t="n">
        <v>42535</v>
      </c>
      <c r="B145" s="9" t="n">
        <v>12.220619652</v>
      </c>
      <c r="C145" s="9" t="n">
        <v>114.389999</v>
      </c>
      <c r="D145" s="9" t="n">
        <v>115.110001</v>
      </c>
      <c r="E145" s="9" t="n">
        <v>113.669998</v>
      </c>
      <c r="F145" s="9" t="n">
        <v>114.480003</v>
      </c>
      <c r="G145" s="9" t="n">
        <v>107.593163</v>
      </c>
      <c r="H145" s="9" t="n">
        <v>107.593163</v>
      </c>
      <c r="I145" s="2" t="str">
        <f aca="false">IF(COUNT(C145:F145)&lt;4,"",IF(OR(D145&lt;MAX(C145,F145)-0.000001,E145&gt;MIN(C145,F145)+0.000001),"FAIL","OK"))</f>
        <v>OK</v>
      </c>
      <c r="J145" s="10" t="n">
        <f aca="false">IF(COUNT(F145,G145)&lt;2,"",G145/F145)</f>
        <v>0.939842419466044</v>
      </c>
      <c r="K145" s="10" t="n">
        <f aca="false">H145/H144-1</f>
        <v>-0.00287418465072475</v>
      </c>
      <c r="L145" s="10" t="n">
        <f aca="false">H150/H145-1</f>
        <v>0.00524121593116478</v>
      </c>
      <c r="M145" s="10" t="n">
        <f aca="false">IF(COUNT(B86:B145)&lt;60,"",(B145-AVERAGE(B86:B145))/STDEV(B86:B145))</f>
        <v>-0.916949430691338</v>
      </c>
      <c r="N145" s="10" t="n">
        <f aca="false">(H145-AVERAGE(H86:H145))/STDEV(H86:H145)</f>
        <v>0.852130989812398</v>
      </c>
      <c r="O145" s="10" t="n">
        <f aca="false">IF(COUNT(B145)=0,"",B145-('Signal Analysis'!$C$6+'Signal Analysis'!$C$5*H145))</f>
        <v>-0.699560376716827</v>
      </c>
    </row>
    <row r="146" customFormat="false" ht="15" hidden="false" customHeight="false" outlineLevel="0" collapsed="false">
      <c r="A146" s="8" t="n">
        <v>42536</v>
      </c>
      <c r="B146" s="9" t="n">
        <v>13.2637347504</v>
      </c>
      <c r="C146" s="9" t="n">
        <v>114.889999</v>
      </c>
      <c r="D146" s="9" t="n">
        <v>115.559998</v>
      </c>
      <c r="E146" s="9" t="n">
        <v>114.459999</v>
      </c>
      <c r="F146" s="9" t="n">
        <v>114.559998</v>
      </c>
      <c r="G146" s="9" t="n">
        <v>107.668365</v>
      </c>
      <c r="H146" s="9" t="n">
        <v>107.668365</v>
      </c>
      <c r="I146" s="2" t="str">
        <f aca="false">IF(COUNT(C146:F146)&lt;4,"",IF(OR(D146&lt;MAX(C146,F146)-0.000001,E146&gt;MIN(C146,F146)+0.000001),"FAIL","OK"))</f>
        <v>OK</v>
      </c>
      <c r="J146" s="10" t="n">
        <f aca="false">IF(COUNT(F146,G146)&lt;2,"",G146/F146)</f>
        <v>0.939842587986079</v>
      </c>
      <c r="K146" s="10" t="n">
        <f aca="false">H146/H145-1</f>
        <v>0.000698947757489021</v>
      </c>
      <c r="L146" s="10" t="n">
        <f aca="false">H151/H146-1</f>
        <v>0.000610885100744474</v>
      </c>
      <c r="M146" s="10" t="n">
        <f aca="false">IF(COUNT(B87:B146)&lt;60,"",(B146-AVERAGE(B87:B146))/STDEV(B87:B146))</f>
        <v>1.15333163804402</v>
      </c>
      <c r="N146" s="10" t="n">
        <f aca="false">(H146-AVERAGE(H87:H146))/STDEV(H87:H146)</f>
        <v>0.851500308793703</v>
      </c>
      <c r="O146" s="10" t="n">
        <f aca="false">IF(COUNT(B146)=0,"",B146-('Signal Analysis'!$C$6+'Signal Analysis'!$C$5*H146))</f>
        <v>0.333267657533495</v>
      </c>
    </row>
    <row r="147" customFormat="false" ht="15" hidden="false" customHeight="false" outlineLevel="0" collapsed="false">
      <c r="A147" s="8" t="n">
        <v>42537</v>
      </c>
      <c r="B147" s="9" t="n">
        <v>12.8490613416</v>
      </c>
      <c r="C147" s="9" t="n">
        <v>113.720001</v>
      </c>
      <c r="D147" s="9" t="n">
        <v>114.589996</v>
      </c>
      <c r="E147" s="9" t="n">
        <v>112.889999</v>
      </c>
      <c r="F147" s="9" t="n">
        <v>114.550003</v>
      </c>
      <c r="G147" s="9" t="n">
        <v>107.658974</v>
      </c>
      <c r="H147" s="9" t="n">
        <v>107.658974</v>
      </c>
      <c r="I147" s="2" t="str">
        <f aca="false">IF(COUNT(C147:F147)&lt;4,"",IF(OR(D147&lt;MAX(C147,F147)-0.000001,E147&gt;MIN(C147,F147)+0.000001),"FAIL","OK"))</f>
        <v>OK</v>
      </c>
      <c r="J147" s="10" t="n">
        <f aca="false">IF(COUNT(F147,G147)&lt;2,"",G147/F147)</f>
        <v>0.939842611789369</v>
      </c>
      <c r="K147" s="10" t="n">
        <f aca="false">H147/H146-1</f>
        <v>-8.72215343846738E-005</v>
      </c>
      <c r="L147" s="10" t="n">
        <f aca="false">H152/H147-1</f>
        <v>0.0198164901701552</v>
      </c>
      <c r="M147" s="10" t="n">
        <f aca="false">IF(COUNT(B88:B147)&lt;60,"",(B147-AVERAGE(B88:B147))/STDEV(B88:B147))</f>
        <v>0.259962498344266</v>
      </c>
      <c r="N147" s="10" t="n">
        <f aca="false">(H147-AVERAGE(H88:H147))/STDEV(H88:H147)</f>
        <v>0.819267230754944</v>
      </c>
      <c r="O147" s="10" t="n">
        <f aca="false">IF(COUNT(B147)=0,"",B147-('Signal Analysis'!$C$6+'Signal Analysis'!$C$5*H147))</f>
        <v>-0.0801211335777499</v>
      </c>
    </row>
    <row r="148" customFormat="false" ht="15" hidden="false" customHeight="false" outlineLevel="0" collapsed="false">
      <c r="A148" s="8" t="n">
        <v>42538</v>
      </c>
      <c r="B148" s="9" t="n">
        <v>13.574501388</v>
      </c>
      <c r="C148" s="9" t="n">
        <v>114.410004</v>
      </c>
      <c r="D148" s="9" t="n">
        <v>114.919998</v>
      </c>
      <c r="E148" s="9" t="n">
        <v>113.68</v>
      </c>
      <c r="F148" s="9" t="n">
        <v>114.059998</v>
      </c>
      <c r="G148" s="9" t="n">
        <v>107.198418</v>
      </c>
      <c r="H148" s="9" t="n">
        <v>107.198418</v>
      </c>
      <c r="I148" s="2" t="str">
        <f aca="false">IF(COUNT(C148:F148)&lt;4,"",IF(OR(D148&lt;MAX(C148,F148)-0.000001,E148&gt;MIN(C148,F148)+0.000001),"FAIL","OK"))</f>
        <v>OK</v>
      </c>
      <c r="J148" s="10" t="n">
        <f aca="false">IF(COUNT(F148,G148)&lt;2,"",G148/F148)</f>
        <v>0.939842362613403</v>
      </c>
      <c r="K148" s="10" t="n">
        <f aca="false">H148/H147-1</f>
        <v>-0.00427791555955193</v>
      </c>
      <c r="L148" s="10" t="n">
        <f aca="false">H153/H148-1</f>
        <v>-0.0147290046761699</v>
      </c>
      <c r="M148" s="10" t="n">
        <f aca="false">IF(COUNT(B89:B148)&lt;60,"",(B148-AVERAGE(B89:B148))/STDEV(B89:B148))</f>
        <v>1.77631781197164</v>
      </c>
      <c r="N148" s="10" t="n">
        <f aca="false">(H148-AVERAGE(H89:H148))/STDEV(H89:H148)</f>
        <v>0.616574335245963</v>
      </c>
      <c r="O148" s="10" t="n">
        <f aca="false">IF(COUNT(B148)=0,"",B148-('Signal Analysis'!$C$6+'Signal Analysis'!$C$5*H148))</f>
        <v>0.708319486164966</v>
      </c>
    </row>
    <row r="149" customFormat="false" ht="15" hidden="false" customHeight="false" outlineLevel="0" collapsed="false">
      <c r="A149" s="8" t="n">
        <v>42541</v>
      </c>
      <c r="B149" s="9" t="n">
        <v>13.17508764</v>
      </c>
      <c r="C149" s="9" t="n">
        <v>115.800003</v>
      </c>
      <c r="D149" s="9" t="n">
        <v>116.449997</v>
      </c>
      <c r="E149" s="9" t="n">
        <v>115.300003</v>
      </c>
      <c r="F149" s="9" t="n">
        <v>115.300003</v>
      </c>
      <c r="G149" s="9" t="n">
        <v>108.363846</v>
      </c>
      <c r="H149" s="9" t="n">
        <v>108.363846</v>
      </c>
      <c r="I149" s="2" t="str">
        <f aca="false">IF(COUNT(C149:F149)&lt;4,"",IF(OR(D149&lt;MAX(C149,F149)-0.000001,E149&gt;MIN(C149,F149)+0.000001),"FAIL","OK"))</f>
        <v>OK</v>
      </c>
      <c r="J149" s="10" t="n">
        <f aca="false">IF(COUNT(F149,G149)&lt;2,"",G149/F149)</f>
        <v>0.939842525416066</v>
      </c>
      <c r="K149" s="10" t="n">
        <f aca="false">H149/H148-1</f>
        <v>0.01087169028931</v>
      </c>
      <c r="L149" s="10" t="n">
        <f aca="false">H154/H149-1</f>
        <v>-0.0573286869127919</v>
      </c>
      <c r="M149" s="10" t="n">
        <f aca="false">IF(COUNT(B90:B149)&lt;60,"",(B149-AVERAGE(B90:B149))/STDEV(B90:B149))</f>
        <v>0.901720064530292</v>
      </c>
      <c r="N149" s="10" t="n">
        <f aca="false">(H149-AVERAGE(H90:H149))/STDEV(H90:H149)</f>
        <v>1.05669377102791</v>
      </c>
      <c r="O149" s="10" t="n">
        <f aca="false">IF(COUNT(B149)=0,"",B149-('Signal Analysis'!$C$6+'Signal Analysis'!$C$5*H149))</f>
        <v>0.149484012707788</v>
      </c>
    </row>
    <row r="150" customFormat="false" ht="15" hidden="false" customHeight="false" outlineLevel="0" collapsed="false">
      <c r="A150" s="8" t="n">
        <v>42542</v>
      </c>
      <c r="B150" s="9" t="n">
        <v>12.8010824304</v>
      </c>
      <c r="C150" s="9" t="n">
        <v>115.339996</v>
      </c>
      <c r="D150" s="9" t="n">
        <v>115.410004</v>
      </c>
      <c r="E150" s="9" t="n">
        <v>114.330002</v>
      </c>
      <c r="F150" s="9" t="n">
        <v>115.080002</v>
      </c>
      <c r="G150" s="9" t="n">
        <v>108.157082</v>
      </c>
      <c r="H150" s="9" t="n">
        <v>108.157082</v>
      </c>
      <c r="I150" s="2" t="str">
        <f aca="false">IF(COUNT(C150:F150)&lt;4,"",IF(OR(D150&lt;MAX(C150,F150)-0.000001,E150&gt;MIN(C150,F150)+0.000001),"FAIL","OK"))</f>
        <v>OK</v>
      </c>
      <c r="J150" s="10" t="n">
        <f aca="false">IF(COUNT(F150,G150)&lt;2,"",G150/F150)</f>
        <v>0.939842545362486</v>
      </c>
      <c r="K150" s="10" t="n">
        <f aca="false">H150/H149-1</f>
        <v>-0.00190805335572897</v>
      </c>
      <c r="L150" s="10" t="n">
        <f aca="false">H155/H150-1</f>
        <v>-0.0409281289596922</v>
      </c>
      <c r="M150" s="10" t="n">
        <f aca="false">IF(COUNT(B91:B150)&lt;60,"",(B150-AVERAGE(B91:B150))/STDEV(B91:B150))</f>
        <v>0.0678073683775965</v>
      </c>
      <c r="N150" s="10" t="n">
        <f aca="false">(H150-AVERAGE(H91:H150))/STDEV(H91:H150)</f>
        <v>0.948812488366623</v>
      </c>
      <c r="O150" s="10" t="n">
        <f aca="false">IF(COUNT(B150)=0,"",B150-('Signal Analysis'!$C$6+'Signal Analysis'!$C$5*H150))</f>
        <v>-0.19623744736635</v>
      </c>
    </row>
    <row r="151" customFormat="false" ht="15" hidden="false" customHeight="false" outlineLevel="0" collapsed="false">
      <c r="A151" s="8" t="n">
        <v>42543</v>
      </c>
      <c r="B151" s="9" t="n">
        <v>12.6259240404</v>
      </c>
      <c r="C151" s="9" t="n">
        <v>115.300003</v>
      </c>
      <c r="D151" s="9" t="n">
        <v>115.879997</v>
      </c>
      <c r="E151" s="9" t="n">
        <v>114.489998</v>
      </c>
      <c r="F151" s="9" t="n">
        <v>114.629997</v>
      </c>
      <c r="G151" s="9" t="n">
        <v>107.734138</v>
      </c>
      <c r="H151" s="9" t="n">
        <v>107.734138</v>
      </c>
      <c r="I151" s="2" t="str">
        <f aca="false">IF(COUNT(C151:F151)&lt;4,"",IF(OR(D151&lt;MAX(C151,F151)-0.000001,E151&gt;MIN(C151,F151)+0.000001),"FAIL","OK"))</f>
        <v>OK</v>
      </c>
      <c r="J151" s="10" t="n">
        <f aca="false">IF(COUNT(F151,G151)&lt;2,"",G151/F151)</f>
        <v>0.939842456769845</v>
      </c>
      <c r="K151" s="10" t="n">
        <f aca="false">H151/H150-1</f>
        <v>-0.00391046052814181</v>
      </c>
      <c r="L151" s="10" t="n">
        <f aca="false">H156/H151-1</f>
        <v>-0.015266340182719</v>
      </c>
      <c r="M151" s="10" t="n">
        <f aca="false">IF(COUNT(B92:B151)&lt;60,"",(B151-AVERAGE(B92:B151))/STDEV(B92:B151))</f>
        <v>-0.322168683400648</v>
      </c>
      <c r="N151" s="10" t="n">
        <f aca="false">(H151-AVERAGE(H92:H151))/STDEV(H92:H151)</f>
        <v>0.744476026865498</v>
      </c>
      <c r="O151" s="10" t="n">
        <f aca="false">IF(COUNT(B151)=0,"",B151-('Signal Analysis'!$C$6+'Signal Analysis'!$C$5*H151))</f>
        <v>-0.313540300815175</v>
      </c>
    </row>
    <row r="152" customFormat="false" ht="15" hidden="false" customHeight="false" outlineLevel="0" collapsed="false">
      <c r="A152" s="8" t="n">
        <v>42544</v>
      </c>
      <c r="B152" s="9" t="n">
        <v>12.821079294</v>
      </c>
      <c r="C152" s="9" t="n">
        <v>115.82</v>
      </c>
      <c r="D152" s="9" t="n">
        <v>116.910004</v>
      </c>
      <c r="E152" s="9" t="n">
        <v>115.730003</v>
      </c>
      <c r="F152" s="9" t="n">
        <v>116.82</v>
      </c>
      <c r="G152" s="9" t="n">
        <v>109.792397</v>
      </c>
      <c r="H152" s="9" t="n">
        <v>109.792397</v>
      </c>
      <c r="I152" s="2" t="str">
        <f aca="false">IF(COUNT(C152:F152)&lt;4,"",IF(OR(D152&lt;MAX(C152,F152)-0.000001,E152&gt;MIN(C152,F152)+0.000001),"FAIL","OK"))</f>
        <v>OK</v>
      </c>
      <c r="J152" s="10" t="n">
        <f aca="false">IF(COUNT(F152,G152)&lt;2,"",G152/F152)</f>
        <v>0.939842467043315</v>
      </c>
      <c r="K152" s="10" t="n">
        <f aca="false">H152/H151-1</f>
        <v>0.019104984160174</v>
      </c>
      <c r="L152" s="10" t="n">
        <f aca="false">H157/H152-1</f>
        <v>-0.0157507901025241</v>
      </c>
      <c r="M152" s="10" t="n">
        <f aca="false">IF(COUNT(B93:B152)&lt;60,"",(B152-AVERAGE(B93:B152))/STDEV(B93:B152))</f>
        <v>0.0781858506186213</v>
      </c>
      <c r="N152" s="10" t="n">
        <f aca="false">(H152-AVERAGE(H93:H152))/STDEV(H93:H152)</f>
        <v>1.5497045594954</v>
      </c>
      <c r="O152" s="10" t="n">
        <f aca="false">IF(COUNT(B152)=0,"",B152-('Signal Analysis'!$C$6+'Signal Analysis'!$C$5*H152))</f>
        <v>-0.399939292709336</v>
      </c>
    </row>
    <row r="153" customFormat="false" ht="15" hidden="false" customHeight="false" outlineLevel="0" collapsed="false">
      <c r="A153" s="8" t="n">
        <v>42545</v>
      </c>
      <c r="B153" s="9" t="n">
        <v>12.094195248</v>
      </c>
      <c r="C153" s="9" t="n">
        <v>111.940002</v>
      </c>
      <c r="D153" s="9" t="n">
        <v>114.040001</v>
      </c>
      <c r="E153" s="9" t="n">
        <v>111.5</v>
      </c>
      <c r="F153" s="9" t="n">
        <v>112.379997</v>
      </c>
      <c r="G153" s="9" t="n">
        <v>105.619492</v>
      </c>
      <c r="H153" s="9" t="n">
        <v>105.619492</v>
      </c>
      <c r="I153" s="2" t="str">
        <f aca="false">IF(COUNT(C153:F153)&lt;4,"",IF(OR(D153&lt;MAX(C153,F153)-0.000001,E153&gt;MIN(C153,F153)+0.000001),"FAIL","OK"))</f>
        <v>OK</v>
      </c>
      <c r="J153" s="10" t="n">
        <f aca="false">IF(COUNT(F153,G153)&lt;2,"",G153/F153)</f>
        <v>0.939842452567426</v>
      </c>
      <c r="K153" s="10" t="n">
        <f aca="false">H153/H152-1</f>
        <v>-0.0380072310471553</v>
      </c>
      <c r="L153" s="10" t="n">
        <f aca="false">H158/H153-1</f>
        <v>0.0267841280660581</v>
      </c>
      <c r="M153" s="10" t="n">
        <f aca="false">IF(COUNT(B94:B153)&lt;60,"",(B153-AVERAGE(B94:B153))/STDEV(B94:B153))</f>
        <v>-1.53210684499448</v>
      </c>
      <c r="N153" s="10" t="n">
        <f aca="false">(H153-AVERAGE(H94:H153))/STDEV(H94:H153)</f>
        <v>-0.201031673376768</v>
      </c>
      <c r="O153" s="10" t="n">
        <f aca="false">IF(COUNT(B153)=0,"",B153-('Signal Analysis'!$C$6+'Signal Analysis'!$C$5*H153))</f>
        <v>-0.556001533098957</v>
      </c>
    </row>
    <row r="154" customFormat="false" ht="15" hidden="false" customHeight="false" outlineLevel="0" collapsed="false">
      <c r="A154" s="8" t="n">
        <v>42548</v>
      </c>
      <c r="B154" s="9" t="n">
        <v>13.226920992</v>
      </c>
      <c r="C154" s="9" t="n">
        <v>111.07</v>
      </c>
      <c r="D154" s="9" t="n">
        <v>111.07</v>
      </c>
      <c r="E154" s="9" t="n">
        <v>108.190002</v>
      </c>
      <c r="F154" s="9" t="n">
        <v>108.690002</v>
      </c>
      <c r="G154" s="9" t="n">
        <v>102.151489</v>
      </c>
      <c r="H154" s="9" t="n">
        <v>102.151489</v>
      </c>
      <c r="I154" s="2" t="str">
        <f aca="false">IF(COUNT(C154:F154)&lt;4,"",IF(OR(D154&lt;MAX(C154,F154)-0.000001,E154&gt;MIN(C154,F154)+0.000001),"FAIL","OK"))</f>
        <v>OK</v>
      </c>
      <c r="J154" s="10" t="n">
        <f aca="false">IF(COUNT(F154,G154)&lt;2,"",G154/F154)</f>
        <v>0.93984255331967</v>
      </c>
      <c r="K154" s="10" t="n">
        <f aca="false">H154/H153-1</f>
        <v>-0.0328348767290038</v>
      </c>
      <c r="L154" s="10" t="n">
        <f aca="false">H159/H154-1</f>
        <v>0.0460022271432579</v>
      </c>
      <c r="M154" s="10" t="n">
        <f aca="false">IF(COUNT(B95:B154)&lt;60,"",(B154-AVERAGE(B95:B154))/STDEV(B95:B154))</f>
        <v>0.968047441306387</v>
      </c>
      <c r="N154" s="10" t="n">
        <f aca="false">(H154-AVERAGE(H95:H154))/STDEV(H95:H154)</f>
        <v>-1.60842950671717</v>
      </c>
      <c r="O154" s="10" t="n">
        <f aca="false">IF(COUNT(B154)=0,"",B154-('Signal Analysis'!$C$6+'Signal Analysis'!$C$5*H154))</f>
        <v>1.05112076062413</v>
      </c>
    </row>
    <row r="155" customFormat="false" ht="15" hidden="false" customHeight="false" outlineLevel="0" collapsed="false">
      <c r="A155" s="8" t="n">
        <v>42549</v>
      </c>
      <c r="B155" s="9" t="n">
        <v>13.5343625664</v>
      </c>
      <c r="C155" s="9" t="n">
        <v>109.650002</v>
      </c>
      <c r="D155" s="9" t="n">
        <v>110.879997</v>
      </c>
      <c r="E155" s="9" t="n">
        <v>109.57</v>
      </c>
      <c r="F155" s="9" t="n">
        <v>110.370003</v>
      </c>
      <c r="G155" s="9" t="n">
        <v>103.730415</v>
      </c>
      <c r="H155" s="9" t="n">
        <v>103.730415</v>
      </c>
      <c r="I155" s="2" t="str">
        <f aca="false">IF(COUNT(C155:F155)&lt;4,"",IF(OR(D155&lt;MAX(C155,F155)-0.000001,E155&gt;MIN(C155,F155)+0.000001),"FAIL","OK"))</f>
        <v>OK</v>
      </c>
      <c r="J155" s="10" t="n">
        <f aca="false">IF(COUNT(F155,G155)&lt;2,"",G155/F155)</f>
        <v>0.939842458824614</v>
      </c>
      <c r="K155" s="10" t="n">
        <f aca="false">H155/H154-1</f>
        <v>0.0154567105722756</v>
      </c>
      <c r="L155" s="10" t="n">
        <f aca="false">H160/H155-1</f>
        <v>0.0375600444671895</v>
      </c>
      <c r="M155" s="10" t="n">
        <f aca="false">IF(COUNT(B96:B155)&lt;60,"",(B155-AVERAGE(B96:B155))/STDEV(B96:B155))</f>
        <v>1.58876105075523</v>
      </c>
      <c r="N155" s="10" t="n">
        <f aca="false">(H155-AVERAGE(H96:H155))/STDEV(H96:H155)</f>
        <v>-0.961135302536669</v>
      </c>
      <c r="O155" s="10" t="n">
        <f aca="false">IF(COUNT(B155)=0,"",B155-('Signal Analysis'!$C$6+'Signal Analysis'!$C$5*H155))</f>
        <v>1.14257721428805</v>
      </c>
    </row>
    <row r="156" customFormat="false" ht="15" hidden="false" customHeight="false" outlineLevel="0" collapsed="false">
      <c r="A156" s="8" t="n">
        <v>42550</v>
      </c>
      <c r="B156" s="9" t="n">
        <v>13.206744666</v>
      </c>
      <c r="C156" s="9" t="n">
        <v>111.699997</v>
      </c>
      <c r="D156" s="9" t="n">
        <v>113.050003</v>
      </c>
      <c r="E156" s="9" t="n">
        <v>111.529999</v>
      </c>
      <c r="F156" s="9" t="n">
        <v>112.879997</v>
      </c>
      <c r="G156" s="9" t="n">
        <v>106.089432</v>
      </c>
      <c r="H156" s="9" t="n">
        <v>106.089432</v>
      </c>
      <c r="I156" s="2" t="str">
        <f aca="false">IF(COUNT(C156:F156)&lt;4,"",IF(OR(D156&lt;MAX(C156,F156)-0.000001,E156&gt;MIN(C156,F156)+0.000001),"FAIL","OK"))</f>
        <v>OK</v>
      </c>
      <c r="J156" s="10" t="n">
        <f aca="false">IF(COUNT(F156,G156)&lt;2,"",G156/F156)</f>
        <v>0.939842618883131</v>
      </c>
      <c r="K156" s="10" t="n">
        <f aca="false">H156/H155-1</f>
        <v>0.0227418062484375</v>
      </c>
      <c r="L156" s="10" t="n">
        <f aca="false">H161/H156-1</f>
        <v>0.0166266890749307</v>
      </c>
      <c r="M156" s="10" t="n">
        <f aca="false">IF(COUNT(B97:B156)&lt;60,"",(B156-AVERAGE(B97:B156))/STDEV(B97:B156))</f>
        <v>0.847382247703443</v>
      </c>
      <c r="N156" s="10" t="n">
        <f aca="false">(H156-AVERAGE(H97:H156))/STDEV(H97:H156)</f>
        <v>-0.0152022956424132</v>
      </c>
      <c r="O156" s="10" t="n">
        <f aca="false">IF(COUNT(B156)=0,"",B156-('Signal Analysis'!$C$6+'Signal Analysis'!$C$5*H156))</f>
        <v>0.492263651416566</v>
      </c>
    </row>
    <row r="157" customFormat="false" ht="15" hidden="false" customHeight="false" outlineLevel="0" collapsed="false">
      <c r="A157" s="8" t="n">
        <v>42551</v>
      </c>
      <c r="B157" s="9" t="n">
        <v>12.6568803984</v>
      </c>
      <c r="C157" s="9" t="n">
        <v>113.120003</v>
      </c>
      <c r="D157" s="9" t="n">
        <v>115.019997</v>
      </c>
      <c r="E157" s="9" t="n">
        <v>112.57</v>
      </c>
      <c r="F157" s="9" t="n">
        <v>114.980003</v>
      </c>
      <c r="G157" s="9" t="n">
        <v>108.06308</v>
      </c>
      <c r="H157" s="9" t="n">
        <v>108.06308</v>
      </c>
      <c r="I157" s="2" t="str">
        <f aca="false">IF(COUNT(C157:F157)&lt;4,"",IF(OR(D157&lt;MAX(C157,F157)-0.000001,E157&gt;MIN(C157,F157)+0.000001),"FAIL","OK"))</f>
        <v>OK</v>
      </c>
      <c r="J157" s="10" t="n">
        <f aca="false">IF(COUNT(F157,G157)&lt;2,"",G157/F157)</f>
        <v>0.939842382853304</v>
      </c>
      <c r="K157" s="10" t="n">
        <f aca="false">H157/H156-1</f>
        <v>0.0186036249114803</v>
      </c>
      <c r="L157" s="10" t="n">
        <f aca="false">H162/H157-1</f>
        <v>0.021320602744249</v>
      </c>
      <c r="M157" s="10" t="n">
        <f aca="false">IF(COUNT(B98:B157)&lt;60,"",(B157-AVERAGE(B98:B157))/STDEV(B98:B157))</f>
        <v>-0.406410205329362</v>
      </c>
      <c r="N157" s="10" t="n">
        <f aca="false">(H157-AVERAGE(H98:H157))/STDEV(H98:H157)</f>
        <v>0.786471344525318</v>
      </c>
      <c r="O157" s="10" t="n">
        <f aca="false">IF(COUNT(B157)=0,"",B157-('Signal Analysis'!$C$6+'Signal Analysis'!$C$5*H157))</f>
        <v>-0.327580717575465</v>
      </c>
    </row>
    <row r="158" customFormat="false" ht="15" hidden="false" customHeight="false" outlineLevel="0" collapsed="false">
      <c r="A158" s="8" t="n">
        <v>42552</v>
      </c>
      <c r="B158" s="9" t="n">
        <v>13.2012497952</v>
      </c>
      <c r="C158" s="9" t="n">
        <v>115.050003</v>
      </c>
      <c r="D158" s="9" t="n">
        <v>115.949997</v>
      </c>
      <c r="E158" s="9" t="n">
        <v>114.800003</v>
      </c>
      <c r="F158" s="9" t="n">
        <v>115.389999</v>
      </c>
      <c r="G158" s="9" t="n">
        <v>108.448418</v>
      </c>
      <c r="H158" s="9" t="n">
        <v>108.448418</v>
      </c>
      <c r="I158" s="2" t="str">
        <f aca="false">IF(COUNT(C158:F158)&lt;4,"",IF(OR(D158&lt;MAX(C158,F158)-0.000001,E158&gt;MIN(C158,F158)+0.000001),"FAIL","OK"))</f>
        <v>OK</v>
      </c>
      <c r="J158" s="10" t="n">
        <f aca="false">IF(COUNT(F158,G158)&lt;2,"",G158/F158)</f>
        <v>0.939842438164854</v>
      </c>
      <c r="K158" s="10" t="n">
        <f aca="false">H158/H157-1</f>
        <v>0.00356586171706375</v>
      </c>
      <c r="L158" s="10" t="n">
        <f aca="false">H163/H158-1</f>
        <v>0.0294553766565779</v>
      </c>
      <c r="M158" s="10" t="n">
        <f aca="false">IF(COUNT(B99:B158)&lt;60,"",(B158-AVERAGE(B99:B158))/STDEV(B99:B158))</f>
        <v>0.821149129522589</v>
      </c>
      <c r="N158" s="10" t="n">
        <f aca="false">(H158-AVERAGE(H99:H158))/STDEV(H99:H158)</f>
        <v>0.921826327254344</v>
      </c>
      <c r="O158" s="10" t="n">
        <f aca="false">IF(COUNT(B158)=0,"",B158-('Signal Analysis'!$C$6+'Signal Analysis'!$C$5*H158))</f>
        <v>0.164077358710339</v>
      </c>
    </row>
    <row r="159" customFormat="false" ht="15" hidden="false" customHeight="false" outlineLevel="0" collapsed="false">
      <c r="A159" s="8" t="n">
        <v>42556</v>
      </c>
      <c r="B159" s="9" t="n">
        <v>13.11160554</v>
      </c>
      <c r="C159" s="9" t="n">
        <v>115.019997</v>
      </c>
      <c r="D159" s="9" t="n">
        <v>115.260002</v>
      </c>
      <c r="E159" s="9" t="n">
        <v>113.07</v>
      </c>
      <c r="F159" s="9" t="n">
        <v>113.690002</v>
      </c>
      <c r="G159" s="9" t="n">
        <v>106.850685</v>
      </c>
      <c r="H159" s="9" t="n">
        <v>106.850685</v>
      </c>
      <c r="I159" s="2" t="str">
        <f aca="false">IF(COUNT(C159:F159)&lt;4,"",IF(OR(D159&lt;MAX(C159,F159)-0.000001,E159&gt;MIN(C159,F159)+0.000001),"FAIL","OK"))</f>
        <v>OK</v>
      </c>
      <c r="J159" s="10" t="n">
        <f aca="false">IF(COUNT(F159,G159)&lt;2,"",G159/F159)</f>
        <v>0.939842405843216</v>
      </c>
      <c r="K159" s="10" t="n">
        <f aca="false">H159/H158-1</f>
        <v>-0.0147326538225758</v>
      </c>
      <c r="L159" s="10" t="n">
        <f aca="false">H164/H159-1</f>
        <v>0.0588226458258083</v>
      </c>
      <c r="M159" s="10" t="n">
        <f aca="false">IF(COUNT(B100:B159)&lt;60,"",(B159-AVERAGE(B100:B159))/STDEV(B100:B159))</f>
        <v>0.619165925572242</v>
      </c>
      <c r="N159" s="10" t="n">
        <f aca="false">(H159-AVERAGE(H100:H159))/STDEV(H100:H159)</f>
        <v>0.208150867184111</v>
      </c>
      <c r="O159" s="10" t="n">
        <f aca="false">IF(COUNT(B159)=0,"",B159-('Signal Analysis'!$C$6+'Signal Analysis'!$C$5*H159))</f>
        <v>0.292990879434614</v>
      </c>
    </row>
    <row r="160" customFormat="false" ht="15" hidden="false" customHeight="false" outlineLevel="0" collapsed="false">
      <c r="A160" s="8" t="n">
        <v>42557</v>
      </c>
      <c r="B160" s="9" t="n">
        <v>12.727279998</v>
      </c>
      <c r="C160" s="9" t="n">
        <v>112.540001</v>
      </c>
      <c r="D160" s="9" t="n">
        <v>114.010002</v>
      </c>
      <c r="E160" s="9" t="n">
        <v>112.309998</v>
      </c>
      <c r="F160" s="9" t="n">
        <v>113.889999</v>
      </c>
      <c r="G160" s="9" t="n">
        <v>107.626534</v>
      </c>
      <c r="H160" s="9" t="n">
        <v>107.626534</v>
      </c>
      <c r="I160" s="2" t="str">
        <f aca="false">IF(COUNT(C160:F160)&lt;4,"",IF(OR(D160&lt;MAX(C160,F160)-0.000001,E160&gt;MIN(C160,F160)+0.000001),"FAIL","OK"))</f>
        <v>OK</v>
      </c>
      <c r="J160" s="10" t="n">
        <f aca="false">IF(COUNT(F160,G160)&lt;2,"",G160/F160)</f>
        <v>0.945004258012154</v>
      </c>
      <c r="K160" s="10" t="n">
        <f aca="false">H160/H159-1</f>
        <v>0.00726105780229691</v>
      </c>
      <c r="L160" s="10" t="n">
        <f aca="false">H165/H160-1</f>
        <v>0.0470631712436265</v>
      </c>
      <c r="M160" s="10" t="n">
        <f aca="false">IF(COUNT(B101:B160)&lt;60,"",(B160-AVERAGE(B101:B160))/STDEV(B101:B160))</f>
        <v>-0.284135421361571</v>
      </c>
      <c r="N160" s="10" t="n">
        <f aca="false">(H160-AVERAGE(H101:H160))/STDEV(H101:H160)</f>
        <v>0.524135168247828</v>
      </c>
      <c r="O160" s="10" t="n">
        <f aca="false">IF(COUNT(B160)=0,"",B160-('Signal Analysis'!$C$6+'Signal Analysis'!$C$5*H160))</f>
        <v>-0.197464930822395</v>
      </c>
    </row>
    <row r="161" customFormat="false" ht="15" hidden="false" customHeight="false" outlineLevel="0" collapsed="false">
      <c r="A161" s="8" t="n">
        <v>42558</v>
      </c>
      <c r="B161" s="9" t="n">
        <v>13.30478478</v>
      </c>
      <c r="C161" s="9" t="n">
        <v>114.220001</v>
      </c>
      <c r="D161" s="9" t="n">
        <v>114.989998</v>
      </c>
      <c r="E161" s="9" t="n">
        <v>113.410004</v>
      </c>
      <c r="F161" s="9" t="n">
        <v>114.129997</v>
      </c>
      <c r="G161" s="9" t="n">
        <v>107.853348</v>
      </c>
      <c r="H161" s="9" t="n">
        <v>107.853348</v>
      </c>
      <c r="I161" s="2" t="str">
        <f aca="false">IF(COUNT(C161:F161)&lt;4,"",IF(OR(D161&lt;MAX(C161,F161)-0.000001,E161&gt;MIN(C161,F161)+0.000001),"FAIL","OK"))</f>
        <v>OK</v>
      </c>
      <c r="J161" s="10" t="n">
        <f aca="false">IF(COUNT(F161,G161)&lt;2,"",G161/F161)</f>
        <v>0.945004388285404</v>
      </c>
      <c r="K161" s="10" t="n">
        <f aca="false">H161/H160-1</f>
        <v>0.00210741711704654</v>
      </c>
      <c r="L161" s="10" t="n">
        <f aca="false">H166/H161-1</f>
        <v>0.0459124643956348</v>
      </c>
      <c r="M161" s="10" t="n">
        <f aca="false">IF(COUNT(B102:B161)&lt;60,"",(B161-AVERAGE(B102:B161))/STDEV(B102:B161))</f>
        <v>1.06098471786075</v>
      </c>
      <c r="N161" s="10" t="n">
        <f aca="false">(H161-AVERAGE(H102:H161))/STDEV(H102:H161)</f>
        <v>0.601308653176782</v>
      </c>
      <c r="O161" s="10" t="n">
        <f aca="false">IF(COUNT(B161)=0,"",B161-('Signal Analysis'!$C$6+'Signal Analysis'!$C$5*H161))</f>
        <v>0.349013413475882</v>
      </c>
    </row>
    <row r="162" customFormat="false" ht="15" hidden="false" customHeight="false" outlineLevel="0" collapsed="false">
      <c r="A162" s="8" t="n">
        <v>42559</v>
      </c>
      <c r="B162" s="9" t="n">
        <v>12.84686292</v>
      </c>
      <c r="C162" s="9" t="n">
        <v>115.25</v>
      </c>
      <c r="D162" s="9" t="n">
        <v>117.089996</v>
      </c>
      <c r="E162" s="9" t="n">
        <v>115.150002</v>
      </c>
      <c r="F162" s="9" t="n">
        <v>116.790001</v>
      </c>
      <c r="G162" s="9" t="n">
        <v>110.36705</v>
      </c>
      <c r="H162" s="9" t="n">
        <v>110.36705</v>
      </c>
      <c r="I162" s="2" t="str">
        <f aca="false">IF(COUNT(C162:F162)&lt;4,"",IF(OR(D162&lt;MAX(C162,F162)-0.000001,E162&gt;MIN(C162,F162)+0.000001),"FAIL","OK"))</f>
        <v>OK</v>
      </c>
      <c r="J162" s="10" t="n">
        <f aca="false">IF(COUNT(F162,G162)&lt;2,"",G162/F162)</f>
        <v>0.945004273096975</v>
      </c>
      <c r="K162" s="10" t="n">
        <f aca="false">H162/H161-1</f>
        <v>0.0233066663818355</v>
      </c>
      <c r="L162" s="10" t="n">
        <f aca="false">H167/H162-1</f>
        <v>0.0249165851583419</v>
      </c>
      <c r="M162" s="10" t="n">
        <f aca="false">IF(COUNT(B103:B162)&lt;60,"",(B162-AVERAGE(B103:B162))/STDEV(B103:B162))</f>
        <v>-0.0336248707034865</v>
      </c>
      <c r="N162" s="10" t="n">
        <f aca="false">(H162-AVERAGE(H103:H162))/STDEV(H103:H162)</f>
        <v>1.67894679543338</v>
      </c>
      <c r="O162" s="10" t="n">
        <f aca="false">IF(COUNT(B162)=0,"",B162-('Signal Analysis'!$C$6+'Signal Analysis'!$C$5*H162))</f>
        <v>-0.452763845678046</v>
      </c>
    </row>
    <row r="163" customFormat="false" ht="15" hidden="false" customHeight="false" outlineLevel="0" collapsed="false">
      <c r="A163" s="8" t="n">
        <v>42562</v>
      </c>
      <c r="B163" s="9" t="n">
        <v>13.6719855132</v>
      </c>
      <c r="C163" s="9" t="n">
        <v>117.559998</v>
      </c>
      <c r="D163" s="9" t="n">
        <v>118.43</v>
      </c>
      <c r="E163" s="9" t="n">
        <v>117.470001</v>
      </c>
      <c r="F163" s="9" t="n">
        <v>118.139999</v>
      </c>
      <c r="G163" s="9" t="n">
        <v>111.642807</v>
      </c>
      <c r="H163" s="9" t="n">
        <v>111.642807</v>
      </c>
      <c r="I163" s="2" t="str">
        <f aca="false">IF(COUNT(C163:F163)&lt;4,"",IF(OR(D163&lt;MAX(C163,F163)-0.000001,E163&gt;MIN(C163,F163)+0.000001),"FAIL","OK"))</f>
        <v>OK</v>
      </c>
      <c r="J163" s="10" t="n">
        <f aca="false">IF(COUNT(F163,G163)&lt;2,"",G163/F163)</f>
        <v>0.945004299517558</v>
      </c>
      <c r="K163" s="10" t="n">
        <f aca="false">H163/H162-1</f>
        <v>0.0115592198939811</v>
      </c>
      <c r="L163" s="10" t="n">
        <f aca="false">H168/H163-1</f>
        <v>0.0148975831465792</v>
      </c>
      <c r="M163" s="10" t="n">
        <f aca="false">IF(COUNT(B104:B163)&lt;60,"",(B163-AVERAGE(B104:B163))/STDEV(B104:B163))</f>
        <v>1.87843638625728</v>
      </c>
      <c r="N163" s="10" t="n">
        <f aca="false">(H163-AVERAGE(H104:H163))/STDEV(H104:H163)</f>
        <v>2.12259373333102</v>
      </c>
      <c r="O163" s="10" t="n">
        <f aca="false">IF(COUNT(B163)=0,"",B163-('Signal Analysis'!$C$6+'Signal Analysis'!$C$5*H163))</f>
        <v>0.197844850306446</v>
      </c>
    </row>
    <row r="164" customFormat="false" ht="15" hidden="false" customHeight="false" outlineLevel="0" collapsed="false">
      <c r="A164" s="8" t="n">
        <v>42563</v>
      </c>
      <c r="B164" s="9" t="n">
        <v>13.845523248</v>
      </c>
      <c r="C164" s="9" t="n">
        <v>119</v>
      </c>
      <c r="D164" s="9" t="n">
        <v>120.419998</v>
      </c>
      <c r="E164" s="9" t="n">
        <v>118.830002</v>
      </c>
      <c r="F164" s="9" t="n">
        <v>119.720001</v>
      </c>
      <c r="G164" s="9" t="n">
        <v>113.135925</v>
      </c>
      <c r="H164" s="9" t="n">
        <v>113.135925</v>
      </c>
      <c r="I164" s="2" t="str">
        <f aca="false">IF(COUNT(C164:F164)&lt;4,"",IF(OR(D164&lt;MAX(C164,F164)-0.000001,E164&gt;MIN(C164,F164)+0.000001),"FAIL","OK"))</f>
        <v>OK</v>
      </c>
      <c r="J164" s="10" t="n">
        <f aca="false">IF(COUNT(F164,G164)&lt;2,"",G164/F164)</f>
        <v>0.945004377338754</v>
      </c>
      <c r="K164" s="10" t="n">
        <f aca="false">H164/H163-1</f>
        <v>0.013374063588351</v>
      </c>
      <c r="L164" s="10" t="n">
        <f aca="false">H169/H164-1</f>
        <v>-0.00350826671545756</v>
      </c>
      <c r="M164" s="10" t="n">
        <f aca="false">IF(COUNT(B105:B164)&lt;60,"",(B164-AVERAGE(B105:B164))/STDEV(B105:B164))</f>
        <v>2.15222801980552</v>
      </c>
      <c r="N164" s="10" t="n">
        <f aca="false">(H164-AVERAGE(H105:H164))/STDEV(H105:H164)</f>
        <v>2.56027698568666</v>
      </c>
      <c r="O164" s="10" t="n">
        <f aca="false">IF(COUNT(B164)=0,"",B164-('Signal Analysis'!$C$6+'Signal Analysis'!$C$5*H164))</f>
        <v>0.167135349008486</v>
      </c>
    </row>
    <row r="165" customFormat="false" ht="15" hidden="false" customHeight="false" outlineLevel="0" collapsed="false">
      <c r="A165" s="8" t="n">
        <v>42564</v>
      </c>
      <c r="B165" s="9" t="n">
        <v>20.3950827</v>
      </c>
      <c r="C165" s="9" t="n">
        <v>120.330002</v>
      </c>
      <c r="D165" s="9" t="n">
        <v>120.389999</v>
      </c>
      <c r="E165" s="9" t="n">
        <v>118.949997</v>
      </c>
      <c r="F165" s="9" t="n">
        <v>119.25</v>
      </c>
      <c r="G165" s="9" t="n">
        <v>112.69178</v>
      </c>
      <c r="H165" s="9" t="n">
        <v>112.69178</v>
      </c>
      <c r="I165" s="2" t="str">
        <f aca="false">IF(COUNT(C165:F165)&lt;4,"",IF(OR(D165&lt;MAX(C165,F165)-0.000001,E165&gt;MIN(C165,F165)+0.000001),"FAIL","OK"))</f>
        <v>OK</v>
      </c>
      <c r="J165" s="10" t="n">
        <f aca="false">IF(COUNT(F165,G165)&lt;2,"",G165/F165)</f>
        <v>0.945004444444444</v>
      </c>
      <c r="K165" s="10" t="n">
        <f aca="false">H165/H164-1</f>
        <v>-0.00392576451732729</v>
      </c>
      <c r="L165" s="10" t="n">
        <f aca="false">H170/H165-1</f>
        <v>0.00696011723304046</v>
      </c>
      <c r="M165" s="10" t="n">
        <f aca="false">IF(COUNT(B106:B165)&lt;60,"",(B165-AVERAGE(B106:B165))/STDEV(B106:B165))</f>
        <v>6.92310287284562</v>
      </c>
      <c r="N165" s="10" t="n">
        <f aca="false">(H165-AVERAGE(H106:H165))/STDEV(H106:H165)</f>
        <v>2.23476203599433</v>
      </c>
      <c r="O165" s="10" t="n">
        <f aca="false">IF(COUNT(B165)=0,"",B165-('Signal Analysis'!$C$6+'Signal Analysis'!$C$5*H165))</f>
        <v>6.77745047381983</v>
      </c>
    </row>
    <row r="166" customFormat="false" ht="15" hidden="false" customHeight="false" outlineLevel="0" collapsed="false">
      <c r="A166" s="8" t="n">
        <v>42565</v>
      </c>
      <c r="B166" s="9" t="n">
        <v>13.6639684968</v>
      </c>
      <c r="C166" s="9" t="n">
        <v>120.300003</v>
      </c>
      <c r="D166" s="9" t="n">
        <v>120.360001</v>
      </c>
      <c r="E166" s="9" t="n">
        <v>119.300003</v>
      </c>
      <c r="F166" s="9" t="n">
        <v>119.370003</v>
      </c>
      <c r="G166" s="9" t="n">
        <v>112.805161</v>
      </c>
      <c r="H166" s="9" t="n">
        <v>112.805161</v>
      </c>
      <c r="I166" s="2" t="str">
        <f aca="false">IF(COUNT(C166:F166)&lt;4,"",IF(OR(D166&lt;MAX(C166,F166)-0.000001,E166&gt;MIN(C166,F166)+0.000001),"FAIL","OK"))</f>
        <v>OK</v>
      </c>
      <c r="J166" s="10" t="n">
        <f aca="false">IF(COUNT(F166,G166)&lt;2,"",G166/F166)</f>
        <v>0.94500425705778</v>
      </c>
      <c r="K166" s="10" t="n">
        <f aca="false">H166/H165-1</f>
        <v>0.00100611597403111</v>
      </c>
      <c r="L166" s="10" t="n">
        <f aca="false">H171/H166-1</f>
        <v>0.00117282754465453</v>
      </c>
      <c r="M166" s="10" t="n">
        <f aca="false">IF(COUNT(B107:B166)&lt;60,"",(B166-AVERAGE(B107:B166))/STDEV(B107:B166))</f>
        <v>0.592006311211211</v>
      </c>
      <c r="N166" s="10" t="n">
        <f aca="false">(H166-AVERAGE(H107:H166))/STDEV(H107:H166)</f>
        <v>2.14800547178997</v>
      </c>
      <c r="O166" s="10" t="n">
        <f aca="false">IF(COUNT(B166)=0,"",B166-('Signal Analysis'!$C$6+'Signal Analysis'!$C$5*H166))</f>
        <v>0.0308266083720898</v>
      </c>
    </row>
    <row r="167" customFormat="false" ht="15" hidden="false" customHeight="false" outlineLevel="0" collapsed="false">
      <c r="A167" s="8" t="n">
        <v>42566</v>
      </c>
      <c r="B167" s="9" t="n">
        <v>13.8894780672</v>
      </c>
      <c r="C167" s="9" t="n">
        <v>119.889999</v>
      </c>
      <c r="D167" s="9" t="n">
        <v>120.040001</v>
      </c>
      <c r="E167" s="9" t="n">
        <v>119.279999</v>
      </c>
      <c r="F167" s="9" t="n">
        <v>119.699997</v>
      </c>
      <c r="G167" s="9" t="n">
        <v>113.11702</v>
      </c>
      <c r="H167" s="9" t="n">
        <v>113.11702</v>
      </c>
      <c r="I167" s="2" t="str">
        <f aca="false">IF(COUNT(C167:F167)&lt;4,"",IF(OR(D167&lt;MAX(C167,F167)-0.000001,E167&gt;MIN(C167,F167)+0.000001),"FAIL","OK"))</f>
        <v>OK</v>
      </c>
      <c r="J167" s="10" t="n">
        <f aca="false">IF(COUNT(F167,G167)&lt;2,"",G167/F167)</f>
        <v>0.945004367878138</v>
      </c>
      <c r="K167" s="10" t="n">
        <f aca="false">H167/H166-1</f>
        <v>0.00276458095742616</v>
      </c>
      <c r="L167" s="10" t="n">
        <f aca="false">H172/H167-1</f>
        <v>0.00584797937569426</v>
      </c>
      <c r="M167" s="10" t="n">
        <f aca="false">IF(COUNT(B108:B167)&lt;60,"",(B167-AVERAGE(B108:B167))/STDEV(B108:B167))</f>
        <v>0.776478934360287</v>
      </c>
      <c r="N167" s="10" t="n">
        <f aca="false">(H167-AVERAGE(H108:H167))/STDEV(H108:H167)</f>
        <v>2.13580413664671</v>
      </c>
      <c r="O167" s="10" t="n">
        <f aca="false">IF(COUNT(B167)=0,"",B167-('Signal Analysis'!$C$6+'Signal Analysis'!$C$5*H167))</f>
        <v>0.213676229054604</v>
      </c>
    </row>
    <row r="168" customFormat="false" ht="15" hidden="false" customHeight="false" outlineLevel="0" collapsed="false">
      <c r="A168" s="8" t="n">
        <v>42569</v>
      </c>
      <c r="B168" s="9" t="n">
        <v>13.4169704856</v>
      </c>
      <c r="C168" s="9" t="n">
        <v>119.529999</v>
      </c>
      <c r="D168" s="9" t="n">
        <v>120.349998</v>
      </c>
      <c r="E168" s="9" t="n">
        <v>119.330002</v>
      </c>
      <c r="F168" s="9" t="n">
        <v>119.900002</v>
      </c>
      <c r="G168" s="9" t="n">
        <v>113.306015</v>
      </c>
      <c r="H168" s="9" t="n">
        <v>113.306015</v>
      </c>
      <c r="I168" s="2" t="str">
        <f aca="false">IF(COUNT(C168:F168)&lt;4,"",IF(OR(D168&lt;MAX(C168,F168)-0.000001,E168&gt;MIN(C168,F168)+0.000001),"FAIL","OK"))</f>
        <v>OK</v>
      </c>
      <c r="J168" s="10" t="n">
        <f aca="false">IF(COUNT(F168,G168)&lt;2,"",G168/F168)</f>
        <v>0.945004279482831</v>
      </c>
      <c r="K168" s="10" t="n">
        <f aca="false">H168/H167-1</f>
        <v>0.00167079189320951</v>
      </c>
      <c r="L168" s="10" t="n">
        <f aca="false">H173/H168-1</f>
        <v>0.00266886978595093</v>
      </c>
      <c r="M168" s="10" t="n">
        <f aca="false">IF(COUNT(B109:B168)&lt;60,"",(B168-AVERAGE(B109:B168))/STDEV(B109:B168))</f>
        <v>0.325452395710638</v>
      </c>
      <c r="N168" s="10" t="n">
        <f aca="false">(H168-AVERAGE(H109:H168))/STDEV(H109:H168)</f>
        <v>2.08104404251632</v>
      </c>
      <c r="O168" s="10" t="n">
        <f aca="false">IF(COUNT(B168)=0,"",B168-('Signal Analysis'!$C$6+'Signal Analysis'!$C$5*H168))</f>
        <v>-0.284684437423039</v>
      </c>
    </row>
    <row r="169" customFormat="false" ht="15" hidden="false" customHeight="false" outlineLevel="0" collapsed="false">
      <c r="A169" s="8" t="n">
        <v>42570</v>
      </c>
      <c r="B169" s="9" t="n">
        <v>14.1995600448</v>
      </c>
      <c r="C169" s="9" t="n">
        <v>119.760002</v>
      </c>
      <c r="D169" s="9" t="n">
        <v>119.970001</v>
      </c>
      <c r="E169" s="9" t="n">
        <v>118.93</v>
      </c>
      <c r="F169" s="9" t="n">
        <v>119.300003</v>
      </c>
      <c r="G169" s="9" t="n">
        <v>112.739014</v>
      </c>
      <c r="H169" s="9" t="n">
        <v>112.739014</v>
      </c>
      <c r="I169" s="2" t="str">
        <f aca="false">IF(COUNT(C169:F169)&lt;4,"",IF(OR(D169&lt;MAX(C169,F169)-0.000001,E169&gt;MIN(C169,F169)+0.000001),"FAIL","OK"))</f>
        <v>OK</v>
      </c>
      <c r="J169" s="10" t="n">
        <f aca="false">IF(COUNT(F169,G169)&lt;2,"",G169/F169)</f>
        <v>0.945004284702323</v>
      </c>
      <c r="K169" s="10" t="n">
        <f aca="false">H169/H168-1</f>
        <v>-0.00500415622242123</v>
      </c>
      <c r="L169" s="10" t="n">
        <f aca="false">H174/H169-1</f>
        <v>0.0125733847556979</v>
      </c>
      <c r="M169" s="10" t="n">
        <f aca="false">IF(COUNT(B110:B169)&lt;60,"",(B169-AVERAGE(B110:B169))/STDEV(B110:B169))</f>
        <v>1.02771385329326</v>
      </c>
      <c r="N169" s="10" t="n">
        <f aca="false">(H169-AVERAGE(H110:H169))/STDEV(H110:H169)</f>
        <v>1.80092289314351</v>
      </c>
      <c r="O169" s="10" t="n">
        <f aca="false">IF(COUNT(B169)=0,"",B169-('Signal Analysis'!$C$6+'Signal Analysis'!$C$5*H169))</f>
        <v>0.57546656508873</v>
      </c>
    </row>
    <row r="170" customFormat="false" ht="15" hidden="false" customHeight="false" outlineLevel="0" collapsed="false">
      <c r="A170" s="8" t="n">
        <v>42571</v>
      </c>
      <c r="B170" s="9" t="n">
        <v>13.0876892928</v>
      </c>
      <c r="C170" s="9" t="n">
        <v>119.550003</v>
      </c>
      <c r="D170" s="9" t="n">
        <v>120.440002</v>
      </c>
      <c r="E170" s="9" t="n">
        <v>118.940002</v>
      </c>
      <c r="F170" s="9" t="n">
        <v>120.080002</v>
      </c>
      <c r="G170" s="9" t="n">
        <v>113.476128</v>
      </c>
      <c r="H170" s="9" t="n">
        <v>113.476128</v>
      </c>
      <c r="I170" s="2" t="str">
        <f aca="false">IF(COUNT(C170:F170)&lt;4,"",IF(OR(D170&lt;MAX(C170,F170)-0.000001,E170&gt;MIN(C170,F170)+0.000001),"FAIL","OK"))</f>
        <v>OK</v>
      </c>
      <c r="J170" s="10" t="n">
        <f aca="false">IF(COUNT(F170,G170)&lt;2,"",G170/F170)</f>
        <v>0.945004381329041</v>
      </c>
      <c r="K170" s="10" t="n">
        <f aca="false">H170/H169-1</f>
        <v>0.00653823351692617</v>
      </c>
      <c r="L170" s="10" t="n">
        <f aca="false">H175/H170-1</f>
        <v>0.00882734560699849</v>
      </c>
      <c r="M170" s="10" t="n">
        <f aca="false">IF(COUNT(B111:B170)&lt;60,"",(B170-AVERAGE(B111:B170))/STDEV(B111:B170))</f>
        <v>0.00107393732913322</v>
      </c>
      <c r="N170" s="10" t="n">
        <f aca="false">(H170-AVERAGE(H111:H170))/STDEV(H111:H170)</f>
        <v>1.94423125541263</v>
      </c>
      <c r="O170" s="10" t="n">
        <f aca="false">IF(COUNT(B170)=0,"",B170-('Signal Analysis'!$C$6+'Signal Analysis'!$C$5*H170))</f>
        <v>-0.637235800480401</v>
      </c>
    </row>
    <row r="171" customFormat="false" ht="15" hidden="false" customHeight="false" outlineLevel="0" collapsed="false">
      <c r="A171" s="8" t="n">
        <v>42572</v>
      </c>
      <c r="B171" s="9" t="n">
        <v>14.24673432</v>
      </c>
      <c r="C171" s="9" t="n">
        <v>120.010002</v>
      </c>
      <c r="D171" s="9" t="n">
        <v>120.599998</v>
      </c>
      <c r="E171" s="9" t="n">
        <v>119.25</v>
      </c>
      <c r="F171" s="9" t="n">
        <v>119.510002</v>
      </c>
      <c r="G171" s="9" t="n">
        <v>112.937462</v>
      </c>
      <c r="H171" s="9" t="n">
        <v>112.937462</v>
      </c>
      <c r="I171" s="2" t="str">
        <f aca="false">IF(COUNT(C171:F171)&lt;4,"",IF(OR(D171&lt;MAX(C171,F171)-0.000001,E171&gt;MIN(C171,F171)+0.000001),"FAIL","OK"))</f>
        <v>OK</v>
      </c>
      <c r="J171" s="10" t="n">
        <f aca="false">IF(COUNT(F171,G171)&lt;2,"",G171/F171)</f>
        <v>0.945004268345674</v>
      </c>
      <c r="K171" s="10" t="n">
        <f aca="false">H171/H170-1</f>
        <v>-0.00474695435501649</v>
      </c>
      <c r="L171" s="10" t="n">
        <f aca="false">H176/H171-1</f>
        <v>0.0110450330466962</v>
      </c>
      <c r="M171" s="10" t="n">
        <f aca="false">IF(COUNT(B112:B171)&lt;60,"",(B171-AVERAGE(B112:B171))/STDEV(B112:B171))</f>
        <v>1.04327088151804</v>
      </c>
      <c r="N171" s="10" t="n">
        <f aca="false">(H171-AVERAGE(H112:H171))/STDEV(H112:H171)</f>
        <v>1.69623877123021</v>
      </c>
      <c r="O171" s="10" t="n">
        <f aca="false">IF(COUNT(B171)=0,"",B171-('Signal Analysis'!$C$6+'Signal Analysis'!$C$5*H171))</f>
        <v>0.595494656591816</v>
      </c>
    </row>
    <row r="172" customFormat="false" ht="15" hidden="false" customHeight="false" outlineLevel="0" collapsed="false">
      <c r="A172" s="8" t="n">
        <v>42573</v>
      </c>
      <c r="B172" s="9" t="n">
        <v>13.8747119052</v>
      </c>
      <c r="C172" s="9" t="n">
        <v>119.580002</v>
      </c>
      <c r="D172" s="9" t="n">
        <v>120.650002</v>
      </c>
      <c r="E172" s="9" t="n">
        <v>119.349998</v>
      </c>
      <c r="F172" s="9" t="n">
        <v>120.400002</v>
      </c>
      <c r="G172" s="9" t="n">
        <v>113.778526</v>
      </c>
      <c r="H172" s="9" t="n">
        <v>113.778526</v>
      </c>
      <c r="I172" s="2" t="str">
        <f aca="false">IF(COUNT(C172:F172)&lt;4,"",IF(OR(D172&lt;MAX(C172,F172)-0.000001,E172&gt;MIN(C172,F172)+0.000001),"FAIL","OK"))</f>
        <v>OK</v>
      </c>
      <c r="J172" s="10" t="n">
        <f aca="false">IF(COUNT(F172,G172)&lt;2,"",G172/F172)</f>
        <v>0.945004353073017</v>
      </c>
      <c r="K172" s="10" t="n">
        <f aca="false">H172/H171-1</f>
        <v>0.00744716575975479</v>
      </c>
      <c r="L172" s="10" t="n">
        <f aca="false">H177/H172-1</f>
        <v>0.0055646089139878</v>
      </c>
      <c r="M172" s="10" t="n">
        <f aca="false">IF(COUNT(B113:B172)&lt;60,"",(B172-AVERAGE(B113:B172))/STDEV(B113:B172))</f>
        <v>0.686351782381013</v>
      </c>
      <c r="N172" s="10" t="n">
        <f aca="false">(H172-AVERAGE(H113:H172))/STDEV(H113:H172)</f>
        <v>1.8725039159395</v>
      </c>
      <c r="O172" s="10" t="n">
        <f aca="false">IF(COUNT(B172)=0,"",B172-('Signal Analysis'!$C$6+'Signal Analysis'!$C$5*H172))</f>
        <v>0.108421055360807</v>
      </c>
    </row>
    <row r="173" customFormat="false" ht="15" hidden="false" customHeight="false" outlineLevel="0" collapsed="false">
      <c r="A173" s="8" t="n">
        <v>42576</v>
      </c>
      <c r="B173" s="9" t="n">
        <v>13.291117704</v>
      </c>
      <c r="C173" s="9" t="n">
        <v>120.150002</v>
      </c>
      <c r="D173" s="9" t="n">
        <v>120.459999</v>
      </c>
      <c r="E173" s="9" t="n">
        <v>119.760002</v>
      </c>
      <c r="F173" s="9" t="n">
        <v>120.220001</v>
      </c>
      <c r="G173" s="9" t="n">
        <v>113.608414</v>
      </c>
      <c r="H173" s="9" t="n">
        <v>113.608414</v>
      </c>
      <c r="I173" s="2" t="str">
        <f aca="false">IF(COUNT(C173:F173)&lt;4,"",IF(OR(D173&lt;MAX(C173,F173)-0.000001,E173&gt;MIN(C173,F173)+0.000001),"FAIL","OK"))</f>
        <v>OK</v>
      </c>
      <c r="J173" s="10" t="n">
        <f aca="false">IF(COUNT(F173,G173)&lt;2,"",G173/F173)</f>
        <v>0.945004267634302</v>
      </c>
      <c r="K173" s="10" t="n">
        <f aca="false">H173/H172-1</f>
        <v>-0.00149511516786571</v>
      </c>
      <c r="L173" s="10" t="n">
        <f aca="false">H178/H173-1</f>
        <v>0.00790228442058871</v>
      </c>
      <c r="M173" s="10" t="n">
        <f aca="false">IF(COUNT(B114:B173)&lt;60,"",(B173-AVERAGE(B114:B173))/STDEV(B114:B173))</f>
        <v>0.146627470988821</v>
      </c>
      <c r="N173" s="10" t="n">
        <f aca="false">(H173-AVERAGE(H114:H173))/STDEV(H114:H173)</f>
        <v>1.73907126920165</v>
      </c>
      <c r="O173" s="10" t="n">
        <f aca="false">IF(COUNT(B173)=0,"",B173-('Signal Analysis'!$C$6+'Signal Analysis'!$C$5*H173))</f>
        <v>-0.451903112374257</v>
      </c>
    </row>
    <row r="174" customFormat="false" ht="15" hidden="false" customHeight="false" outlineLevel="0" collapsed="false">
      <c r="A174" s="8" t="n">
        <v>42577</v>
      </c>
      <c r="B174" s="9" t="n">
        <v>13.5921050892</v>
      </c>
      <c r="C174" s="9" t="n">
        <v>120.199997</v>
      </c>
      <c r="D174" s="9" t="n">
        <v>120.970001</v>
      </c>
      <c r="E174" s="9" t="n">
        <v>119.919998</v>
      </c>
      <c r="F174" s="9" t="n">
        <v>120.800003</v>
      </c>
      <c r="G174" s="9" t="n">
        <v>114.156525</v>
      </c>
      <c r="H174" s="9" t="n">
        <v>114.156525</v>
      </c>
      <c r="I174" s="2" t="str">
        <f aca="false">IF(COUNT(C174:F174)&lt;4,"",IF(OR(D174&lt;MAX(C174,F174)-0.000001,E174&gt;MIN(C174,F174)+0.000001),"FAIL","OK"))</f>
        <v>OK</v>
      </c>
      <c r="J174" s="10" t="n">
        <f aca="false">IF(COUNT(F174,G174)&lt;2,"",G174/F174)</f>
        <v>0.94500432255784</v>
      </c>
      <c r="K174" s="10" t="n">
        <f aca="false">H174/H173-1</f>
        <v>0.00482456343418369</v>
      </c>
      <c r="L174" s="10" t="n">
        <f aca="false">H179/H174-1</f>
        <v>-0.0109271546238815</v>
      </c>
      <c r="M174" s="10" t="n">
        <f aca="false">IF(COUNT(B115:B174)&lt;60,"",(B174-AVERAGE(B115:B174))/STDEV(B115:B174))</f>
        <v>0.407049647665132</v>
      </c>
      <c r="N174" s="10" t="n">
        <f aca="false">(H174-AVERAGE(H115:H174))/STDEV(H115:H174)</f>
        <v>1.81351189232826</v>
      </c>
      <c r="O174" s="10" t="n">
        <f aca="false">IF(COUNT(B174)=0,"",B174-('Signal Analysis'!$C$6+'Signal Analysis'!$C$5*H174))</f>
        <v>-0.225893161526324</v>
      </c>
    </row>
    <row r="175" customFormat="false" ht="15" hidden="false" customHeight="false" outlineLevel="0" collapsed="false">
      <c r="A175" s="8" t="n">
        <v>42578</v>
      </c>
      <c r="B175" s="9" t="n">
        <v>13.05370452</v>
      </c>
      <c r="C175" s="9" t="n">
        <v>121</v>
      </c>
      <c r="D175" s="9" t="n">
        <v>121.470001</v>
      </c>
      <c r="E175" s="9" t="n">
        <v>120.349998</v>
      </c>
      <c r="F175" s="9" t="n">
        <v>121.139999</v>
      </c>
      <c r="G175" s="9" t="n">
        <v>114.477821</v>
      </c>
      <c r="H175" s="9" t="n">
        <v>114.477821</v>
      </c>
      <c r="I175" s="2" t="str">
        <f aca="false">IF(COUNT(C175:F175)&lt;4,"",IF(OR(D175&lt;MAX(C175,F175)-0.000001,E175&gt;MIN(C175,F175)+0.000001),"FAIL","OK"))</f>
        <v>OK</v>
      </c>
      <c r="J175" s="10" t="n">
        <f aca="false">IF(COUNT(F175,G175)&lt;2,"",G175/F175)</f>
        <v>0.945004308609909</v>
      </c>
      <c r="K175" s="10" t="n">
        <f aca="false">H175/H174-1</f>
        <v>0.00281452155275397</v>
      </c>
      <c r="L175" s="10" t="n">
        <f aca="false">H180/H175-1</f>
        <v>-0.00569595921990862</v>
      </c>
      <c r="M175" s="10" t="n">
        <f aca="false">IF(COUNT(B116:B175)&lt;60,"",(B175-AVERAGE(B116:B175))/STDEV(B116:B175))</f>
        <v>-0.10276031234255</v>
      </c>
      <c r="N175" s="10" t="n">
        <f aca="false">(H175-AVERAGE(H116:H175))/STDEV(H116:H175)</f>
        <v>1.81737288674294</v>
      </c>
      <c r="O175" s="10" t="n">
        <f aca="false">IF(COUNT(B175)=0,"",B175-('Signal Analysis'!$C$6+'Signal Analysis'!$C$5*H175))</f>
        <v>-0.80824459058424</v>
      </c>
    </row>
    <row r="176" customFormat="false" ht="15" hidden="false" customHeight="false" outlineLevel="0" collapsed="false">
      <c r="A176" s="8" t="n">
        <v>42579</v>
      </c>
      <c r="B176" s="9" t="n">
        <v>13.2781123944</v>
      </c>
      <c r="C176" s="9" t="n">
        <v>120.879997</v>
      </c>
      <c r="D176" s="9" t="n">
        <v>121.239998</v>
      </c>
      <c r="E176" s="9" t="n">
        <v>120.529999</v>
      </c>
      <c r="F176" s="9" t="n">
        <v>120.830002</v>
      </c>
      <c r="G176" s="9" t="n">
        <v>114.18486</v>
      </c>
      <c r="H176" s="9" t="n">
        <v>114.18486</v>
      </c>
      <c r="I176" s="2" t="str">
        <f aca="false">IF(COUNT(C176:F176)&lt;4,"",IF(OR(D176&lt;MAX(C176,F176)-0.000001,E176&gt;MIN(C176,F176)+0.000001),"FAIL","OK"))</f>
        <v>OK</v>
      </c>
      <c r="J176" s="10" t="n">
        <f aca="false">IF(COUNT(F176,G176)&lt;2,"",G176/F176)</f>
        <v>0.945004205164211</v>
      </c>
      <c r="K176" s="10" t="n">
        <f aca="false">H176/H175-1</f>
        <v>-0.00255910706057205</v>
      </c>
      <c r="L176" s="10" t="n">
        <f aca="false">H181/H176-1</f>
        <v>-0.00223453442076293</v>
      </c>
      <c r="M176" s="10" t="n">
        <f aca="false">IF(COUNT(B117:B176)&lt;60,"",(B176-AVERAGE(B117:B176))/STDEV(B117:B176))</f>
        <v>0.103057558474287</v>
      </c>
      <c r="N176" s="10" t="n">
        <f aca="false">(H176-AVERAGE(H117:H176))/STDEV(H117:H176)</f>
        <v>1.66132419320978</v>
      </c>
      <c r="O176" s="10" t="n">
        <f aca="false">IF(COUNT(B176)=0,"",B176-('Signal Analysis'!$C$6+'Signal Analysis'!$C$5*H176))</f>
        <v>-0.543761869765875</v>
      </c>
    </row>
    <row r="177" customFormat="false" ht="15" hidden="false" customHeight="false" outlineLevel="0" collapsed="false">
      <c r="A177" s="8" t="n">
        <v>42580</v>
      </c>
      <c r="B177" s="9" t="n">
        <v>13.112727552</v>
      </c>
      <c r="C177" s="9" t="n">
        <v>120.709999</v>
      </c>
      <c r="D177" s="9" t="n">
        <v>121.760002</v>
      </c>
      <c r="E177" s="9" t="n">
        <v>120.050003</v>
      </c>
      <c r="F177" s="9" t="n">
        <v>121.07</v>
      </c>
      <c r="G177" s="9" t="n">
        <v>114.411659</v>
      </c>
      <c r="H177" s="9" t="n">
        <v>114.411659</v>
      </c>
      <c r="I177" s="2" t="str">
        <f aca="false">IF(COUNT(C177:F177)&lt;4,"",IF(OR(D177&lt;MAX(C177,F177)-0.000001,E177&gt;MIN(C177,F177)+0.000001),"FAIL","OK"))</f>
        <v>OK</v>
      </c>
      <c r="J177" s="10" t="n">
        <f aca="false">IF(COUNT(F177,G177)&lt;2,"",G177/F177)</f>
        <v>0.945004204179401</v>
      </c>
      <c r="K177" s="10" t="n">
        <f aca="false">H177/H176-1</f>
        <v>0.00198624406072745</v>
      </c>
      <c r="L177" s="10" t="n">
        <f aca="false">H182/H177-1</f>
        <v>0.0101596638853039</v>
      </c>
      <c r="M177" s="10" t="n">
        <f aca="false">IF(COUNT(B118:B177)&lt;60,"",(B177-AVERAGE(B118:B177))/STDEV(B118:B177))</f>
        <v>-0.061229303737929</v>
      </c>
      <c r="N177" s="10" t="n">
        <f aca="false">(H177-AVERAGE(H118:H177))/STDEV(H118:H177)</f>
        <v>1.65573782252845</v>
      </c>
      <c r="O177" s="10" t="n">
        <f aca="false">IF(COUNT(B177)=0,"",B177-('Signal Analysis'!$C$6+'Signal Analysis'!$C$5*H177))</f>
        <v>-0.740171097981182</v>
      </c>
    </row>
    <row r="178" customFormat="false" ht="15" hidden="false" customHeight="false" outlineLevel="0" collapsed="false">
      <c r="A178" s="8" t="n">
        <v>42583</v>
      </c>
      <c r="B178" s="9" t="n">
        <v>14.218427808</v>
      </c>
      <c r="C178" s="9" t="n">
        <v>121.199997</v>
      </c>
      <c r="D178" s="9" t="n">
        <v>121.699997</v>
      </c>
      <c r="E178" s="9" t="n">
        <v>120.440002</v>
      </c>
      <c r="F178" s="9" t="n">
        <v>121.169998</v>
      </c>
      <c r="G178" s="9" t="n">
        <v>114.50618</v>
      </c>
      <c r="H178" s="9" t="n">
        <v>114.50618</v>
      </c>
      <c r="I178" s="2" t="str">
        <f aca="false">IF(COUNT(C178:F178)&lt;4,"",IF(OR(D178&lt;MAX(C178,F178)-0.000001,E178&gt;MIN(C178,F178)+0.000001),"FAIL","OK"))</f>
        <v>OK</v>
      </c>
      <c r="J178" s="10" t="n">
        <f aca="false">IF(COUNT(F178,G178)&lt;2,"",G178/F178)</f>
        <v>0.945004389617965</v>
      </c>
      <c r="K178" s="10" t="n">
        <f aca="false">H178/H177-1</f>
        <v>0.000826148321125153</v>
      </c>
      <c r="L178" s="10" t="n">
        <f aca="false">H183/H178-1</f>
        <v>0.0088304316849972</v>
      </c>
      <c r="M178" s="10" t="n">
        <f aca="false">IF(COUNT(B119:B178)&lt;60,"",(B178-AVERAGE(B119:B178))/STDEV(B119:B178))</f>
        <v>0.941155400682136</v>
      </c>
      <c r="N178" s="10" t="n">
        <f aca="false">(H178-AVERAGE(H119:H178))/STDEV(H119:H178)</f>
        <v>1.61876078236842</v>
      </c>
      <c r="O178" s="10" t="n">
        <f aca="false">IF(COUNT(B178)=0,"",B178-('Signal Analysis'!$C$6+'Signal Analysis'!$C$5*H178))</f>
        <v>0.352599400957944</v>
      </c>
    </row>
    <row r="179" customFormat="false" ht="15" hidden="false" customHeight="false" outlineLevel="0" collapsed="false">
      <c r="A179" s="8" t="n">
        <v>42584</v>
      </c>
      <c r="B179" s="9" t="n">
        <v>13.4528186052</v>
      </c>
      <c r="C179" s="9" t="n">
        <v>121.160004</v>
      </c>
      <c r="D179" s="9" t="n">
        <v>121.209999</v>
      </c>
      <c r="E179" s="9" t="n">
        <v>119.099998</v>
      </c>
      <c r="F179" s="9" t="n">
        <v>119.480003</v>
      </c>
      <c r="G179" s="9" t="n">
        <v>112.909119</v>
      </c>
      <c r="H179" s="9" t="n">
        <v>112.909119</v>
      </c>
      <c r="I179" s="2" t="str">
        <f aca="false">IF(COUNT(C179:F179)&lt;4,"",IF(OR(D179&lt;MAX(C179,F179)-0.000001,E179&gt;MIN(C179,F179)+0.000001),"FAIL","OK"))</f>
        <v>OK</v>
      </c>
      <c r="J179" s="10" t="n">
        <f aca="false">IF(COUNT(F179,G179)&lt;2,"",G179/F179)</f>
        <v>0.945004320095305</v>
      </c>
      <c r="K179" s="10" t="n">
        <f aca="false">H179/H178-1</f>
        <v>-0.0139473782113768</v>
      </c>
      <c r="L179" s="10" t="n">
        <f aca="false">H184/H179-1</f>
        <v>0.0241880906005474</v>
      </c>
      <c r="M179" s="10" t="n">
        <f aca="false">IF(COUNT(B120:B179)&lt;60,"",(B179-AVERAGE(B120:B179))/STDEV(B120:B179))</f>
        <v>0.226796104109955</v>
      </c>
      <c r="N179" s="10" t="n">
        <f aca="false">(H179-AVERAGE(H120:H179))/STDEV(H120:H179)</f>
        <v>1.14433267920648</v>
      </c>
      <c r="O179" s="10" t="n">
        <f aca="false">IF(COUNT(B179)=0,"",B179-('Signal Analysis'!$C$6+'Signal Analysis'!$C$5*H179))</f>
        <v>-0.194543950429212</v>
      </c>
    </row>
    <row r="180" customFormat="false" ht="15" hidden="false" customHeight="false" outlineLevel="0" collapsed="false">
      <c r="A180" s="8" t="n">
        <v>42585</v>
      </c>
      <c r="B180" s="9" t="n">
        <v>13.4462159316</v>
      </c>
      <c r="C180" s="9" t="n">
        <v>119.370003</v>
      </c>
      <c r="D180" s="9" t="n">
        <v>120.5</v>
      </c>
      <c r="E180" s="9" t="n">
        <v>119.099998</v>
      </c>
      <c r="F180" s="9" t="n">
        <v>120.449997</v>
      </c>
      <c r="G180" s="9" t="n">
        <v>113.82576</v>
      </c>
      <c r="H180" s="9" t="n">
        <v>113.82576</v>
      </c>
      <c r="I180" s="2" t="str">
        <f aca="false">IF(COUNT(C180:F180)&lt;4,"",IF(OR(D180&lt;MAX(C180,F180)-0.000001,E180&gt;MIN(C180,F180)+0.000001),"FAIL","OK"))</f>
        <v>OK</v>
      </c>
      <c r="J180" s="10" t="n">
        <f aca="false">IF(COUNT(F180,G180)&lt;2,"",G180/F180)</f>
        <v>0.945004257658886</v>
      </c>
      <c r="K180" s="10" t="n">
        <f aca="false">H180/H179-1</f>
        <v>0.00811839653093038</v>
      </c>
      <c r="L180" s="10" t="n">
        <f aca="false">H185/H180-1</f>
        <v>0.00863434603906876</v>
      </c>
      <c r="M180" s="10" t="n">
        <f aca="false">IF(COUNT(B121:B180)&lt;60,"",(B180-AVERAGE(B121:B180))/STDEV(B121:B180))</f>
        <v>0.202936539071197</v>
      </c>
      <c r="N180" s="10" t="n">
        <f aca="false">(H180-AVERAGE(H121:H180))/STDEV(H121:H180)</f>
        <v>1.34637600331022</v>
      </c>
      <c r="O180" s="10" t="n">
        <f aca="false">IF(COUNT(B180)=0,"",B180-('Signal Analysis'!$C$6+'Signal Analysis'!$C$5*H180))</f>
        <v>-0.326536171770295</v>
      </c>
    </row>
    <row r="181" customFormat="false" ht="15" hidden="false" customHeight="false" outlineLevel="0" collapsed="false">
      <c r="A181" s="8" t="n">
        <v>42586</v>
      </c>
      <c r="B181" s="9" t="n">
        <v>13.46051637</v>
      </c>
      <c r="C181" s="9" t="n">
        <v>120.449997</v>
      </c>
      <c r="D181" s="9" t="n">
        <v>121.190002</v>
      </c>
      <c r="E181" s="9" t="n">
        <v>120.260002</v>
      </c>
      <c r="F181" s="9" t="n">
        <v>120.559998</v>
      </c>
      <c r="G181" s="9" t="n">
        <v>113.92971</v>
      </c>
      <c r="H181" s="9" t="n">
        <v>113.92971</v>
      </c>
      <c r="I181" s="2" t="str">
        <f aca="false">IF(COUNT(C181:F181)&lt;4,"",IF(OR(D181&lt;MAX(C181,F181)-0.000001,E181&gt;MIN(C181,F181)+0.000001),"FAIL","OK"))</f>
        <v>OK</v>
      </c>
      <c r="J181" s="10" t="n">
        <f aca="false">IF(COUNT(F181,G181)&lt;2,"",G181/F181)</f>
        <v>0.945004245935704</v>
      </c>
      <c r="K181" s="10" t="n">
        <f aca="false">H181/H180-1</f>
        <v>0.000913237917322007</v>
      </c>
      <c r="L181" s="10" t="n">
        <f aca="false">H186/H181-1</f>
        <v>0.0125250209098224</v>
      </c>
      <c r="M181" s="10" t="n">
        <f aca="false">IF(COUNT(B122:B181)&lt;60,"",(B181-AVERAGE(B122:B181))/STDEV(B122:B181))</f>
        <v>0.20886259699501</v>
      </c>
      <c r="N181" s="10" t="n">
        <f aca="false">(H181-AVERAGE(H122:H181))/STDEV(H122:H181)</f>
        <v>1.32559103081592</v>
      </c>
      <c r="O181" s="10" t="n">
        <f aca="false">IF(COUNT(B181)=0,"",B181-('Signal Analysis'!$C$6+'Signal Analysis'!$C$5*H181))</f>
        <v>-0.326455306232173</v>
      </c>
    </row>
    <row r="182" customFormat="false" ht="15" hidden="false" customHeight="false" outlineLevel="0" collapsed="false">
      <c r="A182" s="8" t="n">
        <v>42587</v>
      </c>
      <c r="B182" s="9" t="n">
        <v>13.5014879496</v>
      </c>
      <c r="C182" s="9" t="n">
        <v>121.339996</v>
      </c>
      <c r="D182" s="9" t="n">
        <v>122.580002</v>
      </c>
      <c r="E182" s="9" t="n">
        <v>120.970001</v>
      </c>
      <c r="F182" s="9" t="n">
        <v>122.300003</v>
      </c>
      <c r="G182" s="9" t="n">
        <v>115.574043</v>
      </c>
      <c r="H182" s="9" t="n">
        <v>115.574043</v>
      </c>
      <c r="I182" s="2" t="str">
        <f aca="false">IF(COUNT(C182:F182)&lt;4,"",IF(OR(D182&lt;MAX(C182,F182)-0.000001,E182&gt;MIN(C182,F182)+0.000001),"FAIL","OK"))</f>
        <v>OK</v>
      </c>
      <c r="J182" s="10" t="n">
        <f aca="false">IF(COUNT(F182,G182)&lt;2,"",G182/F182)</f>
        <v>0.945004416721069</v>
      </c>
      <c r="K182" s="10" t="n">
        <f aca="false">H182/H181-1</f>
        <v>0.014432872689661</v>
      </c>
      <c r="L182" s="10" t="n">
        <f aca="false">H187/H182-1</f>
        <v>-0.000899492630884291</v>
      </c>
      <c r="M182" s="10" t="n">
        <f aca="false">IF(COUNT(B123:B182)&lt;60,"",(B182-AVERAGE(B123:B182))/STDEV(B123:B182))</f>
        <v>0.235954507521995</v>
      </c>
      <c r="N182" s="10" t="n">
        <f aca="false">(H182-AVERAGE(H123:H182))/STDEV(H123:H182)</f>
        <v>1.69894143044503</v>
      </c>
      <c r="O182" s="10" t="n">
        <f aca="false">IF(COUNT(B182)=0,"",B182-('Signal Analysis'!$C$6+'Signal Analysis'!$C$5*H182))</f>
        <v>-0.510416029688374</v>
      </c>
    </row>
    <row r="183" customFormat="false" ht="15" hidden="false" customHeight="false" outlineLevel="0" collapsed="false">
      <c r="A183" s="8" t="n">
        <v>42590</v>
      </c>
      <c r="B183" s="9" t="n">
        <v>13.5659458032</v>
      </c>
      <c r="C183" s="9" t="n">
        <v>122.349998</v>
      </c>
      <c r="D183" s="9" t="n">
        <v>122.849998</v>
      </c>
      <c r="E183" s="9" t="n">
        <v>122.029999</v>
      </c>
      <c r="F183" s="9" t="n">
        <v>122.239998</v>
      </c>
      <c r="G183" s="9" t="n">
        <v>115.517319</v>
      </c>
      <c r="H183" s="9" t="n">
        <v>115.517319</v>
      </c>
      <c r="I183" s="2" t="str">
        <f aca="false">IF(COUNT(C183:F183)&lt;4,"",IF(OR(D183&lt;MAX(C183,F183)-0.000001,E183&gt;MIN(C183,F183)+0.000001),"FAIL","OK"))</f>
        <v>OK</v>
      </c>
      <c r="J183" s="10" t="n">
        <f aca="false">IF(COUNT(F183,G183)&lt;2,"",G183/F183)</f>
        <v>0.94500426120753</v>
      </c>
      <c r="K183" s="10" t="n">
        <f aca="false">H183/H182-1</f>
        <v>-0.000490802247006261</v>
      </c>
      <c r="L183" s="10" t="n">
        <f aca="false">H188/H183-1</f>
        <v>0.00948967660857858</v>
      </c>
      <c r="M183" s="10" t="n">
        <f aca="false">IF(COUNT(B124:B183)&lt;60,"",(B183-AVERAGE(B124:B183))/STDEV(B124:B183))</f>
        <v>0.286293188238593</v>
      </c>
      <c r="N183" s="10" t="n">
        <f aca="false">(H183-AVERAGE(H124:H183))/STDEV(H124:H183)</f>
        <v>1.62399138927199</v>
      </c>
      <c r="O183" s="10" t="n">
        <f aca="false">IF(COUNT(B183)=0,"",B183-('Signal Analysis'!$C$6+'Signal Analysis'!$C$5*H183))</f>
        <v>-0.438198762418173</v>
      </c>
    </row>
    <row r="184" customFormat="false" ht="15" hidden="false" customHeight="false" outlineLevel="0" collapsed="false">
      <c r="A184" s="8" t="n">
        <v>42591</v>
      </c>
      <c r="B184" s="9" t="n">
        <v>13.717846098</v>
      </c>
      <c r="C184" s="9" t="n">
        <v>122.269997</v>
      </c>
      <c r="D184" s="9" t="n">
        <v>122.629997</v>
      </c>
      <c r="E184" s="9" t="n">
        <v>122.139999</v>
      </c>
      <c r="F184" s="9" t="n">
        <v>122.370003</v>
      </c>
      <c r="G184" s="9" t="n">
        <v>115.640175</v>
      </c>
      <c r="H184" s="9" t="n">
        <v>115.640175</v>
      </c>
      <c r="I184" s="2" t="str">
        <f aca="false">IF(COUNT(C184:F184)&lt;4,"",IF(OR(D184&lt;MAX(C184,F184)-0.000001,E184&gt;MIN(C184,F184)+0.000001),"FAIL","OK"))</f>
        <v>OK</v>
      </c>
      <c r="J184" s="10" t="n">
        <f aca="false">IF(COUNT(F184,G184)&lt;2,"",G184/F184)</f>
        <v>0.945004267099675</v>
      </c>
      <c r="K184" s="10" t="n">
        <f aca="false">H184/H183-1</f>
        <v>0.00106352883761085</v>
      </c>
      <c r="L184" s="10" t="n">
        <f aca="false">H189/H184-1</f>
        <v>0.000245226194097281</v>
      </c>
      <c r="M184" s="10" t="n">
        <f aca="false">IF(COUNT(B125:B184)&lt;60,"",(B184-AVERAGE(B125:B184))/STDEV(B125:B184))</f>
        <v>0.40658146306646</v>
      </c>
      <c r="N184" s="10" t="n">
        <f aca="false">(H184-AVERAGE(H125:H184))/STDEV(H125:H184)</f>
        <v>1.60477348540554</v>
      </c>
      <c r="O184" s="10" t="n">
        <f aca="false">IF(COUNT(B184)=0,"",B184-('Signal Analysis'!$C$6+'Signal Analysis'!$C$5*H184))</f>
        <v>-0.303104238118596</v>
      </c>
    </row>
    <row r="185" customFormat="false" ht="15" hidden="false" customHeight="false" outlineLevel="0" collapsed="false">
      <c r="A185" s="8" t="n">
        <v>42592</v>
      </c>
      <c r="B185" s="9" t="n">
        <v>13.5738161724</v>
      </c>
      <c r="C185" s="9" t="n">
        <v>122.379997</v>
      </c>
      <c r="D185" s="9" t="n">
        <v>122.599998</v>
      </c>
      <c r="E185" s="9" t="n">
        <v>121.150002</v>
      </c>
      <c r="F185" s="9" t="n">
        <v>121.489998</v>
      </c>
      <c r="G185" s="9" t="n">
        <v>114.808571</v>
      </c>
      <c r="H185" s="9" t="n">
        <v>114.808571</v>
      </c>
      <c r="I185" s="2" t="str">
        <f aca="false">IF(COUNT(C185:F185)&lt;4,"",IF(OR(D185&lt;MAX(C185,F185)-0.000001,E185&gt;MIN(C185,F185)+0.000001),"FAIL","OK"))</f>
        <v>OK</v>
      </c>
      <c r="J185" s="10" t="n">
        <f aca="false">IF(COUNT(F185,G185)&lt;2,"",G185/F185)</f>
        <v>0.945004303975707</v>
      </c>
      <c r="K185" s="10" t="n">
        <f aca="false">H185/H184-1</f>
        <v>-0.00719130700035686</v>
      </c>
      <c r="L185" s="10" t="n">
        <f aca="false">H190/H185-1</f>
        <v>0.00452718813127651</v>
      </c>
      <c r="M185" s="10" t="n">
        <f aca="false">IF(COUNT(B126:B185)&lt;60,"",(B185-AVERAGE(B126:B185))/STDEV(B126:B185))</f>
        <v>0.259221288325795</v>
      </c>
      <c r="N185" s="10" t="n">
        <f aca="false">(H185-AVERAGE(H126:H185))/STDEV(H126:H185)</f>
        <v>1.33910158158687</v>
      </c>
      <c r="O185" s="10" t="n">
        <f aca="false">IF(COUNT(B185)=0,"",B185-('Signal Analysis'!$C$6+'Signal Analysis'!$C$5*H185))</f>
        <v>-0.333377033653854</v>
      </c>
    </row>
    <row r="186" customFormat="false" ht="15" hidden="false" customHeight="false" outlineLevel="0" collapsed="false">
      <c r="A186" s="8" t="n">
        <v>42593</v>
      </c>
      <c r="B186" s="9" t="n">
        <v>13.7414217204</v>
      </c>
      <c r="C186" s="9" t="n">
        <v>122.029999</v>
      </c>
      <c r="D186" s="9" t="n">
        <v>122.400002</v>
      </c>
      <c r="E186" s="9" t="n">
        <v>121.57</v>
      </c>
      <c r="F186" s="9" t="n">
        <v>122.07</v>
      </c>
      <c r="G186" s="9" t="n">
        <v>115.356682</v>
      </c>
      <c r="H186" s="9" t="n">
        <v>115.356682</v>
      </c>
      <c r="I186" s="2" t="str">
        <f aca="false">IF(COUNT(C186:F186)&lt;4,"",IF(OR(D186&lt;MAX(C186,F186)-0.000001,E186&gt;MIN(C186,F186)+0.000001),"FAIL","OK"))</f>
        <v>OK</v>
      </c>
      <c r="J186" s="10" t="n">
        <f aca="false">IF(COUNT(F186,G186)&lt;2,"",G186/F186)</f>
        <v>0.945004358155157</v>
      </c>
      <c r="K186" s="10" t="n">
        <f aca="false">H186/H185-1</f>
        <v>0.00477412962486934</v>
      </c>
      <c r="L186" s="10" t="n">
        <f aca="false">H191/H186-1</f>
        <v>0.00712696469546503</v>
      </c>
      <c r="M186" s="10" t="n">
        <f aca="false">IF(COUNT(B127:B186)&lt;60,"",(B186-AVERAGE(B127:B186))/STDEV(B127:B186))</f>
        <v>0.394108310288766</v>
      </c>
      <c r="N186" s="10" t="n">
        <f aca="false">(H186-AVERAGE(H127:H186))/STDEV(H127:H186)</f>
        <v>1.44804793660131</v>
      </c>
      <c r="O186" s="10" t="n">
        <f aca="false">IF(COUNT(B186)=0,"",B186-('Signal Analysis'!$C$6+'Signal Analysis'!$C$5*H186))</f>
        <v>-0.240748920005922</v>
      </c>
    </row>
    <row r="187" customFormat="false" ht="15" hidden="false" customHeight="false" outlineLevel="0" collapsed="false">
      <c r="A187" s="8" t="n">
        <v>42594</v>
      </c>
      <c r="B187" s="9" t="n">
        <v>13.9777937172</v>
      </c>
      <c r="C187" s="9" t="n">
        <v>121.830002</v>
      </c>
      <c r="D187" s="9" t="n">
        <v>122.459999</v>
      </c>
      <c r="E187" s="9" t="n">
        <v>121.629997</v>
      </c>
      <c r="F187" s="9" t="n">
        <v>122.190002</v>
      </c>
      <c r="G187" s="9" t="n">
        <v>115.470085</v>
      </c>
      <c r="H187" s="9" t="n">
        <v>115.470085</v>
      </c>
      <c r="I187" s="2" t="str">
        <f aca="false">IF(COUNT(C187:F187)&lt;4,"",IF(OR(D187&lt;MAX(C187,F187)-0.000001,E187&gt;MIN(C187,F187)+0.000001),"FAIL","OK"))</f>
        <v>OK</v>
      </c>
      <c r="J187" s="10" t="n">
        <f aca="false">IF(COUNT(F187,G187)&lt;2,"",G187/F187)</f>
        <v>0.945004362959254</v>
      </c>
      <c r="K187" s="10" t="n">
        <f aca="false">H187/H186-1</f>
        <v>0.00098306398930581</v>
      </c>
      <c r="L187" s="10" t="n">
        <f aca="false">H192/H187-1</f>
        <v>0.00613786679034667</v>
      </c>
      <c r="M187" s="10" t="n">
        <f aca="false">IF(COUNT(B128:B187)&lt;60,"",(B187-AVERAGE(B128:B187))/STDEV(B128:B187))</f>
        <v>0.603547435970603</v>
      </c>
      <c r="N187" s="10" t="n">
        <f aca="false">(H187-AVERAGE(H128:H187))/STDEV(H128:H187)</f>
        <v>1.43989635708565</v>
      </c>
      <c r="O187" s="10" t="n">
        <f aca="false">IF(COUNT(B187)=0,"",B187-('Signal Analysis'!$C$6+'Signal Analysis'!$C$5*H187))</f>
        <v>-0.0198895948870703</v>
      </c>
    </row>
    <row r="188" customFormat="false" ht="15" hidden="false" customHeight="false" outlineLevel="0" collapsed="false">
      <c r="A188" s="8" t="n">
        <v>42597</v>
      </c>
      <c r="B188" s="9" t="n">
        <v>13.38380064</v>
      </c>
      <c r="C188" s="9" t="n">
        <v>122.459999</v>
      </c>
      <c r="D188" s="9" t="n">
        <v>123.690002</v>
      </c>
      <c r="E188" s="9" t="n">
        <v>122.43</v>
      </c>
      <c r="F188" s="9" t="n">
        <v>123.400002</v>
      </c>
      <c r="G188" s="9" t="n">
        <v>116.613541</v>
      </c>
      <c r="H188" s="9" t="n">
        <v>116.613541</v>
      </c>
      <c r="I188" s="2" t="str">
        <f aca="false">IF(COUNT(C188:F188)&lt;4,"",IF(OR(D188&lt;MAX(C188,F188)-0.000001,E188&gt;MIN(C188,F188)+0.000001),"FAIL","OK"))</f>
        <v>OK</v>
      </c>
      <c r="J188" s="10" t="n">
        <f aca="false">IF(COUNT(F188,G188)&lt;2,"",G188/F188)</f>
        <v>0.945004368800578</v>
      </c>
      <c r="K188" s="10" t="n">
        <f aca="false">H188/H187-1</f>
        <v>0.00990261676866355</v>
      </c>
      <c r="L188" s="10" t="n">
        <f aca="false">H193/H188-1</f>
        <v>-0.00145870709817475</v>
      </c>
      <c r="M188" s="10" t="n">
        <f aca="false">IF(COUNT(B129:B188)&lt;60,"",(B188-AVERAGE(B129:B188))/STDEV(B129:B188))</f>
        <v>0.0217125684417831</v>
      </c>
      <c r="N188" s="10" t="n">
        <f aca="false">(H188-AVERAGE(H129:H188))/STDEV(H129:H188)</f>
        <v>1.71248792989406</v>
      </c>
      <c r="O188" s="10" t="n">
        <f aca="false">IF(COUNT(B188)=0,"",B188-('Signal Analysis'!$C$6+'Signal Analysis'!$C$5*H188))</f>
        <v>-0.770298794322306</v>
      </c>
    </row>
    <row r="189" customFormat="false" ht="15" hidden="false" customHeight="false" outlineLevel="0" collapsed="false">
      <c r="A189" s="8" t="n">
        <v>42598</v>
      </c>
      <c r="B189" s="9" t="n">
        <v>13.80204441</v>
      </c>
      <c r="C189" s="9" t="n">
        <v>123.080002</v>
      </c>
      <c r="D189" s="9" t="n">
        <v>123.120003</v>
      </c>
      <c r="E189" s="9" t="n">
        <v>122.260002</v>
      </c>
      <c r="F189" s="9" t="n">
        <v>122.400002</v>
      </c>
      <c r="G189" s="9" t="n">
        <v>115.668533</v>
      </c>
      <c r="H189" s="9" t="n">
        <v>115.668533</v>
      </c>
      <c r="I189" s="2" t="str">
        <f aca="false">IF(COUNT(C189:F189)&lt;4,"",IF(OR(D189&lt;MAX(C189,F189)-0.000001,E189&gt;MIN(C189,F189)+0.000001),"FAIL","OK"))</f>
        <v>OK</v>
      </c>
      <c r="J189" s="10" t="n">
        <f aca="false">IF(COUNT(F189,G189)&lt;2,"",G189/F189)</f>
        <v>0.945004339133916</v>
      </c>
      <c r="K189" s="10" t="n">
        <f aca="false">H189/H188-1</f>
        <v>-0.00810375872215385</v>
      </c>
      <c r="L189" s="10" t="n">
        <f aca="false">H194/H189-1</f>
        <v>0.0137255047576337</v>
      </c>
      <c r="M189" s="10" t="n">
        <f aca="false">IF(COUNT(B130:B189)&lt;60,"",(B189-AVERAGE(B130:B189))/STDEV(B130:B189))</f>
        <v>0.414308961869293</v>
      </c>
      <c r="N189" s="10" t="n">
        <f aca="false">(H189-AVERAGE(H130:H189))/STDEV(H130:H189)</f>
        <v>1.41077029829436</v>
      </c>
      <c r="O189" s="10" t="n">
        <f aca="false">IF(COUNT(B189)=0,"",B189-('Signal Analysis'!$C$6+'Signal Analysis'!$C$5*H189))</f>
        <v>-0.222785085783984</v>
      </c>
    </row>
    <row r="190" customFormat="false" ht="15" hidden="false" customHeight="false" outlineLevel="0" collapsed="false">
      <c r="A190" s="8" t="n">
        <v>42599</v>
      </c>
      <c r="B190" s="9" t="n">
        <v>14.2526765664</v>
      </c>
      <c r="C190" s="9" t="n">
        <v>122.440002</v>
      </c>
      <c r="D190" s="9" t="n">
        <v>122.5</v>
      </c>
      <c r="E190" s="9" t="n">
        <v>121.330002</v>
      </c>
      <c r="F190" s="9" t="n">
        <v>122.040001</v>
      </c>
      <c r="G190" s="9" t="n">
        <v>115.328331</v>
      </c>
      <c r="H190" s="9" t="n">
        <v>115.328331</v>
      </c>
      <c r="I190" s="2" t="str">
        <f aca="false">IF(COUNT(C190:F190)&lt;4,"",IF(OR(D190&lt;MAX(C190,F190)-0.000001,E190&gt;MIN(C190,F190)+0.000001),"FAIL","OK"))</f>
        <v>OK</v>
      </c>
      <c r="J190" s="10" t="n">
        <f aca="false">IF(COUNT(F190,G190)&lt;2,"",G190/F190)</f>
        <v>0.94500434328905</v>
      </c>
      <c r="K190" s="10" t="n">
        <f aca="false">H190/H189-1</f>
        <v>-0.00294118020844958</v>
      </c>
      <c r="L190" s="10" t="n">
        <f aca="false">H195/H190-1</f>
        <v>0.00843988629298709</v>
      </c>
      <c r="M190" s="10" t="n">
        <f aca="false">IF(COUNT(B131:B190)&lt;60,"",(B190-AVERAGE(B131:B190))/STDEV(B131:B190))</f>
        <v>0.82223774328282</v>
      </c>
      <c r="N190" s="10" t="n">
        <f aca="false">(H190-AVERAGE(H131:H190))/STDEV(H131:H190)</f>
        <v>1.28328064813811</v>
      </c>
      <c r="O190" s="10" t="n">
        <f aca="false">IF(COUNT(B190)=0,"",B190-('Signal Analysis'!$C$6+'Signal Analysis'!$C$5*H190))</f>
        <v>0.274384128112473</v>
      </c>
    </row>
    <row r="191" customFormat="false" ht="15" hidden="false" customHeight="false" outlineLevel="0" collapsed="false">
      <c r="A191" s="8" t="n">
        <v>42600</v>
      </c>
      <c r="B191" s="9" t="n">
        <v>14.07073704</v>
      </c>
      <c r="C191" s="9" t="n">
        <v>122.080002</v>
      </c>
      <c r="D191" s="9" t="n">
        <v>122.970001</v>
      </c>
      <c r="E191" s="9" t="n">
        <v>122.040001</v>
      </c>
      <c r="F191" s="9" t="n">
        <v>122.940002</v>
      </c>
      <c r="G191" s="9" t="n">
        <v>116.178825</v>
      </c>
      <c r="H191" s="9" t="n">
        <v>116.178825</v>
      </c>
      <c r="I191" s="2" t="str">
        <f aca="false">IF(COUNT(C191:F191)&lt;4,"",IF(OR(D191&lt;MAX(C191,F191)-0.000001,E191&gt;MIN(C191,F191)+0.000001),"FAIL","OK"))</f>
        <v>OK</v>
      </c>
      <c r="J191" s="10" t="n">
        <f aca="false">IF(COUNT(F191,G191)&lt;2,"",G191/F191)</f>
        <v>0.945004255002371</v>
      </c>
      <c r="K191" s="10" t="n">
        <f aca="false">H191/H190-1</f>
        <v>0.00737454528844261</v>
      </c>
      <c r="L191" s="10" t="n">
        <f aca="false">H196/H191-1</f>
        <v>0.00300956736307145</v>
      </c>
      <c r="M191" s="10" t="n">
        <f aca="false">IF(COUNT(B132:B191)&lt;60,"",(B191-AVERAGE(B132:B191))/STDEV(B132:B191))</f>
        <v>0.628360369867823</v>
      </c>
      <c r="N191" s="10" t="n">
        <f aca="false">(H191-AVERAGE(H132:H191))/STDEV(H132:H191)</f>
        <v>1.47226110917304</v>
      </c>
      <c r="O191" s="10" t="n">
        <f aca="false">IF(COUNT(B191)=0,"",B191-('Signal Analysis'!$C$6+'Signal Analysis'!$C$5*H191))</f>
        <v>-0.0238965373119697</v>
      </c>
    </row>
    <row r="192" customFormat="false" ht="15" hidden="false" customHeight="false" outlineLevel="0" collapsed="false">
      <c r="A192" s="8" t="n">
        <v>42601</v>
      </c>
      <c r="B192" s="9" t="n">
        <v>14.3748887604</v>
      </c>
      <c r="C192" s="9" t="n">
        <v>122.769997</v>
      </c>
      <c r="D192" s="9" t="n">
        <v>123.07</v>
      </c>
      <c r="E192" s="9" t="n">
        <v>122.279999</v>
      </c>
      <c r="F192" s="9" t="n">
        <v>122.940002</v>
      </c>
      <c r="G192" s="9" t="n">
        <v>116.178825</v>
      </c>
      <c r="H192" s="9" t="n">
        <v>116.178825</v>
      </c>
      <c r="I192" s="2" t="str">
        <f aca="false">IF(COUNT(C192:F192)&lt;4,"",IF(OR(D192&lt;MAX(C192,F192)-0.000001,E192&gt;MIN(C192,F192)+0.000001),"FAIL","OK"))</f>
        <v>OK</v>
      </c>
      <c r="J192" s="10" t="n">
        <f aca="false">IF(COUNT(F192,G192)&lt;2,"",G192/F192)</f>
        <v>0.945004255002371</v>
      </c>
      <c r="K192" s="10" t="n">
        <f aca="false">H192/H191-1</f>
        <v>0</v>
      </c>
      <c r="L192" s="10" t="n">
        <f aca="false">H197/H192-1</f>
        <v>0.000976047055046392</v>
      </c>
      <c r="M192" s="10" t="n">
        <f aca="false">IF(COUNT(B133:B192)&lt;60,"",(B192-AVERAGE(B133:B192))/STDEV(B133:B192))</f>
        <v>0.888682281821119</v>
      </c>
      <c r="N192" s="10" t="n">
        <f aca="false">(H192-AVERAGE(H133:H192))/STDEV(H133:H192)</f>
        <v>1.42034856493632</v>
      </c>
      <c r="O192" s="10" t="n">
        <f aca="false">IF(COUNT(B192)=0,"",B192-('Signal Analysis'!$C$6+'Signal Analysis'!$C$5*H192))</f>
        <v>0.28025518308803</v>
      </c>
    </row>
    <row r="193" customFormat="false" ht="15" hidden="false" customHeight="false" outlineLevel="0" collapsed="false">
      <c r="A193" s="8" t="n">
        <v>42604</v>
      </c>
      <c r="B193" s="9" t="n">
        <v>14.4029192628</v>
      </c>
      <c r="C193" s="9" t="n">
        <v>122.68</v>
      </c>
      <c r="D193" s="9" t="n">
        <v>123.339996</v>
      </c>
      <c r="E193" s="9" t="n">
        <v>122.330002</v>
      </c>
      <c r="F193" s="9" t="n">
        <v>123.220001</v>
      </c>
      <c r="G193" s="9" t="n">
        <v>116.443436</v>
      </c>
      <c r="H193" s="9" t="n">
        <v>116.443436</v>
      </c>
      <c r="I193" s="2" t="str">
        <f aca="false">IF(COUNT(C193:F193)&lt;4,"",IF(OR(D193&lt;MAX(C193,F193)-0.000001,E193&gt;MIN(C193,F193)+0.000001),"FAIL","OK"))</f>
        <v>OK</v>
      </c>
      <c r="J193" s="10" t="n">
        <f aca="false">IF(COUNT(F193,G193)&lt;2,"",G193/F193)</f>
        <v>0.945004342273946</v>
      </c>
      <c r="K193" s="10" t="n">
        <f aca="false">H193/H192-1</f>
        <v>0.00227761814599181</v>
      </c>
      <c r="L193" s="10" t="n">
        <f aca="false">H198/H193-1</f>
        <v>0.0038954364074244</v>
      </c>
      <c r="M193" s="10" t="n">
        <f aca="false">IF(COUNT(B134:B193)&lt;60,"",(B193-AVERAGE(B134:B193))/STDEV(B134:B193))</f>
        <v>0.89035809348067</v>
      </c>
      <c r="N193" s="10" t="n">
        <f aca="false">(H193-AVERAGE(H134:H193))/STDEV(H134:H193)</f>
        <v>1.4427719671663</v>
      </c>
      <c r="O193" s="10" t="n">
        <f aca="false">IF(COUNT(B193)=0,"",B193-('Signal Analysis'!$C$6+'Signal Analysis'!$C$5*H193))</f>
        <v>0.272088904395632</v>
      </c>
    </row>
    <row r="194" customFormat="false" ht="15" hidden="false" customHeight="false" outlineLevel="0" collapsed="false">
      <c r="A194" s="8" t="n">
        <v>42605</v>
      </c>
      <c r="B194" s="9" t="n">
        <v>14.0946171852</v>
      </c>
      <c r="C194" s="9" t="n">
        <v>123.610001</v>
      </c>
      <c r="D194" s="9" t="n">
        <v>124.459999</v>
      </c>
      <c r="E194" s="9" t="n">
        <v>123.610001</v>
      </c>
      <c r="F194" s="9" t="n">
        <v>124.080002</v>
      </c>
      <c r="G194" s="9" t="n">
        <v>117.256142</v>
      </c>
      <c r="H194" s="9" t="n">
        <v>117.256142</v>
      </c>
      <c r="I194" s="2" t="str">
        <f aca="false">IF(COUNT(C194:F194)&lt;4,"",IF(OR(D194&lt;MAX(C194,F194)-0.000001,E194&gt;MIN(C194,F194)+0.000001),"FAIL","OK"))</f>
        <v>OK</v>
      </c>
      <c r="J194" s="10" t="n">
        <f aca="false">IF(COUNT(F194,G194)&lt;2,"",G194/F194)</f>
        <v>0.945004352917403</v>
      </c>
      <c r="K194" s="10" t="n">
        <f aca="false">H194/H193-1</f>
        <v>0.00697940586363322</v>
      </c>
      <c r="L194" s="10" t="n">
        <f aca="false">H199/H194-1</f>
        <v>-0.00120899423758969</v>
      </c>
      <c r="M194" s="10" t="n">
        <f aca="false">IF(COUNT(B135:B194)&lt;60,"",(B194-AVERAGE(B135:B194))/STDEV(B135:B194))</f>
        <v>0.579311559367951</v>
      </c>
      <c r="N194" s="10" t="n">
        <f aca="false">(H194-AVERAGE(H135:H194))/STDEV(H135:H194)</f>
        <v>1.60388749096086</v>
      </c>
      <c r="O194" s="10" t="n">
        <f aca="false">IF(COUNT(B194)=0,"",B194-('Signal Analysis'!$C$6+'Signal Analysis'!$C$5*H194))</f>
        <v>-0.147385199969985</v>
      </c>
    </row>
    <row r="195" customFormat="false" ht="15" hidden="false" customHeight="false" outlineLevel="0" collapsed="false">
      <c r="A195" s="8" t="n">
        <v>42606</v>
      </c>
      <c r="B195" s="9" t="n">
        <v>14.1679205208</v>
      </c>
      <c r="C195" s="9" t="n">
        <v>123.940002</v>
      </c>
      <c r="D195" s="9" t="n">
        <v>124.25</v>
      </c>
      <c r="E195" s="9" t="n">
        <v>122.769997</v>
      </c>
      <c r="F195" s="9" t="n">
        <v>123.07</v>
      </c>
      <c r="G195" s="9" t="n">
        <v>116.301689</v>
      </c>
      <c r="H195" s="9" t="n">
        <v>116.301689</v>
      </c>
      <c r="I195" s="2" t="str">
        <f aca="false">IF(COUNT(C195:F195)&lt;4,"",IF(OR(D195&lt;MAX(C195,F195)-0.000001,E195&gt;MIN(C195,F195)+0.000001),"FAIL","OK"))</f>
        <v>OK</v>
      </c>
      <c r="J195" s="10" t="n">
        <f aca="false">IF(COUNT(F195,G195)&lt;2,"",G195/F195)</f>
        <v>0.945004379621354</v>
      </c>
      <c r="K195" s="10" t="n">
        <f aca="false">H195/H194-1</f>
        <v>-0.00813989769508194</v>
      </c>
      <c r="L195" s="10" t="n">
        <f aca="false">H200/H195-1</f>
        <v>0.00129999831730743</v>
      </c>
      <c r="M195" s="10" t="n">
        <f aca="false">IF(COUNT(B136:B195)&lt;60,"",(B195-AVERAGE(B136:B195))/STDEV(B136:B195))</f>
        <v>0.629961143602537</v>
      </c>
      <c r="N195" s="10" t="n">
        <f aca="false">(H195-AVERAGE(H136:H195))/STDEV(H136:H195)</f>
        <v>1.29266330787488</v>
      </c>
      <c r="O195" s="10" t="n">
        <f aca="false">IF(COUNT(B195)=0,"",B195-('Signal Analysis'!$C$6+'Signal Analysis'!$C$5*H195))</f>
        <v>0.0564800786481854</v>
      </c>
    </row>
    <row r="196" customFormat="false" ht="15" hidden="false" customHeight="false" outlineLevel="0" collapsed="false">
      <c r="A196" s="8" t="n">
        <v>42607</v>
      </c>
      <c r="B196" s="9" t="n">
        <v>13.491576576</v>
      </c>
      <c r="C196" s="9" t="n">
        <v>122.620003</v>
      </c>
      <c r="D196" s="9" t="n">
        <v>123.690002</v>
      </c>
      <c r="E196" s="9" t="n">
        <v>122.610001</v>
      </c>
      <c r="F196" s="9" t="n">
        <v>123.309998</v>
      </c>
      <c r="G196" s="9" t="n">
        <v>116.528473</v>
      </c>
      <c r="H196" s="9" t="n">
        <v>116.528473</v>
      </c>
      <c r="I196" s="2" t="str">
        <f aca="false">IF(COUNT(C196:F196)&lt;4,"",IF(OR(D196&lt;MAX(C196,F196)-0.000001,E196&gt;MIN(C196,F196)+0.000001),"FAIL","OK"))</f>
        <v>OK</v>
      </c>
      <c r="J196" s="10" t="n">
        <f aca="false">IF(COUNT(F196,G196)&lt;2,"",G196/F196)</f>
        <v>0.94500425667025</v>
      </c>
      <c r="K196" s="10" t="n">
        <f aca="false">H196/H195-1</f>
        <v>0.00194996308265138</v>
      </c>
      <c r="L196" s="10" t="n">
        <f aca="false">H201/H196-1</f>
        <v>8.11818756090155E-005</v>
      </c>
      <c r="M196" s="10" t="n">
        <f aca="false">IF(COUNT(B137:B196)&lt;60,"",(B196-AVERAGE(B137:B196))/STDEV(B137:B196))</f>
        <v>-0.0214455962786109</v>
      </c>
      <c r="N196" s="10" t="n">
        <f aca="false">(H196-AVERAGE(H137:H196))/STDEV(H137:H196)</f>
        <v>1.30671191624382</v>
      </c>
      <c r="O196" s="10" t="n">
        <f aca="false">IF(COUNT(B196)=0,"",B196-('Signal Analysis'!$C$6+'Signal Analysis'!$C$5*H196))</f>
        <v>-0.650886200080707</v>
      </c>
    </row>
    <row r="197" customFormat="false" ht="15" hidden="false" customHeight="false" outlineLevel="0" collapsed="false">
      <c r="A197" s="8" t="n">
        <v>42608</v>
      </c>
      <c r="B197" s="9" t="n">
        <v>14.1140891772</v>
      </c>
      <c r="C197" s="9" t="n">
        <v>123.449997</v>
      </c>
      <c r="D197" s="9" t="n">
        <v>124.410004</v>
      </c>
      <c r="E197" s="9" t="n">
        <v>122.300003</v>
      </c>
      <c r="F197" s="9" t="n">
        <v>123.059998</v>
      </c>
      <c r="G197" s="9" t="n">
        <v>116.292221</v>
      </c>
      <c r="H197" s="9" t="n">
        <v>116.292221</v>
      </c>
      <c r="I197" s="2" t="str">
        <f aca="false">IF(COUNT(C197:F197)&lt;4,"",IF(OR(D197&lt;MAX(C197,F197)-0.000001,E197&gt;MIN(C197,F197)+0.000001),"FAIL","OK"))</f>
        <v>OK</v>
      </c>
      <c r="J197" s="10" t="n">
        <f aca="false">IF(COUNT(F197,G197)&lt;2,"",G197/F197)</f>
        <v>0.945004249065566</v>
      </c>
      <c r="K197" s="10" t="n">
        <f aca="false">H197/H196-1</f>
        <v>-0.00202741865500977</v>
      </c>
      <c r="L197" s="10" t="n">
        <f aca="false">H202/H197-1</f>
        <v>0.0117830495300284</v>
      </c>
      <c r="M197" s="10" t="n">
        <f aca="false">IF(COUNT(B138:B197)&lt;60,"",(B197-AVERAGE(B138:B197))/STDEV(B138:B197))</f>
        <v>0.564632447320563</v>
      </c>
      <c r="N197" s="10" t="n">
        <f aca="false">(H197-AVERAGE(H138:H197))/STDEV(H138:H197)</f>
        <v>1.20044018537912</v>
      </c>
      <c r="O197" s="10" t="n">
        <f aca="false">IF(COUNT(B197)=0,"",B197-('Signal Analysis'!$C$6+'Signal Analysis'!$C$5*H197))</f>
        <v>0.00394388575387517</v>
      </c>
    </row>
    <row r="198" customFormat="false" ht="15" hidden="false" customHeight="false" outlineLevel="0" collapsed="false">
      <c r="A198" s="8" t="n">
        <v>42611</v>
      </c>
      <c r="B198" s="9" t="n">
        <v>14.1243974796</v>
      </c>
      <c r="C198" s="9" t="n">
        <v>123.269997</v>
      </c>
      <c r="D198" s="9" t="n">
        <v>124.169998</v>
      </c>
      <c r="E198" s="9" t="n">
        <v>123.239998</v>
      </c>
      <c r="F198" s="9" t="n">
        <v>123.699997</v>
      </c>
      <c r="G198" s="9" t="n">
        <v>116.897034</v>
      </c>
      <c r="H198" s="9" t="n">
        <v>116.897034</v>
      </c>
      <c r="I198" s="2" t="str">
        <f aca="false">IF(COUNT(C198:F198)&lt;4,"",IF(OR(D198&lt;MAX(C198,F198)-0.000001,E198&gt;MIN(C198,F198)+0.000001),"FAIL","OK"))</f>
        <v>OK</v>
      </c>
      <c r="J198" s="10" t="n">
        <f aca="false">IF(COUNT(F198,G198)&lt;2,"",G198/F198)</f>
        <v>0.945004339814172</v>
      </c>
      <c r="K198" s="10" t="n">
        <f aca="false">H198/H197-1</f>
        <v>0.00520080358599406</v>
      </c>
      <c r="L198" s="10" t="n">
        <f aca="false">H203/H198-1</f>
        <v>0.00751811205064445</v>
      </c>
      <c r="M198" s="10" t="n">
        <f aca="false">IF(COUNT(B139:B198)&lt;60,"",(B198-AVERAGE(B139:B198))/STDEV(B139:B198))</f>
        <v>0.555830659897569</v>
      </c>
      <c r="N198" s="10" t="n">
        <f aca="false">(H198-AVERAGE(H139:H198))/STDEV(H139:H198)</f>
        <v>1.31469759412492</v>
      </c>
      <c r="O198" s="10" t="n">
        <f aca="false">IF(COUNT(B198)=0,"",B198-('Signal Analysis'!$C$6+'Signal Analysis'!$C$5*H198))</f>
        <v>-0.0684816504349826</v>
      </c>
    </row>
    <row r="199" customFormat="false" ht="15" hidden="false" customHeight="false" outlineLevel="0" collapsed="false">
      <c r="A199" s="8" t="n">
        <v>42612</v>
      </c>
      <c r="B199" s="9" t="n">
        <v>13.8371097648</v>
      </c>
      <c r="C199" s="9" t="n">
        <v>123.830002</v>
      </c>
      <c r="D199" s="9" t="n">
        <v>124.169998</v>
      </c>
      <c r="E199" s="9" t="n">
        <v>123.379997</v>
      </c>
      <c r="F199" s="9" t="n">
        <v>123.93</v>
      </c>
      <c r="G199" s="9" t="n">
        <v>117.11438</v>
      </c>
      <c r="H199" s="9" t="n">
        <v>117.11438</v>
      </c>
      <c r="I199" s="2" t="str">
        <f aca="false">IF(COUNT(C199:F199)&lt;4,"",IF(OR(D199&lt;MAX(C199,F199)-0.000001,E199&gt;MIN(C199,F199)+0.000001),"FAIL","OK"))</f>
        <v>OK</v>
      </c>
      <c r="J199" s="10" t="n">
        <f aca="false">IF(COUNT(F199,G199)&lt;2,"",G199/F199)</f>
        <v>0.945004276607762</v>
      </c>
      <c r="K199" s="10" t="n">
        <f aca="false">H199/H198-1</f>
        <v>0.00185929439407317</v>
      </c>
      <c r="L199" s="10" t="n">
        <f aca="false">H204/H199-1</f>
        <v>0.0119423421786462</v>
      </c>
      <c r="M199" s="10" t="n">
        <f aca="false">IF(COUNT(B140:B199)&lt;60,"",(B199-AVERAGE(B140:B199))/STDEV(B140:B199))</f>
        <v>0.281229300613259</v>
      </c>
      <c r="N199" s="10" t="n">
        <f aca="false">(H199-AVERAGE(H140:H199))/STDEV(H140:H199)</f>
        <v>1.32401531672013</v>
      </c>
      <c r="O199" s="10" t="n">
        <f aca="false">IF(COUNT(B199)=0,"",B199-('Signal Analysis'!$C$6+'Signal Analysis'!$C$5*H199))</f>
        <v>-0.385500652231018</v>
      </c>
    </row>
    <row r="200" customFormat="false" ht="15" hidden="false" customHeight="false" outlineLevel="0" collapsed="false">
      <c r="A200" s="8" t="n">
        <v>42613</v>
      </c>
      <c r="B200" s="9" t="n">
        <v>14.5570986444</v>
      </c>
      <c r="C200" s="9" t="n">
        <v>123.779999</v>
      </c>
      <c r="D200" s="9" t="n">
        <v>123.889999</v>
      </c>
      <c r="E200" s="9" t="n">
        <v>122.550003</v>
      </c>
      <c r="F200" s="9" t="n">
        <v>123.230003</v>
      </c>
      <c r="G200" s="9" t="n">
        <v>116.452881</v>
      </c>
      <c r="H200" s="9" t="n">
        <v>116.452881</v>
      </c>
      <c r="I200" s="2" t="str">
        <f aca="false">IF(COUNT(C200:F200)&lt;4,"",IF(OR(D200&lt;MAX(C200,F200)-0.000001,E200&gt;MIN(C200,F200)+0.000001),"FAIL","OK"))</f>
        <v>OK</v>
      </c>
      <c r="J200" s="10" t="n">
        <f aca="false">IF(COUNT(F200,G200)&lt;2,"",G200/F200)</f>
        <v>0.945004286009796</v>
      </c>
      <c r="K200" s="10" t="n">
        <f aca="false">H200/H199-1</f>
        <v>-0.00564831577471525</v>
      </c>
      <c r="L200" s="10" t="n">
        <f aca="false">H205/H200-1</f>
        <v>0.0156617164327604</v>
      </c>
      <c r="M200" s="10" t="n">
        <f aca="false">IF(COUNT(B141:B200)&lt;60,"",(B200-AVERAGE(B141:B200))/STDEV(B141:B200))</f>
        <v>0.930418933803359</v>
      </c>
      <c r="N200" s="10" t="n">
        <f aca="false">(H200-AVERAGE(H141:H200))/STDEV(H141:H200)</f>
        <v>1.11329867757647</v>
      </c>
      <c r="O200" s="10" t="n">
        <f aca="false">IF(COUNT(B200)=0,"",B200-('Signal Analysis'!$C$6+'Signal Analysis'!$C$5*H200))</f>
        <v>0.424976281515782</v>
      </c>
    </row>
    <row r="201" customFormat="false" ht="15" hidden="false" customHeight="false" outlineLevel="0" collapsed="false">
      <c r="A201" s="8" t="n">
        <v>42614</v>
      </c>
      <c r="B201" s="9" t="n">
        <v>14.5059912</v>
      </c>
      <c r="C201" s="9" t="n">
        <v>123.339996</v>
      </c>
      <c r="D201" s="9" t="n">
        <v>123.629997</v>
      </c>
      <c r="E201" s="9" t="n">
        <v>122.019997</v>
      </c>
      <c r="F201" s="9" t="n">
        <v>123.32</v>
      </c>
      <c r="G201" s="9" t="n">
        <v>116.537933</v>
      </c>
      <c r="H201" s="9" t="n">
        <v>116.537933</v>
      </c>
      <c r="I201" s="2" t="str">
        <f aca="false">IF(COUNT(C201:F201)&lt;4,"",IF(OR(D201&lt;MAX(C201,F201)-0.000001,E201&gt;MIN(C201,F201)+0.000001),"FAIL","OK"))</f>
        <v>OK</v>
      </c>
      <c r="J201" s="10" t="n">
        <f aca="false">IF(COUNT(F201,G201)&lt;2,"",G201/F201)</f>
        <v>0.945004322088875</v>
      </c>
      <c r="K201" s="10" t="n">
        <f aca="false">H201/H200-1</f>
        <v>0.000730355481716183</v>
      </c>
      <c r="L201" s="10" t="n">
        <f aca="false">H206/H201-1</f>
        <v>-0.016785616062025</v>
      </c>
      <c r="M201" s="10" t="n">
        <f aca="false">IF(COUNT(B142:B201)&lt;60,"",(B201-AVERAGE(B142:B201))/STDEV(B142:B201))</f>
        <v>0.853137138123848</v>
      </c>
      <c r="N201" s="10" t="n">
        <f aca="false">(H201-AVERAGE(H142:H201))/STDEV(H142:H201)</f>
        <v>1.10153909767206</v>
      </c>
      <c r="O201" s="10" t="n">
        <f aca="false">IF(COUNT(B201)=0,"",B201-('Signal Analysis'!$C$6+'Signal Analysis'!$C$5*H201))</f>
        <v>0.362234367553029</v>
      </c>
    </row>
    <row r="202" customFormat="false" ht="15" hidden="false" customHeight="false" outlineLevel="0" collapsed="false">
      <c r="A202" s="8" t="n">
        <v>42615</v>
      </c>
      <c r="B202" s="9" t="n">
        <v>14.19320796</v>
      </c>
      <c r="C202" s="9" t="n">
        <v>124.010002</v>
      </c>
      <c r="D202" s="9" t="n">
        <v>124.529999</v>
      </c>
      <c r="E202" s="9" t="n">
        <v>123.629997</v>
      </c>
      <c r="F202" s="9" t="n">
        <v>124.510002</v>
      </c>
      <c r="G202" s="9" t="n">
        <v>117.662498</v>
      </c>
      <c r="H202" s="9" t="n">
        <v>117.662498</v>
      </c>
      <c r="I202" s="2" t="str">
        <f aca="false">IF(COUNT(C202:F202)&lt;4,"",IF(OR(D202&lt;MAX(C202,F202)-0.000001,E202&gt;MIN(C202,F202)+0.000001),"FAIL","OK"))</f>
        <v>OK</v>
      </c>
      <c r="J202" s="10" t="n">
        <f aca="false">IF(COUNT(F202,G202)&lt;2,"",G202/F202)</f>
        <v>0.945004386073337</v>
      </c>
      <c r="K202" s="10" t="n">
        <f aca="false">H202/H201-1</f>
        <v>0.009649776438029</v>
      </c>
      <c r="L202" s="10" t="n">
        <f aca="false">H207/H202-1</f>
        <v>-0.0126095657088633</v>
      </c>
      <c r="M202" s="10" t="n">
        <f aca="false">IF(COUNT(B143:B202)&lt;60,"",(B202-AVERAGE(B143:B202))/STDEV(B143:B202))</f>
        <v>0.534053935007893</v>
      </c>
      <c r="N202" s="10" t="n">
        <f aca="false">(H202-AVERAGE(H143:H202))/STDEV(H143:H202)</f>
        <v>1.34238868049669</v>
      </c>
      <c r="O202" s="10" t="n">
        <f aca="false">IF(COUNT(B202)=0,"",B202-('Signal Analysis'!$C$6+'Signal Analysis'!$C$5*H202))</f>
        <v>-0.104380848930079</v>
      </c>
    </row>
    <row r="203" customFormat="false" ht="15" hidden="false" customHeight="false" outlineLevel="0" collapsed="false">
      <c r="A203" s="8" t="n">
        <v>42619</v>
      </c>
      <c r="B203" s="9" t="n">
        <v>13.6123145136</v>
      </c>
      <c r="C203" s="9" t="n">
        <v>124.919998</v>
      </c>
      <c r="D203" s="9" t="n">
        <v>124.970001</v>
      </c>
      <c r="E203" s="9" t="n">
        <v>123.970001</v>
      </c>
      <c r="F203" s="9" t="n">
        <v>124.629997</v>
      </c>
      <c r="G203" s="9" t="n">
        <v>117.775879</v>
      </c>
      <c r="H203" s="9" t="n">
        <v>117.775879</v>
      </c>
      <c r="I203" s="2" t="str">
        <f aca="false">IF(COUNT(C203:F203)&lt;4,"",IF(OR(D203&lt;MAX(C203,F203)-0.000001,E203&gt;MIN(C203,F203)+0.000001),"FAIL","OK"))</f>
        <v>OK</v>
      </c>
      <c r="J203" s="10" t="n">
        <f aca="false">IF(COUNT(F203,G203)&lt;2,"",G203/F203)</f>
        <v>0.945004267311344</v>
      </c>
      <c r="K203" s="10" t="n">
        <f aca="false">H203/H202-1</f>
        <v>0.000963612042300888</v>
      </c>
      <c r="L203" s="10" t="n">
        <f aca="false">H208/H203-1</f>
        <v>-0.0324961531384538</v>
      </c>
      <c r="M203" s="10" t="n">
        <f aca="false">IF(COUNT(B144:B203)&lt;60,"",(B203-AVERAGE(B144:B203))/STDEV(B144:B203))</f>
        <v>-0.0309822549907515</v>
      </c>
      <c r="N203" s="10" t="n">
        <f aca="false">(H203-AVERAGE(H144:H203))/STDEV(H144:H203)</f>
        <v>1.32221192613979</v>
      </c>
      <c r="O203" s="10" t="n">
        <f aca="false">IF(COUNT(B203)=0,"",B203-('Signal Analysis'!$C$6+'Signal Analysis'!$C$5*H203))</f>
        <v>-0.700783957577821</v>
      </c>
    </row>
    <row r="204" customFormat="false" ht="15" hidden="false" customHeight="false" outlineLevel="0" collapsed="false">
      <c r="A204" s="8" t="n">
        <v>42620</v>
      </c>
      <c r="B204" s="9" t="n">
        <v>13.941459</v>
      </c>
      <c r="C204" s="9" t="n">
        <v>124.550003</v>
      </c>
      <c r="D204" s="9" t="n">
        <v>125.440002</v>
      </c>
      <c r="E204" s="9" t="n">
        <v>124.480003</v>
      </c>
      <c r="F204" s="9" t="n">
        <v>125.410004</v>
      </c>
      <c r="G204" s="9" t="n">
        <v>118.513</v>
      </c>
      <c r="H204" s="9" t="n">
        <v>118.513</v>
      </c>
      <c r="I204" s="2" t="str">
        <f aca="false">IF(COUNT(C204:F204)&lt;4,"",IF(OR(D204&lt;MAX(C204,F204)-0.000001,E204&gt;MIN(C204,F204)+0.000001),"FAIL","OK"))</f>
        <v>OK</v>
      </c>
      <c r="J204" s="10" t="n">
        <f aca="false">IF(COUNT(F204,G204)&lt;2,"",G204/F204)</f>
        <v>0.945004355473906</v>
      </c>
      <c r="K204" s="10" t="n">
        <f aca="false">H204/H203-1</f>
        <v>0.00625867542877767</v>
      </c>
      <c r="L204" s="10" t="n">
        <f aca="false">H209/H204-1</f>
        <v>-0.0383543915013543</v>
      </c>
      <c r="M204" s="10" t="n">
        <f aca="false">IF(COUNT(B145:B204)&lt;60,"",(B204-AVERAGE(B145:B204))/STDEV(B145:B204))</f>
        <v>0.27223544516448</v>
      </c>
      <c r="N204" s="10" t="n">
        <f aca="false">(H204-AVERAGE(H145:H204))/STDEV(H145:H204)</f>
        <v>1.45387374275144</v>
      </c>
      <c r="O204" s="10" t="n">
        <f aca="false">IF(COUNT(B204)=0,"",B204-('Signal Analysis'!$C$6+'Signal Analysis'!$C$5*H204))</f>
        <v>-0.472472042293942</v>
      </c>
    </row>
    <row r="205" customFormat="false" ht="15" hidden="false" customHeight="false" outlineLevel="0" collapsed="false">
      <c r="A205" s="8" t="n">
        <v>42621</v>
      </c>
      <c r="B205" s="9" t="n">
        <v>14.2207872768</v>
      </c>
      <c r="C205" s="9" t="n">
        <v>125.309998</v>
      </c>
      <c r="D205" s="9" t="n">
        <v>125.410004</v>
      </c>
      <c r="E205" s="9" t="n">
        <v>124.769997</v>
      </c>
      <c r="F205" s="9" t="n">
        <v>125.160004</v>
      </c>
      <c r="G205" s="9" t="n">
        <v>118.276733</v>
      </c>
      <c r="H205" s="9" t="n">
        <v>118.276733</v>
      </c>
      <c r="I205" s="2" t="str">
        <f aca="false">IF(COUNT(C205:F205)&lt;4,"",IF(OR(D205&lt;MAX(C205,F205)-0.000001,E205&gt;MIN(C205,F205)+0.000001),"FAIL","OK"))</f>
        <v>OK</v>
      </c>
      <c r="J205" s="10" t="n">
        <f aca="false">IF(COUNT(F205,G205)&lt;2,"",G205/F205)</f>
        <v>0.94500422834758</v>
      </c>
      <c r="K205" s="10" t="n">
        <f aca="false">H205/H204-1</f>
        <v>-0.00199359563929702</v>
      </c>
      <c r="L205" s="10" t="n">
        <f aca="false">H210/H205-1</f>
        <v>-0.0249279966162067</v>
      </c>
      <c r="M205" s="10" t="n">
        <f aca="false">IF(COUNT(B146:B205)&lt;60,"",(B205-AVERAGE(B146:B205))/STDEV(B146:B205))</f>
        <v>0.515324094520654</v>
      </c>
      <c r="N205" s="10" t="n">
        <f aca="false">(H205-AVERAGE(H146:H205))/STDEV(H146:H205)</f>
        <v>1.34798181876382</v>
      </c>
      <c r="O205" s="10" t="n">
        <f aca="false">IF(COUNT(B205)=0,"",B205-('Signal Analysis'!$C$6+'Signal Analysis'!$C$5*H205))</f>
        <v>-0.160824228972945</v>
      </c>
    </row>
    <row r="206" customFormat="false" ht="15" hidden="false" customHeight="false" outlineLevel="0" collapsed="false">
      <c r="A206" s="8" t="n">
        <v>42622</v>
      </c>
      <c r="B206" s="9" t="n">
        <v>12.992295684</v>
      </c>
      <c r="C206" s="9" t="n">
        <v>124.18</v>
      </c>
      <c r="D206" s="9" t="n">
        <v>124.209999</v>
      </c>
      <c r="E206" s="9" t="n">
        <v>121.209999</v>
      </c>
      <c r="F206" s="9" t="n">
        <v>121.25</v>
      </c>
      <c r="G206" s="9" t="n">
        <v>114.581772</v>
      </c>
      <c r="H206" s="9" t="n">
        <v>114.581772</v>
      </c>
      <c r="I206" s="2" t="str">
        <f aca="false">IF(COUNT(C206:F206)&lt;4,"",IF(OR(D206&lt;MAX(C206,F206)-0.000001,E206&gt;MIN(C206,F206)+0.000001),"FAIL","OK"))</f>
        <v>OK</v>
      </c>
      <c r="J206" s="10" t="n">
        <f aca="false">IF(COUNT(F206,G206)&lt;2,"",G206/F206)</f>
        <v>0.945004305154639</v>
      </c>
      <c r="K206" s="10" t="n">
        <f aca="false">H206/H205-1</f>
        <v>-0.0312399650064733</v>
      </c>
      <c r="L206" s="10" t="n">
        <f aca="false">H211/H206-1</f>
        <v>0.00503093982522795</v>
      </c>
      <c r="M206" s="10" t="n">
        <f aca="false">IF(COUNT(B147:B206)&lt;60,"",(B206-AVERAGE(B147:B206))/STDEV(B147:B206))</f>
        <v>-0.673020149355583</v>
      </c>
      <c r="N206" s="10" t="n">
        <f aca="false">(H206-AVERAGE(H147:H206))/STDEV(H147:H206)</f>
        <v>0.39990058964706</v>
      </c>
      <c r="O206" s="10" t="n">
        <f aca="false">IF(COUNT(B206)=0,"",B206-('Signal Analysis'!$C$6+'Signal Analysis'!$C$5*H206))</f>
        <v>-0.883873136238545</v>
      </c>
    </row>
    <row r="207" customFormat="false" ht="15" hidden="false" customHeight="false" outlineLevel="0" collapsed="false">
      <c r="A207" s="8" t="n">
        <v>42625</v>
      </c>
      <c r="B207" s="9" t="n">
        <v>14.1161877144</v>
      </c>
      <c r="C207" s="9" t="n">
        <v>120.690002</v>
      </c>
      <c r="D207" s="9" t="n">
        <v>122.970001</v>
      </c>
      <c r="E207" s="9" t="n">
        <v>120.580002</v>
      </c>
      <c r="F207" s="9" t="n">
        <v>122.940002</v>
      </c>
      <c r="G207" s="9" t="n">
        <v>116.178825</v>
      </c>
      <c r="H207" s="9" t="n">
        <v>116.178825</v>
      </c>
      <c r="I207" s="2" t="str">
        <f aca="false">IF(COUNT(C207:F207)&lt;4,"",IF(OR(D207&lt;MAX(C207,F207)-0.000001,E207&gt;MIN(C207,F207)+0.000001),"FAIL","OK"))</f>
        <v>OK</v>
      </c>
      <c r="J207" s="10" t="n">
        <f aca="false">IF(COUNT(F207,G207)&lt;2,"",G207/F207)</f>
        <v>0.945004255002371</v>
      </c>
      <c r="K207" s="10" t="n">
        <f aca="false">H207/H206-1</f>
        <v>0.0139381070140896</v>
      </c>
      <c r="L207" s="10" t="n">
        <f aca="false">H212/H207-1</f>
        <v>-0.00219611448127488</v>
      </c>
      <c r="M207" s="10" t="n">
        <f aca="false">IF(COUNT(B148:B207)&lt;60,"",(B207-AVERAGE(B148:B207))/STDEV(B148:B207))</f>
        <v>0.398256330677697</v>
      </c>
      <c r="N207" s="10" t="n">
        <f aca="false">(H207-AVERAGE(H148:H207))/STDEV(H148:H207)</f>
        <v>0.777389524046777</v>
      </c>
      <c r="O207" s="10" t="n">
        <f aca="false">IF(COUNT(B207)=0,"",B207-('Signal Analysis'!$C$6+'Signal Analysis'!$C$5*H207))</f>
        <v>0.0215541370880317</v>
      </c>
    </row>
    <row r="208" customFormat="false" ht="15" hidden="false" customHeight="false" outlineLevel="0" collapsed="false">
      <c r="A208" s="8" t="n">
        <v>42626</v>
      </c>
      <c r="B208" s="9" t="n">
        <v>13.81898712</v>
      </c>
      <c r="C208" s="9" t="n">
        <v>122.059998</v>
      </c>
      <c r="D208" s="9" t="n">
        <v>122.160004</v>
      </c>
      <c r="E208" s="9" t="n">
        <v>119.879997</v>
      </c>
      <c r="F208" s="9" t="n">
        <v>120.580002</v>
      </c>
      <c r="G208" s="9" t="n">
        <v>113.948616</v>
      </c>
      <c r="H208" s="9" t="n">
        <v>113.948616</v>
      </c>
      <c r="I208" s="2" t="str">
        <f aca="false">IF(COUNT(C208:F208)&lt;4,"",IF(OR(D208&lt;MAX(C208,F208)-0.000001,E208&gt;MIN(C208,F208)+0.000001),"FAIL","OK"))</f>
        <v>OK</v>
      </c>
      <c r="J208" s="10" t="n">
        <f aca="false">IF(COUNT(F208,G208)&lt;2,"",G208/F208)</f>
        <v>0.945004263642325</v>
      </c>
      <c r="K208" s="10" t="n">
        <f aca="false">H208/H207-1</f>
        <v>-0.0191963466664429</v>
      </c>
      <c r="L208" s="10" t="n">
        <f aca="false">H213/H208-1</f>
        <v>0.0130204126393252</v>
      </c>
      <c r="M208" s="10" t="n">
        <f aca="false">IF(COUNT(B149:B208)&lt;60,"",(B208-AVERAGE(B149:B208))/STDEV(B149:B208))</f>
        <v>0.104790343740702</v>
      </c>
      <c r="N208" s="10" t="n">
        <f aca="false">(H208-AVERAGE(H149:H208))/STDEV(H149:H208)</f>
        <v>0.180252916102977</v>
      </c>
      <c r="O208" s="10" t="n">
        <f aca="false">IF(COUNT(B208)=0,"",B208-('Signal Analysis'!$C$6+'Signal Analysis'!$C$5*H208))</f>
        <v>0.0294292461292827</v>
      </c>
    </row>
    <row r="209" customFormat="false" ht="15" hidden="false" customHeight="false" outlineLevel="0" collapsed="false">
      <c r="A209" s="8" t="n">
        <v>42627</v>
      </c>
      <c r="B209" s="9" t="n">
        <v>14.4672756384</v>
      </c>
      <c r="C209" s="9" t="n">
        <v>120.769997</v>
      </c>
      <c r="D209" s="9" t="n">
        <v>121.470001</v>
      </c>
      <c r="E209" s="9" t="n">
        <v>120.290001</v>
      </c>
      <c r="F209" s="9" t="n">
        <v>120.599998</v>
      </c>
      <c r="G209" s="9" t="n">
        <v>113.967506</v>
      </c>
      <c r="H209" s="9" t="n">
        <v>113.967506</v>
      </c>
      <c r="I209" s="2" t="str">
        <f aca="false">IF(COUNT(C209:F209)&lt;4,"",IF(OR(D209&lt;MAX(C209,F209)-0.000001,E209&gt;MIN(C209,F209)+0.000001),"FAIL","OK"))</f>
        <v>OK</v>
      </c>
      <c r="J209" s="10" t="n">
        <f aca="false">IF(COUNT(F209,G209)&lt;2,"",G209/F209)</f>
        <v>0.945004211359937</v>
      </c>
      <c r="K209" s="10" t="n">
        <f aca="false">H209/H208-1</f>
        <v>0.000165776475951285</v>
      </c>
      <c r="L209" s="10" t="n">
        <f aca="false">H214/H209-1</f>
        <v>0.0275290134014163</v>
      </c>
      <c r="M209" s="10" t="n">
        <f aca="false">IF(COUNT(B150:B209)&lt;60,"",(B209-AVERAGE(B150:B209))/STDEV(B150:B209))</f>
        <v>0.713870188492985</v>
      </c>
      <c r="N209" s="10" t="n">
        <f aca="false">(H209-AVERAGE(H150:H209))/STDEV(H150:H209)</f>
        <v>0.163043921791919</v>
      </c>
      <c r="O209" s="10" t="n">
        <f aca="false">IF(COUNT(B209)=0,"",B209-('Signal Analysis'!$C$6+'Signal Analysis'!$C$5*H209))</f>
        <v>0.675133755569583</v>
      </c>
    </row>
    <row r="210" customFormat="false" ht="15" hidden="false" customHeight="false" outlineLevel="0" collapsed="false">
      <c r="A210" s="8" t="n">
        <v>42628</v>
      </c>
      <c r="B210" s="9" t="n">
        <v>14.4059477952</v>
      </c>
      <c r="C210" s="9" t="n">
        <v>120.68</v>
      </c>
      <c r="D210" s="9" t="n">
        <v>122.190002</v>
      </c>
      <c r="E210" s="9" t="n">
        <v>120.510002</v>
      </c>
      <c r="F210" s="9" t="n">
        <v>122.040001</v>
      </c>
      <c r="G210" s="9" t="n">
        <v>115.328331</v>
      </c>
      <c r="H210" s="9" t="n">
        <v>115.328331</v>
      </c>
      <c r="I210" s="2" t="str">
        <f aca="false">IF(COUNT(C210:F210)&lt;4,"",IF(OR(D210&lt;MAX(C210,F210)-0.000001,E210&gt;MIN(C210,F210)+0.000001),"FAIL","OK"))</f>
        <v>OK</v>
      </c>
      <c r="J210" s="10" t="n">
        <f aca="false">IF(COUNT(F210,G210)&lt;2,"",G210/F210)</f>
        <v>0.94500434328905</v>
      </c>
      <c r="K210" s="10" t="n">
        <f aca="false">H210/H209-1</f>
        <v>0.0119404648549561</v>
      </c>
      <c r="L210" s="10" t="n">
        <f aca="false">H215/H210-1</f>
        <v>0.0299899770508254</v>
      </c>
      <c r="M210" s="10" t="n">
        <f aca="false">IF(COUNT(B151:B210)&lt;60,"",(B210-AVERAGE(B151:B210))/STDEV(B151:B210))</f>
        <v>0.630567023182285</v>
      </c>
      <c r="N210" s="10" t="n">
        <f aca="false">(H210-AVERAGE(H151:H210))/STDEV(H151:H210)</f>
        <v>0.499654481194462</v>
      </c>
      <c r="O210" s="10" t="n">
        <f aca="false">IF(COUNT(B210)=0,"",B210-('Signal Analysis'!$C$6+'Signal Analysis'!$C$5*H210))</f>
        <v>0.427655356912473</v>
      </c>
    </row>
    <row r="211" customFormat="false" ht="15" hidden="false" customHeight="false" outlineLevel="0" collapsed="false">
      <c r="A211" s="8" t="n">
        <v>42629</v>
      </c>
      <c r="B211" s="9" t="n">
        <v>13.349960766</v>
      </c>
      <c r="C211" s="9" t="n">
        <v>122.040001</v>
      </c>
      <c r="D211" s="9" t="n">
        <v>122.040001</v>
      </c>
      <c r="E211" s="9" t="n">
        <v>121.099998</v>
      </c>
      <c r="F211" s="9" t="n">
        <v>121.860001</v>
      </c>
      <c r="G211" s="9" t="n">
        <v>115.158226</v>
      </c>
      <c r="H211" s="9" t="n">
        <v>115.158226</v>
      </c>
      <c r="I211" s="2" t="str">
        <f aca="false">IF(COUNT(C211:F211)&lt;4,"",IF(OR(D211&lt;MAX(C211,F211)-0.000001,E211&gt;MIN(C211,F211)+0.000001),"FAIL","OK"))</f>
        <v>OK</v>
      </c>
      <c r="J211" s="10" t="n">
        <f aca="false">IF(COUNT(F211,G211)&lt;2,"",G211/F211)</f>
        <v>0.945004308673853</v>
      </c>
      <c r="K211" s="10" t="n">
        <f aca="false">H211/H210-1</f>
        <v>-0.00147496281724568</v>
      </c>
      <c r="L211" s="10" t="n">
        <f aca="false">H216/H211-1</f>
        <v>0.0242081968160919</v>
      </c>
      <c r="M211" s="10" t="n">
        <f aca="false">IF(COUNT(B152:B211)&lt;60,"",(B211-AVERAGE(B152:B211))/STDEV(B152:B211))</f>
        <v>-0.415363007209338</v>
      </c>
      <c r="N211" s="10" t="n">
        <f aca="false">(H211-AVERAGE(H152:H211))/STDEV(H152:H211)</f>
        <v>0.428784562293239</v>
      </c>
      <c r="O211" s="10" t="n">
        <f aca="false">IF(COUNT(B211)=0,"",B211-('Signal Analysis'!$C$6+'Signal Analysis'!$C$5*H211))</f>
        <v>-0.605062596369585</v>
      </c>
    </row>
    <row r="212" customFormat="false" ht="15" hidden="false" customHeight="false" outlineLevel="0" collapsed="false">
      <c r="A212" s="8" t="n">
        <v>42632</v>
      </c>
      <c r="B212" s="9" t="n">
        <v>14.39698743</v>
      </c>
      <c r="C212" s="9" t="n">
        <v>122.32</v>
      </c>
      <c r="D212" s="9" t="n">
        <v>123.550003</v>
      </c>
      <c r="E212" s="9" t="n">
        <v>121.989998</v>
      </c>
      <c r="F212" s="9" t="n">
        <v>122.669998</v>
      </c>
      <c r="G212" s="9" t="n">
        <v>115.923683</v>
      </c>
      <c r="H212" s="9" t="n">
        <v>115.923683</v>
      </c>
      <c r="I212" s="2" t="str">
        <f aca="false">IF(COUNT(C212:F212)&lt;4,"",IF(OR(D212&lt;MAX(C212,F212)-0.000001,E212&gt;MIN(C212,F212)+0.000001),"FAIL","OK"))</f>
        <v>OK</v>
      </c>
      <c r="J212" s="10" t="n">
        <f aca="false">IF(COUNT(F212,G212)&lt;2,"",G212/F212)</f>
        <v>0.945004360397886</v>
      </c>
      <c r="K212" s="10" t="n">
        <f aca="false">H212/H211-1</f>
        <v>0.00664700236003979</v>
      </c>
      <c r="L212" s="10" t="n">
        <f aca="false">H217/H212-1</f>
        <v>0.00734154555803768</v>
      </c>
      <c r="M212" s="10" t="n">
        <f aca="false">IF(COUNT(B153:B212)&lt;60,"",(B212-AVERAGE(B153:B212))/STDEV(B153:B212))</f>
        <v>0.592511200985016</v>
      </c>
      <c r="N212" s="10" t="n">
        <f aca="false">(H212-AVERAGE(H153:H212))/STDEV(H153:H212)</f>
        <v>0.614688894040849</v>
      </c>
      <c r="O212" s="10" t="n">
        <f aca="false">IF(COUNT(B212)=0,"",B212-('Signal Analysis'!$C$6+'Signal Analysis'!$C$5*H212))</f>
        <v>0.337255346282312</v>
      </c>
    </row>
    <row r="213" customFormat="false" ht="15" hidden="false" customHeight="false" outlineLevel="0" collapsed="false">
      <c r="A213" s="8" t="n">
        <v>42633</v>
      </c>
      <c r="B213" s="9" t="n">
        <v>13.8704494824</v>
      </c>
      <c r="C213" s="9" t="n">
        <v>123.199997</v>
      </c>
      <c r="D213" s="9" t="n">
        <v>123.230003</v>
      </c>
      <c r="E213" s="9" t="n">
        <v>122.150002</v>
      </c>
      <c r="F213" s="9" t="n">
        <v>122.150002</v>
      </c>
      <c r="G213" s="9" t="n">
        <v>115.432274</v>
      </c>
      <c r="H213" s="9" t="n">
        <v>115.432274</v>
      </c>
      <c r="I213" s="2" t="str">
        <f aca="false">IF(COUNT(C213:F213)&lt;4,"",IF(OR(D213&lt;MAX(C213,F213)-0.000001,E213&gt;MIN(C213,F213)+0.000001),"FAIL","OK"))</f>
        <v>OK</v>
      </c>
      <c r="J213" s="10" t="n">
        <f aca="false">IF(COUNT(F213,G213)&lt;2,"",G213/F213)</f>
        <v>0.945004274334764</v>
      </c>
      <c r="K213" s="10" t="n">
        <f aca="false">H213/H212-1</f>
        <v>-0.00423907339106877</v>
      </c>
      <c r="L213" s="10" t="n">
        <f aca="false">H218/H213-1</f>
        <v>0.0157344990015529</v>
      </c>
      <c r="M213" s="10" t="n">
        <f aca="false">IF(COUNT(B154:B213)&lt;60,"",(B213-AVERAGE(B154:B213))/STDEV(B154:B213))</f>
        <v>0.0434284601219683</v>
      </c>
      <c r="N213" s="10" t="n">
        <f aca="false">(H213-AVERAGE(H154:H213))/STDEV(H154:H213)</f>
        <v>0.452867092989026</v>
      </c>
      <c r="O213" s="10" t="n">
        <f aca="false">IF(COUNT(B213)=0,"",B213-('Signal Analysis'!$C$6+'Signal Analysis'!$C$5*H213))</f>
        <v>-0.122061571202412</v>
      </c>
    </row>
    <row r="214" customFormat="false" ht="15" hidden="false" customHeight="false" outlineLevel="0" collapsed="false">
      <c r="A214" s="8" t="n">
        <v>42634</v>
      </c>
      <c r="B214" s="9" t="n">
        <v>14.4333581112</v>
      </c>
      <c r="C214" s="9" t="n">
        <v>122.580002</v>
      </c>
      <c r="D214" s="9" t="n">
        <v>123.970001</v>
      </c>
      <c r="E214" s="9" t="n">
        <v>122.099998</v>
      </c>
      <c r="F214" s="9" t="n">
        <v>123.919998</v>
      </c>
      <c r="G214" s="9" t="n">
        <v>117.104919</v>
      </c>
      <c r="H214" s="9" t="n">
        <v>117.104919</v>
      </c>
      <c r="I214" s="2" t="str">
        <f aca="false">IF(COUNT(C214:F214)&lt;4,"",IF(OR(D214&lt;MAX(C214,F214)-0.000001,E214&gt;MIN(C214,F214)+0.000001),"FAIL","OK"))</f>
        <v>OK</v>
      </c>
      <c r="J214" s="10" t="n">
        <f aca="false">IF(COUNT(F214,G214)&lt;2,"",G214/F214)</f>
        <v>0.94500420343777</v>
      </c>
      <c r="K214" s="10" t="n">
        <f aca="false">H214/H213-1</f>
        <v>0.0144902715855706</v>
      </c>
      <c r="L214" s="10" t="n">
        <f aca="false">H219/H214-1</f>
        <v>0.00891403203993524</v>
      </c>
      <c r="M214" s="10" t="n">
        <f aca="false">IF(COUNT(B155:B214)&lt;60,"",(B214-AVERAGE(B155:B214))/STDEV(B155:B214))</f>
        <v>0.594125507650582</v>
      </c>
      <c r="N214" s="10" t="n">
        <f aca="false">(H214-AVERAGE(H155:H214))/STDEV(H155:H214)</f>
        <v>0.955686952438667</v>
      </c>
      <c r="O214" s="10" t="n">
        <f aca="false">IF(COUNT(B214)=0,"",B214-('Signal Analysis'!$C$6+'Signal Analysis'!$C$5*H214))</f>
        <v>0.212041887327675</v>
      </c>
    </row>
    <row r="215" customFormat="false" ht="15" hidden="false" customHeight="false" outlineLevel="0" collapsed="false">
      <c r="A215" s="8" t="n">
        <v>42635</v>
      </c>
      <c r="B215" s="9" t="n">
        <v>14.06982516</v>
      </c>
      <c r="C215" s="9" t="n">
        <v>124.730003</v>
      </c>
      <c r="D215" s="9" t="n">
        <v>125.800003</v>
      </c>
      <c r="E215" s="9" t="n">
        <v>124.660004</v>
      </c>
      <c r="F215" s="9" t="n">
        <v>125.699997</v>
      </c>
      <c r="G215" s="9" t="n">
        <v>118.787025</v>
      </c>
      <c r="H215" s="9" t="n">
        <v>118.787025</v>
      </c>
      <c r="I215" s="2" t="str">
        <f aca="false">IF(COUNT(C215:F215)&lt;4,"",IF(OR(D215&lt;MAX(C215,F215)-0.000001,E215&gt;MIN(C215,F215)+0.000001),"FAIL","OK"))</f>
        <v>OK</v>
      </c>
      <c r="J215" s="10" t="n">
        <f aca="false">IF(COUNT(F215,G215)&lt;2,"",G215/F215)</f>
        <v>0.945004199164778</v>
      </c>
      <c r="K215" s="10" t="n">
        <f aca="false">H215/H214-1</f>
        <v>0.0143640934502505</v>
      </c>
      <c r="L215" s="10" t="n">
        <f aca="false">H220/H215-1</f>
        <v>-0.0198919621061306</v>
      </c>
      <c r="M215" s="10" t="n">
        <f aca="false">IF(COUNT(B156:B215)&lt;60,"",(B215-AVERAGE(B156:B215))/STDEV(B156:B215))</f>
        <v>0.2163563744292</v>
      </c>
      <c r="N215" s="10" t="n">
        <f aca="false">(H215-AVERAGE(H156:H215))/STDEV(H156:H215)</f>
        <v>1.53660542083584</v>
      </c>
      <c r="O215" s="10" t="n">
        <f aca="false">IF(COUNT(B215)=0,"",B215-('Signal Analysis'!$C$6+'Signal Analysis'!$C$5*H215))</f>
        <v>-0.381590427300932</v>
      </c>
    </row>
    <row r="216" customFormat="false" ht="15" hidden="false" customHeight="false" outlineLevel="0" collapsed="false">
      <c r="A216" s="8" t="n">
        <v>42636</v>
      </c>
      <c r="B216" s="9" t="n">
        <v>14.4614126304</v>
      </c>
      <c r="C216" s="9" t="n">
        <v>125.559998</v>
      </c>
      <c r="D216" s="9" t="n">
        <v>125.879997</v>
      </c>
      <c r="E216" s="9" t="n">
        <v>124.809998</v>
      </c>
      <c r="F216" s="9" t="n">
        <v>124.809998</v>
      </c>
      <c r="G216" s="9" t="n">
        <v>117.945999</v>
      </c>
      <c r="H216" s="9" t="n">
        <v>117.945999</v>
      </c>
      <c r="I216" s="2" t="str">
        <f aca="false">IF(COUNT(C216:F216)&lt;4,"",IF(OR(D216&lt;MAX(C216,F216)-0.000001,E216&gt;MIN(C216,F216)+0.000001),"FAIL","OK"))</f>
        <v>OK</v>
      </c>
      <c r="J216" s="10" t="n">
        <f aca="false">IF(COUNT(F216,G216)&lt;2,"",G216/F216)</f>
        <v>0.945004413829091</v>
      </c>
      <c r="K216" s="10" t="n">
        <f aca="false">H216/H215-1</f>
        <v>-0.00708011670466535</v>
      </c>
      <c r="L216" s="10" t="n">
        <f aca="false">H221/H216-1</f>
        <v>-0.0020568650234587</v>
      </c>
      <c r="M216" s="10" t="n">
        <f aca="false">IF(COUNT(B157:B216)&lt;60,"",(B216-AVERAGE(B157:B216))/STDEV(B157:B216))</f>
        <v>0.593025589632379</v>
      </c>
      <c r="N216" s="10" t="n">
        <f aca="false">(H216-AVERAGE(H157:H216))/STDEV(H157:H216)</f>
        <v>1.25241296932235</v>
      </c>
      <c r="O216" s="10" t="n">
        <f aca="false">IF(COUNT(B216)=0,"",B216-('Signal Analysis'!$C$6+'Signal Analysis'!$C$5*H216))</f>
        <v>0.125043031417823</v>
      </c>
    </row>
    <row r="217" customFormat="false" ht="15" hidden="false" customHeight="false" outlineLevel="0" collapsed="false">
      <c r="A217" s="8" t="n">
        <v>42639</v>
      </c>
      <c r="B217" s="9" t="n">
        <v>13.5517673352</v>
      </c>
      <c r="C217" s="9" t="n">
        <v>123.800003</v>
      </c>
      <c r="D217" s="9" t="n">
        <v>124.169998</v>
      </c>
      <c r="E217" s="9" t="n">
        <v>123.099998</v>
      </c>
      <c r="F217" s="9" t="n">
        <v>123.230003</v>
      </c>
      <c r="G217" s="9" t="n">
        <v>116.774742</v>
      </c>
      <c r="H217" s="9" t="n">
        <v>116.774742</v>
      </c>
      <c r="I217" s="2" t="str">
        <f aca="false">IF(COUNT(C217:F217)&lt;4,"",IF(OR(D217&lt;MAX(C217,F217)-0.000001,E217&gt;MIN(C217,F217)+0.000001),"FAIL","OK"))</f>
        <v>OK</v>
      </c>
      <c r="J217" s="10" t="n">
        <f aca="false">IF(COUNT(F217,G217)&lt;2,"",G217/F217)</f>
        <v>0.947616158055275</v>
      </c>
      <c r="K217" s="10" t="n">
        <f aca="false">H217/H216-1</f>
        <v>-0.00993045130763615</v>
      </c>
      <c r="L217" s="10" t="n">
        <f aca="false">H222/H217-1</f>
        <v>0.00478776480619403</v>
      </c>
      <c r="M217" s="10" t="n">
        <f aca="false">IF(COUNT(B158:B217)&lt;60,"",(B217-AVERAGE(B158:B217))/STDEV(B158:B217))</f>
        <v>-0.350398528076683</v>
      </c>
      <c r="N217" s="10" t="n">
        <f aca="false">(H217-AVERAGE(H158:H217))/STDEV(H158:H217)</f>
        <v>0.802209214487508</v>
      </c>
      <c r="O217" s="10" t="n">
        <f aca="false">IF(COUNT(B217)=0,"",B217-('Signal Analysis'!$C$6+'Signal Analysis'!$C$5*H217))</f>
        <v>-0.624383175263796</v>
      </c>
    </row>
    <row r="218" customFormat="false" ht="15" hidden="false" customHeight="false" outlineLevel="0" collapsed="false">
      <c r="A218" s="8" t="n">
        <v>42640</v>
      </c>
      <c r="B218" s="9" t="n">
        <v>13.55943168</v>
      </c>
      <c r="C218" s="9" t="n">
        <v>123.169998</v>
      </c>
      <c r="D218" s="9" t="n">
        <v>123.879997</v>
      </c>
      <c r="E218" s="9" t="n">
        <v>122.809998</v>
      </c>
      <c r="F218" s="9" t="n">
        <v>123.730003</v>
      </c>
      <c r="G218" s="9" t="n">
        <v>117.248543</v>
      </c>
      <c r="H218" s="9" t="n">
        <v>117.248543</v>
      </c>
      <c r="I218" s="2" t="str">
        <f aca="false">IF(COUNT(C218:F218)&lt;4,"",IF(OR(D218&lt;MAX(C218,F218)-0.000001,E218&gt;MIN(C218,F218)+0.000001),"FAIL","OK"))</f>
        <v>OK</v>
      </c>
      <c r="J218" s="10" t="n">
        <f aca="false">IF(COUNT(F218,G218)&lt;2,"",G218/F218)</f>
        <v>0.947616100841766</v>
      </c>
      <c r="K218" s="10" t="n">
        <f aca="false">H218/H217-1</f>
        <v>0.00405739282215656</v>
      </c>
      <c r="L218" s="10" t="n">
        <f aca="false">H223/H218-1</f>
        <v>-0.00420276437891431</v>
      </c>
      <c r="M218" s="10" t="n">
        <f aca="false">IF(COUNT(B159:B218)&lt;60,"",(B218-AVERAGE(B159:B218))/STDEV(B159:B218))</f>
        <v>-0.349814676116116</v>
      </c>
      <c r="N218" s="10" t="n">
        <f aca="false">(H218-AVERAGE(H159:H218))/STDEV(H159:H218)</f>
        <v>0.971993863201696</v>
      </c>
      <c r="O218" s="10" t="n">
        <f aca="false">IF(COUNT(B218)=0,"",B218-('Signal Analysis'!$C$6+'Signal Analysis'!$C$5*H218))</f>
        <v>-0.681531219511715</v>
      </c>
    </row>
    <row r="219" customFormat="false" ht="15" hidden="false" customHeight="false" outlineLevel="0" collapsed="false">
      <c r="A219" s="8" t="n">
        <v>42641</v>
      </c>
      <c r="B219" s="9" t="n">
        <v>14.08005984</v>
      </c>
      <c r="C219" s="9" t="n">
        <v>123.949997</v>
      </c>
      <c r="D219" s="9" t="n">
        <v>124.760002</v>
      </c>
      <c r="E219" s="9" t="n">
        <v>123.07</v>
      </c>
      <c r="F219" s="9" t="n">
        <v>124.68</v>
      </c>
      <c r="G219" s="9" t="n">
        <v>118.148796</v>
      </c>
      <c r="H219" s="9" t="n">
        <v>118.148796</v>
      </c>
      <c r="I219" s="2" t="str">
        <f aca="false">IF(COUNT(C219:F219)&lt;4,"",IF(OR(D219&lt;MAX(C219,F219)-0.000001,E219&gt;MIN(C219,F219)+0.000001),"FAIL","OK"))</f>
        <v>OK</v>
      </c>
      <c r="J219" s="10" t="n">
        <f aca="false">IF(COUNT(F219,G219)&lt;2,"",G219/F219)</f>
        <v>0.947616265640039</v>
      </c>
      <c r="K219" s="10" t="n">
        <f aca="false">H219/H218-1</f>
        <v>0.00767815937806593</v>
      </c>
      <c r="L219" s="10" t="n">
        <f aca="false">H224/H219-1</f>
        <v>-0.0058551591164755</v>
      </c>
      <c r="M219" s="10" t="n">
        <f aca="false">IF(COUNT(B160:B219)&lt;60,"",(B219-AVERAGE(B160:B219))/STDEV(B160:B219))</f>
        <v>0.171652074464652</v>
      </c>
      <c r="N219" s="10" t="n">
        <f aca="false">(H219-AVERAGE(H160:H219))/STDEV(H160:H219)</f>
        <v>1.37073206490259</v>
      </c>
      <c r="O219" s="10" t="n">
        <f aca="false">IF(COUNT(B219)=0,"",B219-('Signal Analysis'!$C$6+'Signal Analysis'!$C$5*H219))</f>
        <v>-0.28405085294726</v>
      </c>
    </row>
    <row r="220" customFormat="false" ht="15" hidden="false" customHeight="false" outlineLevel="0" collapsed="false">
      <c r="A220" s="8" t="n">
        <v>42642</v>
      </c>
      <c r="B220" s="9" t="n">
        <v>14.29090686</v>
      </c>
      <c r="C220" s="9" t="n">
        <v>124.620003</v>
      </c>
      <c r="D220" s="9" t="n">
        <v>124.639999</v>
      </c>
      <c r="E220" s="9" t="n">
        <v>122.699997</v>
      </c>
      <c r="F220" s="9" t="n">
        <v>122.860001</v>
      </c>
      <c r="G220" s="9" t="n">
        <v>116.424118</v>
      </c>
      <c r="H220" s="9" t="n">
        <v>116.424118</v>
      </c>
      <c r="I220" s="2" t="str">
        <f aca="false">IF(COUNT(C220:F220)&lt;4,"",IF(OR(D220&lt;MAX(C220,F220)-0.000001,E220&gt;MIN(C220,F220)+0.000001),"FAIL","OK"))</f>
        <v>OK</v>
      </c>
      <c r="J220" s="10" t="n">
        <f aca="false">IF(COUNT(F220,G220)&lt;2,"",G220/F220)</f>
        <v>0.947616124469997</v>
      </c>
      <c r="K220" s="10" t="n">
        <f aca="false">H220/H219-1</f>
        <v>-0.0145975080440092</v>
      </c>
      <c r="L220" s="10" t="n">
        <f aca="false">H225/H220-1</f>
        <v>0.00781379335852028</v>
      </c>
      <c r="M220" s="10" t="n">
        <f aca="false">IF(COUNT(B161:B220)&lt;60,"",(B220-AVERAGE(B161:B220))/STDEV(B161:B220))</f>
        <v>0.367776710914656</v>
      </c>
      <c r="N220" s="10" t="n">
        <f aca="false">(H220-AVERAGE(H161:H220))/STDEV(H161:H220)</f>
        <v>0.602186669408951</v>
      </c>
      <c r="O220" s="10" t="n">
        <f aca="false">IF(COUNT(B220)=0,"",B220-('Signal Analysis'!$C$6+'Signal Analysis'!$C$5*H220))</f>
        <v>0.1627190577144</v>
      </c>
    </row>
    <row r="221" customFormat="false" ht="15" hidden="false" customHeight="false" outlineLevel="0" collapsed="false">
      <c r="A221" s="8" t="n">
        <v>42643</v>
      </c>
      <c r="B221" s="9" t="n">
        <v>13.5310482432</v>
      </c>
      <c r="C221" s="9" t="n">
        <v>123.419998</v>
      </c>
      <c r="D221" s="9" t="n">
        <v>124.779999</v>
      </c>
      <c r="E221" s="9" t="n">
        <v>122.860001</v>
      </c>
      <c r="F221" s="9" t="n">
        <v>124.209999</v>
      </c>
      <c r="G221" s="9" t="n">
        <v>117.7034</v>
      </c>
      <c r="H221" s="9" t="n">
        <v>117.7034</v>
      </c>
      <c r="I221" s="2" t="str">
        <f aca="false">IF(COUNT(C221:F221)&lt;4,"",IF(OR(D221&lt;MAX(C221,F221)-0.000001,E221&gt;MIN(C221,F221)+0.000001),"FAIL","OK"))</f>
        <v>OK</v>
      </c>
      <c r="J221" s="10" t="n">
        <f aca="false">IF(COUNT(F221,G221)&lt;2,"",G221/F221)</f>
        <v>0.947616141595815</v>
      </c>
      <c r="K221" s="10" t="n">
        <f aca="false">H221/H220-1</f>
        <v>0.0109881184584109</v>
      </c>
      <c r="L221" s="10" t="n">
        <f aca="false">H226/H221-1</f>
        <v>-0.00261414708496099</v>
      </c>
      <c r="M221" s="10" t="n">
        <f aca="false">IF(COUNT(B162:B221)&lt;60,"",(B221-AVERAGE(B162:B221))/STDEV(B162:B221))</f>
        <v>-0.435050219882458</v>
      </c>
      <c r="N221" s="10" t="n">
        <f aca="false">(H221-AVERAGE(H162:H221))/STDEV(H162:H221)</f>
        <v>1.27752425171517</v>
      </c>
      <c r="O221" s="10" t="n">
        <f aca="false">IF(COUNT(B221)=0,"",B221-('Signal Analysis'!$C$6+'Signal Analysis'!$C$5*H221))</f>
        <v>-0.772135649608831</v>
      </c>
    </row>
    <row r="222" customFormat="false" ht="15" hidden="false" customHeight="false" outlineLevel="0" collapsed="false">
      <c r="A222" s="8" t="n">
        <v>42646</v>
      </c>
      <c r="B222" s="9" t="n">
        <v>14.6432622336</v>
      </c>
      <c r="C222" s="9" t="n">
        <v>123.830002</v>
      </c>
      <c r="D222" s="9" t="n">
        <v>124.099998</v>
      </c>
      <c r="E222" s="9" t="n">
        <v>123.129997</v>
      </c>
      <c r="F222" s="9" t="n">
        <v>123.82</v>
      </c>
      <c r="G222" s="9" t="n">
        <v>117.333832</v>
      </c>
      <c r="H222" s="9" t="n">
        <v>117.333832</v>
      </c>
      <c r="I222" s="2" t="str">
        <f aca="false">IF(COUNT(C222:F222)&lt;4,"",IF(OR(D222&lt;MAX(C222,F222)-0.000001,E222&gt;MIN(C222,F222)+0.000001),"FAIL","OK"))</f>
        <v>OK</v>
      </c>
      <c r="J222" s="10" t="n">
        <f aca="false">IF(COUNT(F222,G222)&lt;2,"",G222/F222)</f>
        <v>0.947616152479406</v>
      </c>
      <c r="K222" s="10" t="n">
        <f aca="false">H222/H221-1</f>
        <v>-0.00313982433812443</v>
      </c>
      <c r="L222" s="10" t="n">
        <f aca="false">H227/H222-1</f>
        <v>0.00387666534235409</v>
      </c>
      <c r="M222" s="10" t="n">
        <f aca="false">IF(COUNT(B163:B222)&lt;60,"",(B222-AVERAGE(B163:B222))/STDEV(B163:B222))</f>
        <v>0.709081299507498</v>
      </c>
      <c r="N222" s="10" t="n">
        <f aca="false">(H222-AVERAGE(H163:H222))/STDEV(H163:H222)</f>
        <v>1.07372206041572</v>
      </c>
      <c r="O222" s="10" t="n">
        <f aca="false">IF(COUNT(B222)=0,"",B222-('Signal Analysis'!$C$6+'Signal Analysis'!$C$5*H222))</f>
        <v>0.390632444720159</v>
      </c>
    </row>
    <row r="223" customFormat="false" ht="15" hidden="false" customHeight="false" outlineLevel="0" collapsed="false">
      <c r="A223" s="8" t="n">
        <v>42647</v>
      </c>
      <c r="B223" s="9" t="n">
        <v>14.5101092616</v>
      </c>
      <c r="C223" s="9" t="n">
        <v>124.019997</v>
      </c>
      <c r="D223" s="9" t="n">
        <v>124.309998</v>
      </c>
      <c r="E223" s="9" t="n">
        <v>122.650002</v>
      </c>
      <c r="F223" s="9" t="n">
        <v>123.209999</v>
      </c>
      <c r="G223" s="9" t="n">
        <v>116.755775</v>
      </c>
      <c r="H223" s="9" t="n">
        <v>116.755775</v>
      </c>
      <c r="I223" s="2" t="str">
        <f aca="false">IF(COUNT(C223:F223)&lt;4,"",IF(OR(D223&lt;MAX(C223,F223)-0.000001,E223&gt;MIN(C223,F223)+0.000001),"FAIL","OK"))</f>
        <v>OK</v>
      </c>
      <c r="J223" s="10" t="n">
        <f aca="false">IF(COUNT(F223,G223)&lt;2,"",G223/F223)</f>
        <v>0.947616069699019</v>
      </c>
      <c r="K223" s="10" t="n">
        <f aca="false">H223/H222-1</f>
        <v>-0.00492660122103572</v>
      </c>
      <c r="L223" s="10" t="n">
        <f aca="false">H228/H223-1</f>
        <v>-0.00957713654849191</v>
      </c>
      <c r="M223" s="10" t="n">
        <f aca="false">IF(COUNT(B164:B223)&lt;60,"",(B223-AVERAGE(B164:B223))/STDEV(B164:B223))</f>
        <v>0.552152675796741</v>
      </c>
      <c r="N223" s="10" t="n">
        <f aca="false">(H223-AVERAGE(H164:H223))/STDEV(H164:H223)</f>
        <v>0.719808142044182</v>
      </c>
      <c r="O223" s="10" t="n">
        <f aca="false">IF(COUNT(B223)=0,"",B223-('Signal Analysis'!$C$6+'Signal Analysis'!$C$5*H223))</f>
        <v>0.336553293112841</v>
      </c>
    </row>
    <row r="224" customFormat="false" ht="15" hidden="false" customHeight="false" outlineLevel="0" collapsed="false">
      <c r="A224" s="8" t="n">
        <v>42648</v>
      </c>
      <c r="B224" s="9" t="n">
        <v>13.427911344</v>
      </c>
      <c r="C224" s="9" t="n">
        <v>123.690002</v>
      </c>
      <c r="D224" s="9" t="n">
        <v>124.68</v>
      </c>
      <c r="E224" s="9" t="n">
        <v>123.650002</v>
      </c>
      <c r="F224" s="9" t="n">
        <v>123.949997</v>
      </c>
      <c r="G224" s="9" t="n">
        <v>117.457016</v>
      </c>
      <c r="H224" s="9" t="n">
        <v>117.457016</v>
      </c>
      <c r="I224" s="2" t="str">
        <f aca="false">IF(COUNT(C224:F224)&lt;4,"",IF(OR(D224&lt;MAX(C224,F224)-0.000001,E224&gt;MIN(C224,F224)+0.000001),"FAIL","OK"))</f>
        <v>OK</v>
      </c>
      <c r="J224" s="10" t="n">
        <f aca="false">IF(COUNT(F224,G224)&lt;2,"",G224/F224)</f>
        <v>0.947616126202891</v>
      </c>
      <c r="K224" s="10" t="n">
        <f aca="false">H224/H223-1</f>
        <v>0.00600604980781472</v>
      </c>
      <c r="L224" s="10" t="n">
        <f aca="false">H229/H224-1</f>
        <v>-0.0162968979222151</v>
      </c>
      <c r="M224" s="10" t="n">
        <f aca="false">IF(COUNT(B165:B224)&lt;60,"",(B224-AVERAGE(B165:B224))/STDEV(B165:B224))</f>
        <v>-0.584098434775583</v>
      </c>
      <c r="N224" s="10" t="n">
        <f aca="false">(H224-AVERAGE(H165:H224))/STDEV(H165:H224)</f>
        <v>1.1045864179292</v>
      </c>
      <c r="O224" s="10" t="n">
        <f aca="false">IF(COUNT(B224)=0,"",B224-('Signal Analysis'!$C$6+'Signal Analysis'!$C$5*H224))</f>
        <v>-0.841569083296557</v>
      </c>
    </row>
    <row r="225" customFormat="false" ht="15" hidden="false" customHeight="false" outlineLevel="0" collapsed="false">
      <c r="A225" s="8" t="n">
        <v>42649</v>
      </c>
      <c r="B225" s="9" t="n">
        <v>14.0152757868</v>
      </c>
      <c r="C225" s="9" t="n">
        <v>123.75</v>
      </c>
      <c r="D225" s="9" t="n">
        <v>124.019997</v>
      </c>
      <c r="E225" s="9" t="n">
        <v>122.82</v>
      </c>
      <c r="F225" s="9" t="n">
        <v>123.82</v>
      </c>
      <c r="G225" s="9" t="n">
        <v>117.333832</v>
      </c>
      <c r="H225" s="9" t="n">
        <v>117.333832</v>
      </c>
      <c r="I225" s="2" t="str">
        <f aca="false">IF(COUNT(C225:F225)&lt;4,"",IF(OR(D225&lt;MAX(C225,F225)-0.000001,E225&gt;MIN(C225,F225)+0.000001),"FAIL","OK"))</f>
        <v>OK</v>
      </c>
      <c r="J225" s="10" t="n">
        <f aca="false">IF(COUNT(F225,G225)&lt;2,"",G225/F225)</f>
        <v>0.947616152479406</v>
      </c>
      <c r="K225" s="10" t="n">
        <f aca="false">H225/H224-1</f>
        <v>-0.0010487581261216</v>
      </c>
      <c r="L225" s="10" t="n">
        <f aca="false">H230/H225-1</f>
        <v>-0.0234210794376851</v>
      </c>
      <c r="M225" s="10" t="n">
        <f aca="false">IF(COUNT(B166:B225)&lt;60,"",(B225-AVERAGE(B166:B225))/STDEV(B166:B225))</f>
        <v>0.322373226750811</v>
      </c>
      <c r="N225" s="10" t="n">
        <f aca="false">(H225-AVERAGE(H166:H225))/STDEV(H166:H225)</f>
        <v>1.00252023995648</v>
      </c>
      <c r="O225" s="10" t="n">
        <f aca="false">IF(COUNT(B225)=0,"",B225-('Signal Analysis'!$C$6+'Signal Analysis'!$C$5*H225))</f>
        <v>-0.23735400207984</v>
      </c>
    </row>
    <row r="226" customFormat="false" ht="15" hidden="false" customHeight="false" outlineLevel="0" collapsed="false">
      <c r="A226" s="8" t="n">
        <v>42650</v>
      </c>
      <c r="B226" s="9" t="n">
        <v>13.171882734</v>
      </c>
      <c r="C226" s="9" t="n">
        <v>124.040001</v>
      </c>
      <c r="D226" s="9" t="n">
        <v>124.32</v>
      </c>
      <c r="E226" s="9" t="n">
        <v>122.230003</v>
      </c>
      <c r="F226" s="9" t="n">
        <v>123.830002</v>
      </c>
      <c r="G226" s="9" t="n">
        <v>117.395706</v>
      </c>
      <c r="H226" s="9" t="n">
        <v>117.395706</v>
      </c>
      <c r="I226" s="2" t="str">
        <f aca="false">IF(COUNT(C226:F226)&lt;4,"",IF(OR(D226&lt;MAX(C226,F226)-0.000001,E226&gt;MIN(C226,F226)+0.000001),"FAIL","OK"))</f>
        <v>OK</v>
      </c>
      <c r="J226" s="10" t="n">
        <f aca="false">IF(COUNT(F226,G226)&lt;2,"",G226/F226)</f>
        <v>0.948039280496822</v>
      </c>
      <c r="K226" s="10" t="n">
        <f aca="false">H226/H225-1</f>
        <v>0.00052733298610752</v>
      </c>
      <c r="L226" s="10" t="n">
        <f aca="false">H231/H226-1</f>
        <v>-0.0278910712458257</v>
      </c>
      <c r="M226" s="10" t="n">
        <f aca="false">IF(COUNT(B167:B226)&lt;60,"",(B226-AVERAGE(B167:B226))/STDEV(B167:B226))</f>
        <v>-1.56677421388785</v>
      </c>
      <c r="N226" s="10" t="n">
        <f aca="false">(H226-AVERAGE(H167:H226))/STDEV(H167:H226)</f>
        <v>1.01271823642061</v>
      </c>
      <c r="O226" s="10" t="n">
        <f aca="false">IF(COUNT(B226)=0,"",B226-('Signal Analysis'!$C$6+'Signal Analysis'!$C$5*H226))</f>
        <v>-1.08921094955282</v>
      </c>
    </row>
    <row r="227" customFormat="false" ht="15" hidden="false" customHeight="false" outlineLevel="0" collapsed="false">
      <c r="A227" s="8" t="n">
        <v>42653</v>
      </c>
      <c r="B227" s="9" t="n">
        <v>13.062775158</v>
      </c>
      <c r="C227" s="9" t="n">
        <v>122.830002</v>
      </c>
      <c r="D227" s="9" t="n">
        <v>124.739998</v>
      </c>
      <c r="E227" s="9" t="n">
        <v>122.830002</v>
      </c>
      <c r="F227" s="9" t="n">
        <v>124.300003</v>
      </c>
      <c r="G227" s="9" t="n">
        <v>117.788696</v>
      </c>
      <c r="H227" s="9" t="n">
        <v>117.788696</v>
      </c>
      <c r="I227" s="2" t="str">
        <f aca="false">IF(COUNT(C227:F227)&lt;4,"",IF(OR(D227&lt;MAX(C227,F227)-0.000001,E227&gt;MIN(C227,F227)+0.000001),"FAIL","OK"))</f>
        <v>OK</v>
      </c>
      <c r="J227" s="10" t="n">
        <f aca="false">IF(COUNT(F227,G227)&lt;2,"",G227/F227)</f>
        <v>0.947616195954557</v>
      </c>
      <c r="K227" s="10" t="n">
        <f aca="false">H227/H226-1</f>
        <v>0.00334756707370532</v>
      </c>
      <c r="L227" s="10" t="n">
        <f aca="false">H232/H227-1</f>
        <v>-0.0322607272942388</v>
      </c>
      <c r="M227" s="10" t="n">
        <f aca="false">IF(COUNT(B168:B227)&lt;60,"",(B227-AVERAGE(B168:B227))/STDEV(B168:B227))</f>
        <v>-1.73489593360308</v>
      </c>
      <c r="N227" s="10" t="n">
        <f aca="false">(H227-AVERAGE(H168:H227))/STDEV(H168:H227)</f>
        <v>1.22391478721565</v>
      </c>
      <c r="O227" s="10" t="n">
        <f aca="false">IF(COUNT(B227)=0,"",B227-('Signal Analysis'!$C$6+'Signal Analysis'!$C$5*H227))</f>
        <v>-1.25207658172396</v>
      </c>
    </row>
    <row r="228" customFormat="false" ht="15" hidden="false" customHeight="false" outlineLevel="0" collapsed="false">
      <c r="A228" s="8" t="n">
        <v>42654</v>
      </c>
      <c r="B228" s="9" t="n">
        <v>13.69456968</v>
      </c>
      <c r="C228" s="9" t="n">
        <v>124.050003</v>
      </c>
      <c r="D228" s="9" t="n">
        <v>124.110001</v>
      </c>
      <c r="E228" s="9" t="n">
        <v>121.339996</v>
      </c>
      <c r="F228" s="9" t="n">
        <v>122.029999</v>
      </c>
      <c r="G228" s="9" t="n">
        <v>115.637589</v>
      </c>
      <c r="H228" s="9" t="n">
        <v>115.637589</v>
      </c>
      <c r="I228" s="2" t="str">
        <f aca="false">IF(COUNT(C228:F228)&lt;4,"",IF(OR(D228&lt;MAX(C228,F228)-0.000001,E228&gt;MIN(C228,F228)+0.000001),"FAIL","OK"))</f>
        <v>OK</v>
      </c>
      <c r="J228" s="10" t="n">
        <f aca="false">IF(COUNT(F228,G228)&lt;2,"",G228/F228)</f>
        <v>0.947616077584332</v>
      </c>
      <c r="K228" s="10" t="n">
        <f aca="false">H228/H227-1</f>
        <v>-0.0182624230766593</v>
      </c>
      <c r="L228" s="10" t="n">
        <f aca="false">H233/H228-1</f>
        <v>-0.00860429561532983</v>
      </c>
      <c r="M228" s="10" t="n">
        <f aca="false">IF(COUNT(B169:B228)&lt;60,"",(B228-AVERAGE(B169:B228))/STDEV(B169:B228))</f>
        <v>-0.360570724602727</v>
      </c>
      <c r="N228" s="10" t="n">
        <f aca="false">(H228-AVERAGE(H169:H228))/STDEV(H169:H228)</f>
        <v>-0.166622236319758</v>
      </c>
      <c r="O228" s="10" t="n">
        <f aca="false">IF(COUNT(B228)=0,"",B228-('Signal Analysis'!$C$6+'Signal Analysis'!$C$5*H228))</f>
        <v>-0.326026910900502</v>
      </c>
    </row>
    <row r="229" customFormat="false" ht="15" hidden="false" customHeight="false" outlineLevel="0" collapsed="false">
      <c r="A229" s="8" t="n">
        <v>42655</v>
      </c>
      <c r="B229" s="9" t="n">
        <v>13.67864964</v>
      </c>
      <c r="C229" s="9" t="n">
        <v>122.089996</v>
      </c>
      <c r="D229" s="9" t="n">
        <v>122.610001</v>
      </c>
      <c r="E229" s="9" t="n">
        <v>121.529999</v>
      </c>
      <c r="F229" s="9" t="n">
        <v>121.93</v>
      </c>
      <c r="G229" s="9" t="n">
        <v>115.542831</v>
      </c>
      <c r="H229" s="9" t="n">
        <v>115.542831</v>
      </c>
      <c r="I229" s="2" t="str">
        <f aca="false">IF(COUNT(C229:F229)&lt;4,"",IF(OR(D229&lt;MAX(C229,F229)-0.000001,E229&gt;MIN(C229,F229)+0.000001),"FAIL","OK"))</f>
        <v>OK</v>
      </c>
      <c r="J229" s="10" t="n">
        <f aca="false">IF(COUNT(F229,G229)&lt;2,"",G229/F229)</f>
        <v>0.947616099401296</v>
      </c>
      <c r="K229" s="10" t="n">
        <f aca="false">H229/H228-1</f>
        <v>-0.000819439429855295</v>
      </c>
      <c r="L229" s="10" t="n">
        <f aca="false">H234/H229-1</f>
        <v>-0.00360871372452354</v>
      </c>
      <c r="M229" s="10" t="n">
        <f aca="false">IF(COUNT(B170:B229)&lt;60,"",(B229-AVERAGE(B170:B229))/STDEV(B170:B229))</f>
        <v>-0.377969864645618</v>
      </c>
      <c r="N229" s="10" t="n">
        <f aca="false">(H229-AVERAGE(H170:H229))/STDEV(H170:H229)</f>
        <v>-0.267953144876368</v>
      </c>
      <c r="O229" s="10" t="n">
        <f aca="false">IF(COUNT(B229)=0,"",B229-('Signal Analysis'!$C$6+'Signal Analysis'!$C$5*H229))</f>
        <v>-0.328984774034261</v>
      </c>
    </row>
    <row r="230" customFormat="false" ht="15" hidden="false" customHeight="false" outlineLevel="0" collapsed="false">
      <c r="A230" s="8" t="n">
        <v>42656</v>
      </c>
      <c r="B230" s="9" t="n">
        <v>13.069257426</v>
      </c>
      <c r="C230" s="9" t="n">
        <v>120.989998</v>
      </c>
      <c r="D230" s="9" t="n">
        <v>121.410004</v>
      </c>
      <c r="E230" s="9" t="n">
        <v>120.110001</v>
      </c>
      <c r="F230" s="9" t="n">
        <v>120.919998</v>
      </c>
      <c r="G230" s="9" t="n">
        <v>114.585747</v>
      </c>
      <c r="H230" s="9" t="n">
        <v>114.585747</v>
      </c>
      <c r="I230" s="2" t="str">
        <f aca="false">IF(COUNT(C230:F230)&lt;4,"",IF(OR(D230&lt;MAX(C230,F230)-0.000001,E230&gt;MIN(C230,F230)+0.000001),"FAIL","OK"))</f>
        <v>OK</v>
      </c>
      <c r="J230" s="10" t="n">
        <f aca="false">IF(COUNT(F230,G230)&lt;2,"",G230/F230)</f>
        <v>0.947616183387631</v>
      </c>
      <c r="K230" s="10" t="n">
        <f aca="false">H230/H229-1</f>
        <v>-0.00828336982672695</v>
      </c>
      <c r="L230" s="10" t="n">
        <f aca="false">H235/H230-1</f>
        <v>0.00173666450854482</v>
      </c>
      <c r="M230" s="10" t="n">
        <f aca="false">IF(COUNT(B171:B230)&lt;60,"",(B230-AVERAGE(B171:B230))/STDEV(B171:B230))</f>
        <v>-1.72719618465823</v>
      </c>
      <c r="N230" s="10" t="n">
        <f aca="false">(H230-AVERAGE(H171:H230))/STDEV(H171:H230)</f>
        <v>-0.939060183805545</v>
      </c>
      <c r="O230" s="10" t="n">
        <f aca="false">IF(COUNT(B230)=0,"",B230-('Signal Analysis'!$C$6+'Signal Analysis'!$C$5*H230))</f>
        <v>-0.807455144138748</v>
      </c>
    </row>
    <row r="231" customFormat="false" ht="15" hidden="false" customHeight="false" outlineLevel="0" collapsed="false">
      <c r="A231" s="8" t="n">
        <v>42657</v>
      </c>
      <c r="B231" s="9" t="n">
        <v>13.8151044</v>
      </c>
      <c r="C231" s="9" t="n">
        <v>121.360001</v>
      </c>
      <c r="D231" s="9" t="n">
        <v>121.839996</v>
      </c>
      <c r="E231" s="9" t="n">
        <v>120.400002</v>
      </c>
      <c r="F231" s="9" t="n">
        <v>120.43</v>
      </c>
      <c r="G231" s="9" t="n">
        <v>114.121414</v>
      </c>
      <c r="H231" s="9" t="n">
        <v>114.121414</v>
      </c>
      <c r="I231" s="2" t="str">
        <f aca="false">IF(COUNT(C231:F231)&lt;4,"",IF(OR(D231&lt;MAX(C231,F231)-0.000001,E231&gt;MIN(C231,F231)+0.000001),"FAIL","OK"))</f>
        <v>OK</v>
      </c>
      <c r="J231" s="10" t="n">
        <f aca="false">IF(COUNT(F231,G231)&lt;2,"",G231/F231)</f>
        <v>0.947616158764427</v>
      </c>
      <c r="K231" s="10" t="n">
        <f aca="false">H231/H230-1</f>
        <v>-0.00405227536719721</v>
      </c>
      <c r="L231" s="10" t="n">
        <f aca="false">H236/H231-1</f>
        <v>0.00531437509177724</v>
      </c>
      <c r="M231" s="10" t="n">
        <f aca="false">IF(COUNT(B172:B231)&lt;60,"",(B231-AVERAGE(B172:B231))/STDEV(B172:B231))</f>
        <v>-0.0589254939329392</v>
      </c>
      <c r="N231" s="10" t="n">
        <f aca="false">(H231-AVERAGE(H172:H231))/STDEV(H172:H231)</f>
        <v>-1.29990116027241</v>
      </c>
      <c r="O231" s="10" t="n">
        <f aca="false">IF(COUNT(B231)=0,"",B231-('Signal Analysis'!$C$6+'Signal Analysis'!$C$5*H231))</f>
        <v>0.00190906820348147</v>
      </c>
    </row>
    <row r="232" customFormat="false" ht="15" hidden="false" customHeight="false" outlineLevel="0" collapsed="false">
      <c r="A232" s="8" t="n">
        <v>42660</v>
      </c>
      <c r="B232" s="9" t="n">
        <v>14.0496526656</v>
      </c>
      <c r="C232" s="9" t="n">
        <v>120.580002</v>
      </c>
      <c r="D232" s="9" t="n">
        <v>120.849998</v>
      </c>
      <c r="E232" s="9" t="n">
        <v>120.160004</v>
      </c>
      <c r="F232" s="9" t="n">
        <v>120.290001</v>
      </c>
      <c r="G232" s="9" t="n">
        <v>113.988747</v>
      </c>
      <c r="H232" s="9" t="n">
        <v>113.988747</v>
      </c>
      <c r="I232" s="2" t="str">
        <f aca="false">IF(COUNT(C232:F232)&lt;4,"",IF(OR(D232&lt;MAX(C232,F232)-0.000001,E232&gt;MIN(C232,F232)+0.000001),"FAIL","OK"))</f>
        <v>OK</v>
      </c>
      <c r="J232" s="10" t="n">
        <f aca="false">IF(COUNT(F232,G232)&lt;2,"",G232/F232)</f>
        <v>0.947616144753378</v>
      </c>
      <c r="K232" s="10" t="n">
        <f aca="false">H232/H231-1</f>
        <v>-0.00116250750275493</v>
      </c>
      <c r="L232" s="10" t="n">
        <f aca="false">H237/H232-1</f>
        <v>0.0128855087774584</v>
      </c>
      <c r="M232" s="10" t="n">
        <f aca="false">IF(COUNT(B173:B232)&lt;60,"",(B232-AVERAGE(B173:B232))/STDEV(B173:B232))</f>
        <v>0.457007159367811</v>
      </c>
      <c r="N232" s="10" t="n">
        <f aca="false">(H232-AVERAGE(H173:H232))/STDEV(H173:H232)</f>
        <v>-1.40028299348082</v>
      </c>
      <c r="O232" s="10" t="n">
        <f aca="false">IF(COUNT(B232)=0,"",B232-('Signal Analysis'!$C$6+'Signal Analysis'!$C$5*H232))</f>
        <v>0.254605174812303</v>
      </c>
    </row>
    <row r="233" customFormat="false" ht="15" hidden="false" customHeight="false" outlineLevel="0" collapsed="false">
      <c r="A233" s="8" t="n">
        <v>42661</v>
      </c>
      <c r="B233" s="9" t="n">
        <v>14.3180416704</v>
      </c>
      <c r="C233" s="9" t="n">
        <v>121.519997</v>
      </c>
      <c r="D233" s="9" t="n">
        <v>121.580002</v>
      </c>
      <c r="E233" s="9" t="n">
        <v>120.660004</v>
      </c>
      <c r="F233" s="9" t="n">
        <v>120.980003</v>
      </c>
      <c r="G233" s="9" t="n">
        <v>114.642609</v>
      </c>
      <c r="H233" s="9" t="n">
        <v>114.642609</v>
      </c>
      <c r="I233" s="2" t="str">
        <f aca="false">IF(COUNT(C233:F233)&lt;4,"",IF(OR(D233&lt;MAX(C233,F233)-0.000001,E233&gt;MIN(C233,F233)+0.000001),"FAIL","OK"))</f>
        <v>OK</v>
      </c>
      <c r="J233" s="10" t="n">
        <f aca="false">IF(COUNT(F233,G233)&lt;2,"",G233/F233)</f>
        <v>0.947616185792292</v>
      </c>
      <c r="K233" s="10" t="n">
        <f aca="false">H233/H232-1</f>
        <v>0.00573619780205137</v>
      </c>
      <c r="L233" s="10" t="n">
        <f aca="false">H238/H233-1</f>
        <v>-0.000413275660884449</v>
      </c>
      <c r="M233" s="10" t="n">
        <f aca="false">IF(COUNT(B174:B233)&lt;60,"",(B233-AVERAGE(B174:B233))/STDEV(B174:B233))</f>
        <v>1.02085047716994</v>
      </c>
      <c r="N233" s="10" t="n">
        <f aca="false">(H233-AVERAGE(H174:H233))/STDEV(H174:H233)</f>
        <v>-0.969082310152514</v>
      </c>
      <c r="O233" s="10" t="n">
        <f aca="false">IF(COUNT(B233)=0,"",B233-('Signal Analysis'!$C$6+'Signal Analysis'!$C$5*H233))</f>
        <v>0.433550809236028</v>
      </c>
    </row>
    <row r="234" customFormat="false" ht="15" hidden="false" customHeight="false" outlineLevel="0" collapsed="false">
      <c r="A234" s="8" t="n">
        <v>42662</v>
      </c>
      <c r="B234" s="9" t="n">
        <v>14.40910224</v>
      </c>
      <c r="C234" s="9" t="n">
        <v>121.169998</v>
      </c>
      <c r="D234" s="9" t="n">
        <v>121.949997</v>
      </c>
      <c r="E234" s="9" t="n">
        <v>120.5</v>
      </c>
      <c r="F234" s="9" t="n">
        <v>121.489998</v>
      </c>
      <c r="G234" s="9" t="n">
        <v>115.12587</v>
      </c>
      <c r="H234" s="9" t="n">
        <v>115.12587</v>
      </c>
      <c r="I234" s="2" t="str">
        <f aca="false">IF(COUNT(C234:F234)&lt;4,"",IF(OR(D234&lt;MAX(C234,F234)-0.000001,E234&gt;MIN(C234,F234)+0.000001),"FAIL","OK"))</f>
        <v>OK</v>
      </c>
      <c r="J234" s="10" t="n">
        <f aca="false">IF(COUNT(F234,G234)&lt;2,"",G234/F234)</f>
        <v>0.947616033379143</v>
      </c>
      <c r="K234" s="10" t="n">
        <f aca="false">H234/H233-1</f>
        <v>0.00421536987177262</v>
      </c>
      <c r="L234" s="10" t="n">
        <f aca="false">H239/H234-1</f>
        <v>-0.0144867005130993</v>
      </c>
      <c r="M234" s="10" t="n">
        <f aca="false">IF(COUNT(B175:B234)&lt;60,"",(B234-AVERAGE(B175:B234))/STDEV(B175:B234))</f>
        <v>1.18325064843117</v>
      </c>
      <c r="N234" s="10" t="n">
        <f aca="false">(H234-AVERAGE(H175:H234))/STDEV(H175:H234)</f>
        <v>-0.643123626243471</v>
      </c>
      <c r="O234" s="10" t="n">
        <f aca="false">IF(COUNT(B234)=0,"",B234-('Signal Analysis'!$C$6+'Signal Analysis'!$C$5*H234))</f>
        <v>0.458504933421841</v>
      </c>
    </row>
    <row r="235" customFormat="false" ht="15" hidden="false" customHeight="false" outlineLevel="0" collapsed="false">
      <c r="A235" s="8" t="n">
        <v>42663</v>
      </c>
      <c r="B235" s="9" t="n">
        <v>13.06385622</v>
      </c>
      <c r="C235" s="9" t="n">
        <v>121.139999</v>
      </c>
      <c r="D235" s="9" t="n">
        <v>122</v>
      </c>
      <c r="E235" s="9" t="n">
        <v>120.410004</v>
      </c>
      <c r="F235" s="9" t="n">
        <v>121.129997</v>
      </c>
      <c r="G235" s="9" t="n">
        <v>114.784744</v>
      </c>
      <c r="H235" s="9" t="n">
        <v>114.784744</v>
      </c>
      <c r="I235" s="2" t="str">
        <f aca="false">IF(COUNT(C235:F235)&lt;4,"",IF(OR(D235&lt;MAX(C235,F235)-0.000001,E235&gt;MIN(C235,F235)+0.000001),"FAIL","OK"))</f>
        <v>OK</v>
      </c>
      <c r="J235" s="10" t="n">
        <f aca="false">IF(COUNT(F235,G235)&lt;2,"",G235/F235)</f>
        <v>0.94761617140963</v>
      </c>
      <c r="K235" s="10" t="n">
        <f aca="false">H235/H234-1</f>
        <v>-0.00296306989905926</v>
      </c>
      <c r="L235" s="10" t="n">
        <f aca="false">H240/H235-1</f>
        <v>-0.0228680302671582</v>
      </c>
      <c r="M235" s="10" t="n">
        <f aca="false">IF(COUNT(B176:B235)&lt;60,"",(B235-AVERAGE(B176:B235))/STDEV(B176:B235))</f>
        <v>-1.79955284553495</v>
      </c>
      <c r="N235" s="10" t="n">
        <f aca="false">(H235-AVERAGE(H176:H235))/STDEV(H176:H235)</f>
        <v>-0.896483660358398</v>
      </c>
      <c r="O235" s="10" t="n">
        <f aca="false">IF(COUNT(B235)=0,"",B235-('Signal Analysis'!$C$6+'Signal Analysis'!$C$5*H235))</f>
        <v>-0.840077632878483</v>
      </c>
    </row>
    <row r="236" customFormat="false" ht="15" hidden="false" customHeight="false" outlineLevel="0" collapsed="false">
      <c r="A236" s="8" t="n">
        <v>42664</v>
      </c>
      <c r="B236" s="9" t="n">
        <v>12.934220664</v>
      </c>
      <c r="C236" s="9" t="n">
        <v>120.260002</v>
      </c>
      <c r="D236" s="9" t="n">
        <v>121.370003</v>
      </c>
      <c r="E236" s="9" t="n">
        <v>120.099998</v>
      </c>
      <c r="F236" s="9" t="n">
        <v>121.07</v>
      </c>
      <c r="G236" s="9" t="n">
        <v>114.727898</v>
      </c>
      <c r="H236" s="9" t="n">
        <v>114.727898</v>
      </c>
      <c r="I236" s="2" t="str">
        <f aca="false">IF(COUNT(C236:F236)&lt;4,"",IF(OR(D236&lt;MAX(C236,F236)-0.000001,E236&gt;MIN(C236,F236)+0.000001),"FAIL","OK"))</f>
        <v>OK</v>
      </c>
      <c r="J236" s="10" t="n">
        <f aca="false">IF(COUNT(F236,G236)&lt;2,"",G236/F236)</f>
        <v>0.947616238539688</v>
      </c>
      <c r="K236" s="10" t="n">
        <f aca="false">H236/H235-1</f>
        <v>-0.000495240029458999</v>
      </c>
      <c r="L236" s="10" t="n">
        <f aca="false">H241/H236-1</f>
        <v>-0.025109638110863</v>
      </c>
      <c r="M236" s="10" t="n">
        <f aca="false">IF(COUNT(B177:B236)&lt;60,"",(B236-AVERAGE(B177:B236))/STDEV(B177:B236))</f>
        <v>-2.03020935003824</v>
      </c>
      <c r="N236" s="10" t="n">
        <f aca="false">(H236-AVERAGE(H177:H236))/STDEV(H177:H236)</f>
        <v>-0.951488321681377</v>
      </c>
      <c r="O236" s="10" t="n">
        <f aca="false">IF(COUNT(B236)=0,"",B236-('Signal Analysis'!$C$6+'Signal Analysis'!$C$5*H236))</f>
        <v>-0.9619370865321</v>
      </c>
    </row>
    <row r="237" customFormat="false" ht="15" hidden="false" customHeight="false" outlineLevel="0" collapsed="false">
      <c r="A237" s="8" t="n">
        <v>42667</v>
      </c>
      <c r="B237" s="9" t="n">
        <v>12.9208139136</v>
      </c>
      <c r="C237" s="9" t="n">
        <v>122.040001</v>
      </c>
      <c r="D237" s="9" t="n">
        <v>122.610001</v>
      </c>
      <c r="E237" s="9" t="n">
        <v>121.449997</v>
      </c>
      <c r="F237" s="9" t="n">
        <v>121.839996</v>
      </c>
      <c r="G237" s="9" t="n">
        <v>115.45755</v>
      </c>
      <c r="H237" s="9" t="n">
        <v>115.45755</v>
      </c>
      <c r="I237" s="2" t="str">
        <f aca="false">IF(COUNT(C237:F237)&lt;4,"",IF(OR(D237&lt;MAX(C237,F237)-0.000001,E237&gt;MIN(C237,F237)+0.000001),"FAIL","OK"))</f>
        <v>OK</v>
      </c>
      <c r="J237" s="10" t="n">
        <f aca="false">IF(COUNT(F237,G237)&lt;2,"",G237/F237)</f>
        <v>0.947616167026138</v>
      </c>
      <c r="K237" s="10" t="n">
        <f aca="false">H237/H236-1</f>
        <v>0.00635984806415624</v>
      </c>
      <c r="L237" s="10" t="n">
        <f aca="false">H242/H237-1</f>
        <v>-0.0274130795257651</v>
      </c>
      <c r="M237" s="10" t="n">
        <f aca="false">IF(COUNT(B178:B237)&lt;60,"",(B237-AVERAGE(B178:B237))/STDEV(B178:B237))</f>
        <v>-2.02610772996667</v>
      </c>
      <c r="N237" s="10" t="n">
        <f aca="false">(H237-AVERAGE(H178:H237))/STDEV(H178:H237)</f>
        <v>-0.435947960063856</v>
      </c>
      <c r="O237" s="10" t="n">
        <f aca="false">IF(COUNT(B237)=0,"",B237-('Signal Analysis'!$C$6+'Signal Analysis'!$C$5*H237))</f>
        <v>-1.07515470540556</v>
      </c>
    </row>
    <row r="238" customFormat="false" ht="15" hidden="false" customHeight="false" outlineLevel="0" collapsed="false">
      <c r="A238" s="8" t="n">
        <v>42668</v>
      </c>
      <c r="B238" s="9" t="n">
        <v>12.8847884544</v>
      </c>
      <c r="C238" s="9" t="n">
        <v>121.809998</v>
      </c>
      <c r="D238" s="9" t="n">
        <v>121.989998</v>
      </c>
      <c r="E238" s="9" t="n">
        <v>120.599998</v>
      </c>
      <c r="F238" s="9" t="n">
        <v>120.93</v>
      </c>
      <c r="G238" s="9" t="n">
        <v>114.59523</v>
      </c>
      <c r="H238" s="9" t="n">
        <v>114.59523</v>
      </c>
      <c r="I238" s="2" t="str">
        <f aca="false">IF(COUNT(C238:F238)&lt;4,"",IF(OR(D238&lt;MAX(C238,F238)-0.000001,E238&gt;MIN(C238,F238)+0.000001),"FAIL","OK"))</f>
        <v>OK</v>
      </c>
      <c r="J238" s="10" t="n">
        <f aca="false">IF(COUNT(F238,G238)&lt;2,"",G238/F238)</f>
        <v>0.94761622426197</v>
      </c>
      <c r="K238" s="10" t="n">
        <f aca="false">H238/H237-1</f>
        <v>-0.00746871902270574</v>
      </c>
      <c r="L238" s="10" t="n">
        <f aca="false">H243/H238-1</f>
        <v>-0.0320845989837448</v>
      </c>
      <c r="M238" s="10" t="n">
        <f aca="false">IF(COUNT(B179:B238)&lt;60,"",(B238-AVERAGE(B179:B238))/STDEV(B179:B238))</f>
        <v>-1.99379724558041</v>
      </c>
      <c r="N238" s="10" t="n">
        <f aca="false">(H238-AVERAGE(H179:H238))/STDEV(H179:H238)</f>
        <v>-1.07478339241134</v>
      </c>
      <c r="O238" s="10" t="n">
        <f aca="false">IF(COUNT(B238)=0,"",B238-('Signal Analysis'!$C$6+'Signal Analysis'!$C$5*H238))</f>
        <v>-0.993221318330852</v>
      </c>
    </row>
    <row r="239" customFormat="false" ht="15" hidden="false" customHeight="false" outlineLevel="0" collapsed="false">
      <c r="A239" s="8" t="n">
        <v>42669</v>
      </c>
      <c r="B239" s="9" t="n">
        <v>12.801345342</v>
      </c>
      <c r="C239" s="9" t="n">
        <v>120.110001</v>
      </c>
      <c r="D239" s="9" t="n">
        <v>121</v>
      </c>
      <c r="E239" s="9" t="n">
        <v>119.459999</v>
      </c>
      <c r="F239" s="9" t="n">
        <v>119.730003</v>
      </c>
      <c r="G239" s="9" t="n">
        <v>113.458076</v>
      </c>
      <c r="H239" s="9" t="n">
        <v>113.458076</v>
      </c>
      <c r="I239" s="2" t="str">
        <f aca="false">IF(COUNT(C239:F239)&lt;4,"",IF(OR(D239&lt;MAX(C239,F239)-0.000001,E239&gt;MIN(C239,F239)+0.000001),"FAIL","OK"))</f>
        <v>OK</v>
      </c>
      <c r="J239" s="10" t="n">
        <f aca="false">IF(COUNT(F239,G239)&lt;2,"",G239/F239)</f>
        <v>0.947616079154362</v>
      </c>
      <c r="K239" s="10" t="n">
        <f aca="false">H239/H238-1</f>
        <v>-0.00992322280779046</v>
      </c>
      <c r="L239" s="10" t="n">
        <f aca="false">H244/H239-1</f>
        <v>-0.0348281774141842</v>
      </c>
      <c r="M239" s="10" t="n">
        <f aca="false">IF(COUNT(B180:B239)&lt;60,"",(B239-AVERAGE(B180:B239))/STDEV(B180:B239))</f>
        <v>-2.07536481328069</v>
      </c>
      <c r="N239" s="10" t="n">
        <f aca="false">(H239-AVERAGE(H180:H239))/STDEV(H180:H239)</f>
        <v>-1.95048744385335</v>
      </c>
      <c r="O239" s="10" t="n">
        <f aca="false">IF(COUNT(B239)=0,"",B239-('Signal Analysis'!$C$6+'Signal Analysis'!$C$5*H239))</f>
        <v>-0.921110374375134</v>
      </c>
    </row>
    <row r="240" customFormat="false" ht="15" hidden="false" customHeight="false" outlineLevel="0" collapsed="false">
      <c r="A240" s="8" t="n">
        <v>42670</v>
      </c>
      <c r="B240" s="9" t="n">
        <v>13.5764229312</v>
      </c>
      <c r="C240" s="9" t="n">
        <v>120.120003</v>
      </c>
      <c r="D240" s="9" t="n">
        <v>120.139999</v>
      </c>
      <c r="E240" s="9" t="n">
        <v>118.089996</v>
      </c>
      <c r="F240" s="9" t="n">
        <v>118.360001</v>
      </c>
      <c r="G240" s="9" t="n">
        <v>112.159843</v>
      </c>
      <c r="H240" s="9" t="n">
        <v>112.159843</v>
      </c>
      <c r="I240" s="2" t="str">
        <f aca="false">IF(COUNT(C240:F240)&lt;4,"",IF(OR(D240&lt;MAX(C240,F240)-0.000001,E240&gt;MIN(C240,F240)+0.000001),"FAIL","OK"))</f>
        <v>OK</v>
      </c>
      <c r="J240" s="10" t="n">
        <f aca="false">IF(COUNT(F240,G240)&lt;2,"",G240/F240)</f>
        <v>0.947616103855896</v>
      </c>
      <c r="K240" s="10" t="n">
        <f aca="false">H240/H239-1</f>
        <v>-0.0114424027426661</v>
      </c>
      <c r="L240" s="10" t="n">
        <f aca="false">H245/H240-1</f>
        <v>-0.0283880390239133</v>
      </c>
      <c r="M240" s="10" t="n">
        <f aca="false">IF(COUNT(B181:B240)&lt;60,"",(B240-AVERAGE(B181:B240))/STDEV(B181:B240))</f>
        <v>-0.522509062618981</v>
      </c>
      <c r="N240" s="10" t="n">
        <f aca="false">(H240-AVERAGE(H181:H240))/STDEV(H181:H240)</f>
        <v>-2.77202637303706</v>
      </c>
      <c r="O240" s="10" t="n">
        <f aca="false">IF(COUNT(B240)=0,"",B240-('Signal Analysis'!$C$6+'Signal Analysis'!$C$5*H240))</f>
        <v>0.0315556586458943</v>
      </c>
    </row>
    <row r="241" customFormat="false" ht="15" hidden="false" customHeight="false" outlineLevel="0" collapsed="false">
      <c r="A241" s="8" t="n">
        <v>42671</v>
      </c>
      <c r="B241" s="9" t="n">
        <v>13.797823788</v>
      </c>
      <c r="C241" s="9" t="n">
        <v>118.309998</v>
      </c>
      <c r="D241" s="9" t="n">
        <v>119.029999</v>
      </c>
      <c r="E241" s="9" t="n">
        <v>117.75</v>
      </c>
      <c r="F241" s="9" t="n">
        <v>118.029999</v>
      </c>
      <c r="G241" s="9" t="n">
        <v>111.847122</v>
      </c>
      <c r="H241" s="9" t="n">
        <v>111.847122</v>
      </c>
      <c r="I241" s="2" t="str">
        <f aca="false">IF(COUNT(C241:F241)&lt;4,"",IF(OR(D241&lt;MAX(C241,F241)-0.000001,E241&gt;MIN(C241,F241)+0.000001),"FAIL","OK"))</f>
        <v>OK</v>
      </c>
      <c r="J241" s="10" t="n">
        <f aca="false">IF(COUNT(F241,G241)&lt;2,"",G241/F241)</f>
        <v>0.947616054796374</v>
      </c>
      <c r="K241" s="10" t="n">
        <f aca="false">H241/H240-1</f>
        <v>-0.00278817259043418</v>
      </c>
      <c r="L241" s="10" t="n">
        <f aca="false">H246/H241-1</f>
        <v>-0.0194019386569464</v>
      </c>
      <c r="M241" s="10" t="n">
        <f aca="false">IF(COUNT(B182:B241)&lt;60,"",(B241-AVERAGE(B182:B241))/STDEV(B182:B241))</f>
        <v>-0.0877349645142641</v>
      </c>
      <c r="N241" s="10" t="n">
        <f aca="false">(H241-AVERAGE(H182:H241))/STDEV(H182:H241)</f>
        <v>-2.81607610127622</v>
      </c>
      <c r="O241" s="10" t="n">
        <f aca="false">IF(COUNT(B241)=0,"",B241-('Signal Analysis'!$C$6+'Signal Analysis'!$C$5*H241))</f>
        <v>0.295734380236079</v>
      </c>
    </row>
    <row r="242" customFormat="false" ht="15" hidden="false" customHeight="false" outlineLevel="0" collapsed="false">
      <c r="A242" s="8" t="n">
        <v>42674</v>
      </c>
      <c r="B242" s="9" t="n">
        <v>12.42324633</v>
      </c>
      <c r="C242" s="9" t="n">
        <v>118.18</v>
      </c>
      <c r="D242" s="9" t="n">
        <v>118.639999</v>
      </c>
      <c r="E242" s="9" t="n">
        <v>117.800003</v>
      </c>
      <c r="F242" s="9" t="n">
        <v>118.5</v>
      </c>
      <c r="G242" s="9" t="n">
        <v>112.292503</v>
      </c>
      <c r="H242" s="9" t="n">
        <v>112.292503</v>
      </c>
      <c r="I242" s="2" t="str">
        <f aca="false">IF(COUNT(C242:F242)&lt;4,"",IF(OR(D242&lt;MAX(C242,F242)-0.000001,E242&gt;MIN(C242,F242)+0.000001),"FAIL","OK"))</f>
        <v>OK</v>
      </c>
      <c r="J242" s="10" t="n">
        <f aca="false">IF(COUNT(F242,G242)&lt;2,"",G242/F242)</f>
        <v>0.94761605907173</v>
      </c>
      <c r="K242" s="10" t="n">
        <f aca="false">H242/H241-1</f>
        <v>0.00398205150061881</v>
      </c>
      <c r="L242" s="10" t="n">
        <f aca="false">H247/H242-1</f>
        <v>0.000590831963198868</v>
      </c>
      <c r="M242" s="10" t="n">
        <f aca="false">IF(COUNT(B183:B242)&lt;60,"",(B242-AVERAGE(B183:B242))/STDEV(B183:B242))</f>
        <v>-2.6683779374572</v>
      </c>
      <c r="N242" s="10" t="n">
        <f aca="false">(H242-AVERAGE(H183:H242))/STDEV(H183:H242)</f>
        <v>-2.35680902481177</v>
      </c>
      <c r="O242" s="10" t="n">
        <f aca="false">IF(COUNT(B242)=0,"",B242-('Signal Analysis'!$C$6+'Signal Analysis'!$C$5*H242))</f>
        <v>-1.13976782601593</v>
      </c>
    </row>
    <row r="243" customFormat="false" ht="15" hidden="false" customHeight="false" outlineLevel="0" collapsed="false">
      <c r="A243" s="8" t="n">
        <v>42675</v>
      </c>
      <c r="B243" s="9" t="n">
        <v>12.503186094</v>
      </c>
      <c r="C243" s="9" t="n">
        <v>118.660004</v>
      </c>
      <c r="D243" s="9" t="n">
        <v>118.699997</v>
      </c>
      <c r="E243" s="9" t="n">
        <v>116.279999</v>
      </c>
      <c r="F243" s="9" t="n">
        <v>117.050003</v>
      </c>
      <c r="G243" s="9" t="n">
        <v>110.918488</v>
      </c>
      <c r="H243" s="9" t="n">
        <v>110.918488</v>
      </c>
      <c r="I243" s="2" t="str">
        <f aca="false">IF(COUNT(C243:F243)&lt;4,"",IF(OR(D243&lt;MAX(C243,F243)-0.000001,E243&gt;MIN(C243,F243)+0.000001),"FAIL","OK"))</f>
        <v>OK</v>
      </c>
      <c r="J243" s="10" t="n">
        <f aca="false">IF(COUNT(F243,G243)&lt;2,"",G243/F243)</f>
        <v>0.947616276438711</v>
      </c>
      <c r="K243" s="10" t="n">
        <f aca="false">H243/H242-1</f>
        <v>-0.0122360350272004</v>
      </c>
      <c r="L243" s="10" t="n">
        <f aca="false">H248/H243-1</f>
        <v>0.0156342105925569</v>
      </c>
      <c r="M243" s="10" t="n">
        <f aca="false">IF(COUNT(B184:B243)&lt;60,"",(B243-AVERAGE(B184:B243))/STDEV(B184:B243))</f>
        <v>-2.36451009844339</v>
      </c>
      <c r="N243" s="10" t="n">
        <f aca="false">(H243-AVERAGE(H184:H243))/STDEV(H184:H243)</f>
        <v>-2.94768699377355</v>
      </c>
      <c r="O243" s="10" t="n">
        <f aca="false">IF(COUNT(B243)=0,"",B243-('Signal Analysis'!$C$6+'Signal Analysis'!$C$5*H243))</f>
        <v>-0.871873214437148</v>
      </c>
    </row>
    <row r="244" customFormat="false" ht="15" hidden="false" customHeight="false" outlineLevel="0" collapsed="false">
      <c r="A244" s="8" t="n">
        <v>42676</v>
      </c>
      <c r="B244" s="9" t="n">
        <v>13.3482312612</v>
      </c>
      <c r="C244" s="9" t="n">
        <v>116.870003</v>
      </c>
      <c r="D244" s="9" t="n">
        <v>117</v>
      </c>
      <c r="E244" s="9" t="n">
        <v>115.389999</v>
      </c>
      <c r="F244" s="9" t="n">
        <v>115.559998</v>
      </c>
      <c r="G244" s="9" t="n">
        <v>109.506538</v>
      </c>
      <c r="H244" s="9" t="n">
        <v>109.506538</v>
      </c>
      <c r="I244" s="2" t="str">
        <f aca="false">IF(COUNT(C244:F244)&lt;4,"",IF(OR(D244&lt;MAX(C244,F244)-0.000001,E244&gt;MIN(C244,F244)+0.000001),"FAIL","OK"))</f>
        <v>OK</v>
      </c>
      <c r="J244" s="10" t="n">
        <f aca="false">IF(COUNT(F244,G244)&lt;2,"",G244/F244)</f>
        <v>0.947616302312501</v>
      </c>
      <c r="K244" s="10" t="n">
        <f aca="false">H244/H243-1</f>
        <v>-0.0127296181678928</v>
      </c>
      <c r="L244" s="10" t="n">
        <f aca="false">H249/H244-1</f>
        <v>0.0604013433426229</v>
      </c>
      <c r="M244" s="10" t="n">
        <f aca="false">IF(COUNT(B185:B244)&lt;60,"",(B244-AVERAGE(B185:B244))/STDEV(B185:B244))</f>
        <v>-0.814440254236992</v>
      </c>
      <c r="N244" s="10" t="n">
        <f aca="false">(H244-AVERAGE(H185:H244))/STDEV(H185:H244)</f>
        <v>-3.34898020552327</v>
      </c>
      <c r="O244" s="10" t="n">
        <f aca="false">IF(COUNT(B244)=0,"",B244-('Signal Analysis'!$C$6+'Signal Analysis'!$C$5*H244))</f>
        <v>0.166316021087333</v>
      </c>
    </row>
    <row r="245" customFormat="false" ht="15" hidden="false" customHeight="false" outlineLevel="0" collapsed="false">
      <c r="A245" s="8" t="n">
        <v>42677</v>
      </c>
      <c r="B245" s="9" t="n">
        <v>13.1127639204</v>
      </c>
      <c r="C245" s="9" t="n">
        <v>115.910004</v>
      </c>
      <c r="D245" s="9" t="n">
        <v>116.239998</v>
      </c>
      <c r="E245" s="9" t="n">
        <v>114.879997</v>
      </c>
      <c r="F245" s="9" t="n">
        <v>115</v>
      </c>
      <c r="G245" s="9" t="n">
        <v>108.975845</v>
      </c>
      <c r="H245" s="9" t="n">
        <v>108.975845</v>
      </c>
      <c r="I245" s="2" t="str">
        <f aca="false">IF(COUNT(C245:F245)&lt;4,"",IF(OR(D245&lt;MAX(C245,F245)-0.000001,E245&gt;MIN(C245,F245)+0.000001),"FAIL","OK"))</f>
        <v>OK</v>
      </c>
      <c r="J245" s="10" t="n">
        <f aca="false">IF(COUNT(F245,G245)&lt;2,"",G245/F245)</f>
        <v>0.947616043478261</v>
      </c>
      <c r="K245" s="10" t="n">
        <f aca="false">H245/H244-1</f>
        <v>-0.00484622205844909</v>
      </c>
      <c r="L245" s="10" t="n">
        <f aca="false">H250/H245-1</f>
        <v>0.082608609274835</v>
      </c>
      <c r="M245" s="10" t="n">
        <f aca="false">IF(COUNT(B186:B245)&lt;60,"",(B245-AVERAGE(B186:B245))/STDEV(B186:B245))</f>
        <v>-1.21186810529359</v>
      </c>
      <c r="N245" s="10" t="n">
        <f aca="false">(H245-AVERAGE(H186:H245))/STDEV(H186:H245)</f>
        <v>-3.2467150624048</v>
      </c>
      <c r="O245" s="10" t="n">
        <f aca="false">IF(COUNT(B245)=0,"",B245-('Signal Analysis'!$C$6+'Signal Analysis'!$C$5*H245))</f>
        <v>0.00344346413330854</v>
      </c>
    </row>
    <row r="246" customFormat="false" ht="15" hidden="false" customHeight="false" outlineLevel="0" collapsed="false">
      <c r="A246" s="8" t="n">
        <v>42678</v>
      </c>
      <c r="B246" s="9" t="n">
        <v>13.516470432</v>
      </c>
      <c r="C246" s="9" t="n">
        <v>115.300003</v>
      </c>
      <c r="D246" s="9" t="n">
        <v>116.900002</v>
      </c>
      <c r="E246" s="9" t="n">
        <v>115.050003</v>
      </c>
      <c r="F246" s="9" t="n">
        <v>115.739998</v>
      </c>
      <c r="G246" s="9" t="n">
        <v>109.677071</v>
      </c>
      <c r="H246" s="9" t="n">
        <v>109.677071</v>
      </c>
      <c r="I246" s="2" t="str">
        <f aca="false">IF(COUNT(C246:F246)&lt;4,"",IF(OR(D246&lt;MAX(C246,F246)-0.000001,E246&gt;MIN(C246,F246)+0.000001),"FAIL","OK"))</f>
        <v>OK</v>
      </c>
      <c r="J246" s="10" t="n">
        <f aca="false">IF(COUNT(F246,G246)&lt;2,"",G246/F246)</f>
        <v>0.947615974557041</v>
      </c>
      <c r="K246" s="10" t="n">
        <f aca="false">H246/H245-1</f>
        <v>0.00643469201821745</v>
      </c>
      <c r="L246" s="10" t="n">
        <f aca="false">H251/H246-1</f>
        <v>0.100397666527765</v>
      </c>
      <c r="M246" s="10" t="n">
        <f aca="false">IF(COUNT(B187:B246)&lt;60,"",(B246-AVERAGE(B187:B246))/STDEV(B187:B246))</f>
        <v>-0.483511545554384</v>
      </c>
      <c r="N246" s="10" t="n">
        <f aca="false">(H246-AVERAGE(H187:H246))/STDEV(H187:H246)</f>
        <v>-2.67830201612157</v>
      </c>
      <c r="O246" s="10" t="n">
        <f aca="false">IF(COUNT(B246)=0,"",B246-('Signal Analysis'!$C$6+'Signal Analysis'!$C$5*H246))</f>
        <v>0.311227568810327</v>
      </c>
    </row>
    <row r="247" customFormat="false" ht="15" hidden="false" customHeight="false" outlineLevel="0" collapsed="false">
      <c r="A247" s="8" t="n">
        <v>42681</v>
      </c>
      <c r="B247" s="9" t="n">
        <v>14.2989563856</v>
      </c>
      <c r="C247" s="9" t="n">
        <v>118</v>
      </c>
      <c r="D247" s="9" t="n">
        <v>118.82</v>
      </c>
      <c r="E247" s="9" t="n">
        <v>117.709999</v>
      </c>
      <c r="F247" s="9" t="n">
        <v>118.57</v>
      </c>
      <c r="G247" s="9" t="n">
        <v>112.358849</v>
      </c>
      <c r="H247" s="9" t="n">
        <v>112.358849</v>
      </c>
      <c r="I247" s="2" t="str">
        <f aca="false">IF(COUNT(C247:F247)&lt;4,"",IF(OR(D247&lt;MAX(C247,F247)-0.000001,E247&gt;MIN(C247,F247)+0.000001),"FAIL","OK"))</f>
        <v>OK</v>
      </c>
      <c r="J247" s="10" t="n">
        <f aca="false">IF(COUNT(F247,G247)&lt;2,"",G247/F247)</f>
        <v>0.947616167664671</v>
      </c>
      <c r="K247" s="10" t="n">
        <f aca="false">H247/H246-1</f>
        <v>0.0244515829566603</v>
      </c>
      <c r="L247" s="10" t="n">
        <f aca="false">H252/H247-1</f>
        <v>0.0892297232414689</v>
      </c>
      <c r="M247" s="10" t="n">
        <f aca="false">IF(COUNT(B188:B247)&lt;60,"",(B247-AVERAGE(B188:B247))/STDEV(B188:B247))</f>
        <v>0.895799086533409</v>
      </c>
      <c r="N247" s="10" t="n">
        <f aca="false">(H247-AVERAGE(H188:H247))/STDEV(H188:H247)</f>
        <v>-1.41124628609872</v>
      </c>
      <c r="O247" s="10" t="n">
        <f aca="false">IF(COUNT(B247)=0,"",B247-('Signal Analysis'!$C$6+'Signal Analysis'!$C$5*H247))</f>
        <v>0.72686659917431</v>
      </c>
    </row>
    <row r="248" customFormat="false" ht="15" hidden="false" customHeight="false" outlineLevel="0" collapsed="false">
      <c r="A248" s="8" t="n">
        <v>42682</v>
      </c>
      <c r="B248" s="9" t="n">
        <v>14.3377810884</v>
      </c>
      <c r="C248" s="9" t="n">
        <v>118.300003</v>
      </c>
      <c r="D248" s="9" t="n">
        <v>119.459999</v>
      </c>
      <c r="E248" s="9" t="n">
        <v>117.709999</v>
      </c>
      <c r="F248" s="9" t="n">
        <v>118.879997</v>
      </c>
      <c r="G248" s="9" t="n">
        <v>112.652611</v>
      </c>
      <c r="H248" s="9" t="n">
        <v>112.652611</v>
      </c>
      <c r="I248" s="2" t="str">
        <f aca="false">IF(COUNT(C248:F248)&lt;4,"",IF(OR(D248&lt;MAX(C248,F248)-0.000001,E248&gt;MIN(C248,F248)+0.000001),"FAIL","OK"))</f>
        <v>OK</v>
      </c>
      <c r="J248" s="10" t="n">
        <f aca="false">IF(COUNT(F248,G248)&lt;2,"",G248/F248)</f>
        <v>0.947616199889372</v>
      </c>
      <c r="K248" s="10" t="n">
        <f aca="false">H248/H247-1</f>
        <v>0.00261449812466474</v>
      </c>
      <c r="L248" s="10" t="n">
        <f aca="false">H253/H248-1</f>
        <v>0.0897543422229246</v>
      </c>
      <c r="M248" s="10" t="n">
        <f aca="false">IF(COUNT(B189:B248)&lt;60,"",(B248-AVERAGE(B189:B248))/STDEV(B189:B248))</f>
        <v>0.933582485661177</v>
      </c>
      <c r="N248" s="10" t="n">
        <f aca="false">(H248-AVERAGE(H189:H248))/STDEV(H189:H248)</f>
        <v>-1.23654236777371</v>
      </c>
      <c r="O248" s="10" t="n">
        <f aca="false">IF(COUNT(B248)=0,"",B248-('Signal Analysis'!$C$6+'Signal Analysis'!$C$5*H248))</f>
        <v>0.725506884821341</v>
      </c>
    </row>
    <row r="249" customFormat="false" ht="15" hidden="false" customHeight="false" outlineLevel="0" collapsed="false">
      <c r="A249" s="8" t="n">
        <v>42683</v>
      </c>
      <c r="B249" s="9" t="n">
        <v>14.2455672072</v>
      </c>
      <c r="C249" s="9" t="n">
        <v>118.080002</v>
      </c>
      <c r="D249" s="9" t="n">
        <v>122.830002</v>
      </c>
      <c r="E249" s="9" t="n">
        <v>118.050003</v>
      </c>
      <c r="F249" s="9" t="n">
        <v>122.540001</v>
      </c>
      <c r="G249" s="9" t="n">
        <v>116.12088</v>
      </c>
      <c r="H249" s="9" t="n">
        <v>116.12088</v>
      </c>
      <c r="I249" s="2" t="str">
        <f aca="false">IF(COUNT(C249:F249)&lt;4,"",IF(OR(D249&lt;MAX(C249,F249)-0.000001,E249&gt;MIN(C249,F249)+0.000001),"FAIL","OK"))</f>
        <v>OK</v>
      </c>
      <c r="J249" s="10" t="n">
        <f aca="false">IF(COUNT(F249,G249)&lt;2,"",G249/F249)</f>
        <v>0.947616117613709</v>
      </c>
      <c r="K249" s="10" t="n">
        <f aca="false">H249/H248-1</f>
        <v>0.0307872935142179</v>
      </c>
      <c r="L249" s="10" t="n">
        <f aca="false">H254/H249-1</f>
        <v>0.0571241020564088</v>
      </c>
      <c r="M249" s="10" t="n">
        <f aca="false">IF(COUNT(B190:B249)&lt;60,"",(B249-AVERAGE(B190:B249))/STDEV(B190:B249))</f>
        <v>0.753975225804452</v>
      </c>
      <c r="N249" s="10" t="n">
        <f aca="false">(H249-AVERAGE(H190:H249))/STDEV(H190:H249)</f>
        <v>0.291339012537742</v>
      </c>
      <c r="O249" s="10" t="n">
        <f aca="false">IF(COUNT(B249)=0,"",B249-('Signal Analysis'!$C$6+'Signal Analysis'!$C$5*H249))</f>
        <v>0.158860067112482</v>
      </c>
    </row>
    <row r="250" customFormat="false" ht="15" hidden="false" customHeight="false" outlineLevel="0" collapsed="false">
      <c r="A250" s="8" t="n">
        <v>42684</v>
      </c>
      <c r="B250" s="9" t="n">
        <v>15.468222672</v>
      </c>
      <c r="C250" s="9" t="n">
        <v>124.260002</v>
      </c>
      <c r="D250" s="9" t="n">
        <v>125.400002</v>
      </c>
      <c r="E250" s="9" t="n">
        <v>122.620003</v>
      </c>
      <c r="F250" s="9" t="n">
        <v>124.5</v>
      </c>
      <c r="G250" s="9" t="n">
        <v>117.978188</v>
      </c>
      <c r="H250" s="9" t="n">
        <v>117.978188</v>
      </c>
      <c r="I250" s="2" t="str">
        <f aca="false">IF(COUNT(C250:F250)&lt;4,"",IF(OR(D250&lt;MAX(C250,F250)-0.000001,E250&gt;MIN(C250,F250)+0.000001),"FAIL","OK"))</f>
        <v>OK</v>
      </c>
      <c r="J250" s="10" t="n">
        <f aca="false">IF(COUNT(F250,G250)&lt;2,"",G250/F250)</f>
        <v>0.947615967871486</v>
      </c>
      <c r="K250" s="10" t="n">
        <f aca="false">H250/H249-1</f>
        <v>0.0159946083770637</v>
      </c>
      <c r="L250" s="10" t="n">
        <f aca="false">H255/H250-1</f>
        <v>0.0465864503699616</v>
      </c>
      <c r="M250" s="10" t="n">
        <f aca="false">IF(COUNT(B191:B250)&lt;60,"",(B250-AVERAGE(B191:B250))/STDEV(B191:B250))</f>
        <v>2.69501193628954</v>
      </c>
      <c r="N250" s="10" t="n">
        <f aca="false">(H250-AVERAGE(H191:H250))/STDEV(H191:H250)</f>
        <v>1.08039896657888</v>
      </c>
      <c r="O250" s="10" t="n">
        <f aca="false">IF(COUNT(B250)=0,"",B250-('Signal Analysis'!$C$6+'Signal Analysis'!$C$5*H250))</f>
        <v>1.12744986156183</v>
      </c>
    </row>
    <row r="251" customFormat="false" ht="15" hidden="false" customHeight="false" outlineLevel="0" collapsed="false">
      <c r="A251" s="8" t="n">
        <v>42685</v>
      </c>
      <c r="B251" s="9" t="n">
        <v>14.8778067372</v>
      </c>
      <c r="C251" s="9" t="n">
        <v>125.029999</v>
      </c>
      <c r="D251" s="9" t="n">
        <v>127.720001</v>
      </c>
      <c r="E251" s="9" t="n">
        <v>124.550003</v>
      </c>
      <c r="F251" s="9" t="n">
        <v>127.360001</v>
      </c>
      <c r="G251" s="9" t="n">
        <v>120.688393</v>
      </c>
      <c r="H251" s="9" t="n">
        <v>120.688393</v>
      </c>
      <c r="I251" s="2" t="str">
        <f aca="false">IF(COUNT(C251:F251)&lt;4,"",IF(OR(D251&lt;MAX(C251,F251)-0.000001,E251&gt;MIN(C251,F251)+0.000001),"FAIL","OK"))</f>
        <v>OK</v>
      </c>
      <c r="J251" s="10" t="n">
        <f aca="false">IF(COUNT(F251,G251)&lt;2,"",G251/F251)</f>
        <v>0.947616143627386</v>
      </c>
      <c r="K251" s="10" t="n">
        <f aca="false">H251/H250-1</f>
        <v>0.0229720853146176</v>
      </c>
      <c r="L251" s="10" t="n">
        <f aca="false">H256/H251-1</f>
        <v>0.0285019040729129</v>
      </c>
      <c r="M251" s="10" t="n">
        <f aca="false">IF(COUNT(B192:B251)&lt;60,"",(B251-AVERAGE(B192:B251))/STDEV(B192:B251))</f>
        <v>1.65888717317975</v>
      </c>
      <c r="N251" s="10" t="n">
        <f aca="false">(H251-AVERAGE(H192:H251))/STDEV(H192:H251)</f>
        <v>2.14288462115909</v>
      </c>
      <c r="O251" s="10" t="n">
        <f aca="false">IF(COUNT(B251)=0,"",B251-('Signal Analysis'!$C$6+'Signal Analysis'!$C$5*H251))</f>
        <v>0.166298405182907</v>
      </c>
    </row>
    <row r="252" customFormat="false" ht="15" hidden="false" customHeight="false" outlineLevel="0" collapsed="false">
      <c r="A252" s="8" t="n">
        <v>42688</v>
      </c>
      <c r="B252" s="9" t="n">
        <v>15.1132632552</v>
      </c>
      <c r="C252" s="9" t="n">
        <v>128.949997</v>
      </c>
      <c r="D252" s="9" t="n">
        <v>130.259995</v>
      </c>
      <c r="E252" s="9" t="n">
        <v>128.389999</v>
      </c>
      <c r="F252" s="9" t="n">
        <v>129.149994</v>
      </c>
      <c r="G252" s="9" t="n">
        <v>122.384598</v>
      </c>
      <c r="H252" s="9" t="n">
        <v>122.384598</v>
      </c>
      <c r="I252" s="2" t="str">
        <f aca="false">IF(COUNT(C252:F252)&lt;4,"",IF(OR(D252&lt;MAX(C252,F252)-0.000001,E252&gt;MIN(C252,F252)+0.000001),"FAIL","OK"))</f>
        <v>OK</v>
      </c>
      <c r="J252" s="10" t="n">
        <f aca="false">IF(COUNT(F252,G252)&lt;2,"",G252/F252)</f>
        <v>0.947615978983321</v>
      </c>
      <c r="K252" s="10" t="n">
        <f aca="false">H252/H251-1</f>
        <v>0.0140544169810928</v>
      </c>
      <c r="L252" s="10" t="n">
        <f aca="false">H257/H252-1</f>
        <v>0.0189704099857402</v>
      </c>
      <c r="M252" s="10" t="n">
        <f aca="false">IF(COUNT(B193:B252)&lt;60,"",(B252-AVERAGE(B193:B252))/STDEV(B193:B252))</f>
        <v>1.96308430066849</v>
      </c>
      <c r="N252" s="10" t="n">
        <f aca="false">(H252-AVERAGE(H193:H252))/STDEV(H193:H252)</f>
        <v>2.63842549728373</v>
      </c>
      <c r="O252" s="10" t="n">
        <f aca="false">IF(COUNT(B252)=0,"",B252-('Signal Analysis'!$C$6+'Signal Analysis'!$C$5*H252))</f>
        <v>0.169726923315825</v>
      </c>
    </row>
    <row r="253" customFormat="false" ht="15" hidden="false" customHeight="false" outlineLevel="0" collapsed="false">
      <c r="A253" s="8" t="n">
        <v>42689</v>
      </c>
      <c r="B253" s="9" t="n">
        <v>14.2995734784</v>
      </c>
      <c r="C253" s="9" t="n">
        <v>128.850006</v>
      </c>
      <c r="D253" s="9" t="n">
        <v>129.889999</v>
      </c>
      <c r="E253" s="9" t="n">
        <v>128.300003</v>
      </c>
      <c r="F253" s="9" t="n">
        <v>129.550003</v>
      </c>
      <c r="G253" s="9" t="n">
        <v>122.763672</v>
      </c>
      <c r="H253" s="9" t="n">
        <v>122.763672</v>
      </c>
      <c r="I253" s="2" t="str">
        <f aca="false">IF(COUNT(C253:F253)&lt;4,"",IF(OR(D253&lt;MAX(C253,F253)-0.000001,E253&gt;MIN(C253,F253)+0.000001),"FAIL","OK"))</f>
        <v>OK</v>
      </c>
      <c r="J253" s="10" t="n">
        <f aca="false">IF(COUNT(F253,G253)&lt;2,"",G253/F253)</f>
        <v>0.947616126261302</v>
      </c>
      <c r="K253" s="10" t="n">
        <f aca="false">H253/H252-1</f>
        <v>0.00309739956003297</v>
      </c>
      <c r="L253" s="10" t="n">
        <f aca="false">H258/H253-1</f>
        <v>0.0250870061951227</v>
      </c>
      <c r="M253" s="10" t="n">
        <f aca="false">IF(COUNT(B194:B253)&lt;60,"",(B253-AVERAGE(B194:B253))/STDEV(B194:B253))</f>
        <v>0.690157967225767</v>
      </c>
      <c r="N253" s="10" t="n">
        <f aca="false">(H253-AVERAGE(H194:H253))/STDEV(H194:H253)</f>
        <v>2.58518653327541</v>
      </c>
      <c r="O253" s="10" t="n">
        <f aca="false">IF(COUNT(B253)=0,"",B253-('Signal Analysis'!$C$6+'Signal Analysis'!$C$5*H253))</f>
        <v>-0.695817306231113</v>
      </c>
    </row>
    <row r="254" customFormat="false" ht="15" hidden="false" customHeight="false" outlineLevel="0" collapsed="false">
      <c r="A254" s="8" t="n">
        <v>42690</v>
      </c>
      <c r="B254" s="9" t="n">
        <v>15.1144016208</v>
      </c>
      <c r="C254" s="9" t="n">
        <v>129.25</v>
      </c>
      <c r="D254" s="9" t="n">
        <v>130</v>
      </c>
      <c r="E254" s="9" t="n">
        <v>129.029999</v>
      </c>
      <c r="F254" s="9" t="n">
        <v>129.539993</v>
      </c>
      <c r="G254" s="9" t="n">
        <v>122.754181</v>
      </c>
      <c r="H254" s="9" t="n">
        <v>122.754181</v>
      </c>
      <c r="I254" s="2" t="str">
        <f aca="false">IF(COUNT(C254:F254)&lt;4,"",IF(OR(D254&lt;MAX(C254,F254)-0.000001,E254&gt;MIN(C254,F254)+0.000001),"FAIL","OK"))</f>
        <v>OK</v>
      </c>
      <c r="J254" s="10" t="n">
        <f aca="false">IF(COUNT(F254,G254)&lt;2,"",G254/F254)</f>
        <v>0.947616084864232</v>
      </c>
      <c r="K254" s="10" t="n">
        <f aca="false">H254/H253-1</f>
        <v>-7.73111446193964E-005</v>
      </c>
      <c r="L254" s="10" t="n">
        <f aca="false">H259/H254-1</f>
        <v>0.0315733685681956</v>
      </c>
      <c r="M254" s="10" t="n">
        <f aca="false">IF(COUNT(B195:B254)&lt;60,"",(B254-AVERAGE(B195:B254))/STDEV(B195:B254))</f>
        <v>1.88660571577953</v>
      </c>
      <c r="N254" s="10" t="n">
        <f aca="false">(H254-AVERAGE(H195:H254))/STDEV(H195:H254)</f>
        <v>2.42169076046361</v>
      </c>
      <c r="O254" s="10" t="n">
        <f aca="false">IF(COUNT(B254)=0,"",B254-('Signal Analysis'!$C$6+'Signal Analysis'!$C$5*H254))</f>
        <v>0.120309133100415</v>
      </c>
    </row>
    <row r="255" customFormat="false" ht="15" hidden="false" customHeight="false" outlineLevel="0" collapsed="false">
      <c r="A255" s="8" t="n">
        <v>42691</v>
      </c>
      <c r="B255" s="9" t="n">
        <v>14.648176998</v>
      </c>
      <c r="C255" s="9" t="n">
        <v>129.949997</v>
      </c>
      <c r="D255" s="9" t="n">
        <v>130.830002</v>
      </c>
      <c r="E255" s="9" t="n">
        <v>129.75</v>
      </c>
      <c r="F255" s="9" t="n">
        <v>130.300003</v>
      </c>
      <c r="G255" s="9" t="n">
        <v>123.474373</v>
      </c>
      <c r="H255" s="9" t="n">
        <v>123.474373</v>
      </c>
      <c r="I255" s="2" t="str">
        <f aca="false">IF(COUNT(C255:F255)&lt;4,"",IF(OR(D255&lt;MAX(C255,F255)-0.000001,E255&gt;MIN(C255,F255)+0.000001),"FAIL","OK"))</f>
        <v>OK</v>
      </c>
      <c r="J255" s="10" t="n">
        <f aca="false">IF(COUNT(F255,G255)&lt;2,"",G255/F255)</f>
        <v>0.947616041113982</v>
      </c>
      <c r="K255" s="10" t="n">
        <f aca="false">H255/H254-1</f>
        <v>0.00586694476826</v>
      </c>
      <c r="L255" s="10" t="n">
        <f aca="false">H260/H255-1</f>
        <v>0.0289334532599732</v>
      </c>
      <c r="M255" s="10" t="n">
        <f aca="false">IF(COUNT(B196:B255)&lt;60,"",(B255-AVERAGE(B196:B255))/STDEV(B196:B255))</f>
        <v>1.15169571361297</v>
      </c>
      <c r="N255" s="10" t="n">
        <f aca="false">(H255-AVERAGE(H196:H255))/STDEV(H196:H255)</f>
        <v>2.48919011989888</v>
      </c>
      <c r="O255" s="10" t="n">
        <f aca="false">IF(COUNT(B255)=0,"",B255-('Signal Analysis'!$C$6+'Signal Analysis'!$C$5*H255))</f>
        <v>-0.444432301806774</v>
      </c>
    </row>
    <row r="256" customFormat="false" ht="15" hidden="false" customHeight="false" outlineLevel="0" collapsed="false">
      <c r="A256" s="8" t="n">
        <v>42692</v>
      </c>
      <c r="B256" s="9" t="n">
        <v>15.955372944</v>
      </c>
      <c r="C256" s="9" t="n">
        <v>130.690002</v>
      </c>
      <c r="D256" s="9" t="n">
        <v>131.089996</v>
      </c>
      <c r="E256" s="9" t="n">
        <v>130.300003</v>
      </c>
      <c r="F256" s="9" t="n">
        <v>130.990005</v>
      </c>
      <c r="G256" s="9" t="n">
        <v>124.128242</v>
      </c>
      <c r="H256" s="9" t="n">
        <v>124.128242</v>
      </c>
      <c r="I256" s="2" t="str">
        <f aca="false">IF(COUNT(C256:F256)&lt;4,"",IF(OR(D256&lt;MAX(C256,F256)-0.000001,E256&gt;MIN(C256,F256)+0.000001),"FAIL","OK"))</f>
        <v>OK</v>
      </c>
      <c r="J256" s="10" t="n">
        <f aca="false">IF(COUNT(F256,G256)&lt;2,"",G256/F256)</f>
        <v>0.947616133001904</v>
      </c>
      <c r="K256" s="10" t="n">
        <f aca="false">H256/H255-1</f>
        <v>0.00529558469594327</v>
      </c>
      <c r="L256" s="10" t="n">
        <f aca="false">H261/H256-1</f>
        <v>0.0102297912186657</v>
      </c>
      <c r="M256" s="10" t="n">
        <f aca="false">IF(COUNT(B197:B256)&lt;60,"",(B256-AVERAGE(B197:B256))/STDEV(B197:B256))</f>
        <v>2.85039931176409</v>
      </c>
      <c r="N256" s="10" t="n">
        <f aca="false">(H256-AVERAGE(H197:H256))/STDEV(H197:H256)</f>
        <v>2.51587511877398</v>
      </c>
      <c r="O256" s="10" t="n">
        <f aca="false">IF(COUNT(B256)=0,"",B256-('Signal Analysis'!$C$6+'Signal Analysis'!$C$5*H256))</f>
        <v>0.773319316269955</v>
      </c>
    </row>
    <row r="257" customFormat="false" ht="15" hidden="false" customHeight="false" outlineLevel="0" collapsed="false">
      <c r="A257" s="8" t="n">
        <v>42695</v>
      </c>
      <c r="B257" s="9" t="n">
        <v>14.9407169688</v>
      </c>
      <c r="C257" s="9" t="n">
        <v>131.309998</v>
      </c>
      <c r="D257" s="9" t="n">
        <v>132</v>
      </c>
      <c r="E257" s="9" t="n">
        <v>130.610001</v>
      </c>
      <c r="F257" s="9" t="n">
        <v>131.600006</v>
      </c>
      <c r="G257" s="9" t="n">
        <v>124.706284</v>
      </c>
      <c r="H257" s="9" t="n">
        <v>124.706284</v>
      </c>
      <c r="I257" s="2" t="str">
        <f aca="false">IF(COUNT(C257:F257)&lt;4,"",IF(OR(D257&lt;MAX(C257,F257)-0.000001,E257&gt;MIN(C257,F257)+0.000001),"FAIL","OK"))</f>
        <v>OK</v>
      </c>
      <c r="J257" s="10" t="n">
        <f aca="false">IF(COUNT(F257,G257)&lt;2,"",G257/F257)</f>
        <v>0.947616096613248</v>
      </c>
      <c r="K257" s="10" t="n">
        <f aca="false">H257/H256-1</f>
        <v>0.00465681291127917</v>
      </c>
      <c r="L257" s="10" t="n">
        <f aca="false">H262/H257-1</f>
        <v>0.00501508007407225</v>
      </c>
      <c r="M257" s="10" t="n">
        <f aca="false">IF(COUNT(B198:B257)&lt;60,"",(B257-AVERAGE(B198:B257))/STDEV(B198:B257))</f>
        <v>1.38276939049156</v>
      </c>
      <c r="N257" s="10" t="n">
        <f aca="false">(H257-AVERAGE(H198:H257))/STDEV(H198:H257)</f>
        <v>2.50587527774533</v>
      </c>
      <c r="O257" s="10" t="n">
        <f aca="false">IF(COUNT(B257)=0,"",B257-('Signal Analysis'!$C$6+'Signal Analysis'!$C$5*H257))</f>
        <v>-0.320408427436309</v>
      </c>
    </row>
    <row r="258" customFormat="false" ht="15" hidden="false" customHeight="false" outlineLevel="0" collapsed="false">
      <c r="A258" s="8" t="n">
        <v>42696</v>
      </c>
      <c r="B258" s="9" t="n">
        <v>15.4991987328</v>
      </c>
      <c r="C258" s="9" t="n">
        <v>132.119995</v>
      </c>
      <c r="D258" s="9" t="n">
        <v>132.899994</v>
      </c>
      <c r="E258" s="9" t="n">
        <v>131.669998</v>
      </c>
      <c r="F258" s="9" t="n">
        <v>132.800003</v>
      </c>
      <c r="G258" s="9" t="n">
        <v>125.843445</v>
      </c>
      <c r="H258" s="9" t="n">
        <v>125.843445</v>
      </c>
      <c r="I258" s="2" t="str">
        <f aca="false">IF(COUNT(C258:F258)&lt;4,"",IF(OR(D258&lt;MAX(C258,F258)-0.000001,E258&gt;MIN(C258,F258)+0.000001),"FAIL","OK"))</f>
        <v>OK</v>
      </c>
      <c r="J258" s="10" t="n">
        <f aca="false">IF(COUNT(F258,G258)&lt;2,"",G258/F258)</f>
        <v>0.947616281303849</v>
      </c>
      <c r="K258" s="10" t="n">
        <f aca="false">H258/H257-1</f>
        <v>0.00911871449878188</v>
      </c>
      <c r="L258" s="10" t="n">
        <f aca="false">H263/H258-1</f>
        <v>-0.00896107858458584</v>
      </c>
      <c r="M258" s="10" t="n">
        <f aca="false">IF(COUNT(B199:B258)&lt;60,"",(B258-AVERAGE(B199:B258))/STDEV(B199:B258))</f>
        <v>2.04633925790488</v>
      </c>
      <c r="N258" s="10" t="n">
        <f aca="false">(H258-AVERAGE(H199:H258))/STDEV(H199:H258)</f>
        <v>2.62813515318216</v>
      </c>
      <c r="O258" s="10" t="n">
        <f aca="false">IF(COUNT(B258)=0,"",B258-('Signal Analysis'!$C$6+'Signal Analysis'!$C$5*H258))</f>
        <v>0.0825183226609774</v>
      </c>
    </row>
    <row r="259" customFormat="false" ht="15" hidden="false" customHeight="false" outlineLevel="0" collapsed="false">
      <c r="A259" s="8" t="n">
        <v>42697</v>
      </c>
      <c r="B259" s="9" t="n">
        <v>14.4382113792</v>
      </c>
      <c r="C259" s="9" t="n">
        <v>132.479996</v>
      </c>
      <c r="D259" s="9" t="n">
        <v>133.649994</v>
      </c>
      <c r="E259" s="9" t="n">
        <v>132.100006</v>
      </c>
      <c r="F259" s="9" t="n">
        <v>133.630005</v>
      </c>
      <c r="G259" s="9" t="n">
        <v>126.629944</v>
      </c>
      <c r="H259" s="9" t="n">
        <v>126.629944</v>
      </c>
      <c r="I259" s="2" t="str">
        <f aca="false">IF(COUNT(C259:F259)&lt;4,"",IF(OR(D259&lt;MAX(C259,F259)-0.000001,E259&gt;MIN(C259,F259)+0.000001),"FAIL","OK"))</f>
        <v>OK</v>
      </c>
      <c r="J259" s="10" t="n">
        <f aca="false">IF(COUNT(F259,G259)&lt;2,"",G259/F259)</f>
        <v>0.947616098644911</v>
      </c>
      <c r="K259" s="10" t="n">
        <f aca="false">H259/H258-1</f>
        <v>0.0062498209580959</v>
      </c>
      <c r="L259" s="10" t="n">
        <f aca="false">H264/H259-1</f>
        <v>-0.0199057262474979</v>
      </c>
      <c r="M259" s="10" t="n">
        <f aca="false">IF(COUNT(B200:B259)&lt;60,"",(B259-AVERAGE(B200:B259))/STDEV(B200:B259))</f>
        <v>0.617298040971645</v>
      </c>
      <c r="N259" s="10" t="n">
        <f aca="false">(H259-AVERAGE(H200:H259))/STDEV(H200:H259)</f>
        <v>2.63144009767738</v>
      </c>
      <c r="O259" s="10" t="n">
        <f aca="false">IF(COUNT(B259)=0,"",B259-('Signal Analysis'!$C$6+'Signal Analysis'!$C$5*H259))</f>
        <v>-1.08605613855129</v>
      </c>
    </row>
    <row r="260" customFormat="false" ht="15" hidden="false" customHeight="false" outlineLevel="0" collapsed="false">
      <c r="A260" s="8" t="n">
        <v>42699</v>
      </c>
      <c r="B260" s="9" t="n">
        <v>14.6665724352</v>
      </c>
      <c r="C260" s="9" t="n">
        <v>133.729996</v>
      </c>
      <c r="D260" s="9" t="n">
        <v>134.100006</v>
      </c>
      <c r="E260" s="9" t="n">
        <v>133.539993</v>
      </c>
      <c r="F260" s="9" t="n">
        <v>134.070007</v>
      </c>
      <c r="G260" s="9" t="n">
        <v>127.046913</v>
      </c>
      <c r="H260" s="9" t="n">
        <v>127.046913</v>
      </c>
      <c r="I260" s="2" t="str">
        <f aca="false">IF(COUNT(C260:F260)&lt;4,"",IF(OR(D260&lt;MAX(C260,F260)-0.000001,E260&gt;MIN(C260,F260)+0.000001),"FAIL","OK"))</f>
        <v>OK</v>
      </c>
      <c r="J260" s="10" t="n">
        <f aca="false">IF(COUNT(F260,G260)&lt;2,"",G260/F260)</f>
        <v>0.947616218144898</v>
      </c>
      <c r="K260" s="10" t="n">
        <f aca="false">H260/H259-1</f>
        <v>0.00329281516542412</v>
      </c>
      <c r="L260" s="10" t="n">
        <f aca="false">H265/H260-1</f>
        <v>-0.0236446122858569</v>
      </c>
      <c r="M260" s="10" t="n">
        <f aca="false">IF(COUNT(B201:B260)&lt;60,"",(B260-AVERAGE(B201:B260))/STDEV(B201:B260))</f>
        <v>0.916336493574202</v>
      </c>
      <c r="N260" s="10" t="n">
        <f aca="false">(H260-AVERAGE(H201:H260))/STDEV(H201:H260)</f>
        <v>2.54013382910815</v>
      </c>
      <c r="O260" s="10" t="n">
        <f aca="false">IF(COUNT(B260)=0,"",B260-('Signal Analysis'!$C$6+'Signal Analysis'!$C$5*H260))</f>
        <v>-0.914733284346811</v>
      </c>
    </row>
    <row r="261" customFormat="false" ht="15" hidden="false" customHeight="false" outlineLevel="0" collapsed="false">
      <c r="A261" s="8" t="n">
        <v>42702</v>
      </c>
      <c r="B261" s="9" t="n">
        <v>15.0420450996</v>
      </c>
      <c r="C261" s="9" t="n">
        <v>133.970001</v>
      </c>
      <c r="D261" s="9" t="n">
        <v>134</v>
      </c>
      <c r="E261" s="9" t="n">
        <v>132.149994</v>
      </c>
      <c r="F261" s="9" t="n">
        <v>132.330002</v>
      </c>
      <c r="G261" s="9" t="n">
        <v>125.398048</v>
      </c>
      <c r="H261" s="9" t="n">
        <v>125.398048</v>
      </c>
      <c r="I261" s="2" t="str">
        <f aca="false">IF(COUNT(C261:F261)&lt;4,"",IF(OR(D261&lt;MAX(C261,F261)-0.000001,E261&gt;MIN(C261,F261)+0.000001),"FAIL","OK"))</f>
        <v>OK</v>
      </c>
      <c r="J261" s="10" t="n">
        <f aca="false">IF(COUNT(F261,G261)&lt;2,"",G261/F261)</f>
        <v>0.947616157369967</v>
      </c>
      <c r="K261" s="10" t="n">
        <f aca="false">H261/H260-1</f>
        <v>-0.012978394839078</v>
      </c>
      <c r="L261" s="10" t="n">
        <f aca="false">H266/H261-1</f>
        <v>0.00619659565992614</v>
      </c>
      <c r="M261" s="10" t="n">
        <f aca="false">IF(COUNT(B202:B261)&lt;60,"",(B261-AVERAGE(B202:B261))/STDEV(B202:B261))</f>
        <v>1.38481031954838</v>
      </c>
      <c r="N261" s="10" t="n">
        <f aca="false">(H261-AVERAGE(H202:H261))/STDEV(H202:H261)</f>
        <v>2.02173630947237</v>
      </c>
      <c r="O261" s="10" t="n">
        <f aca="false">IF(COUNT(B261)=0,"",B261-('Signal Analysis'!$C$6+'Signal Analysis'!$C$5*H261))</f>
        <v>-0.313708373608169</v>
      </c>
    </row>
    <row r="262" customFormat="false" ht="15" hidden="false" customHeight="false" outlineLevel="0" collapsed="false">
      <c r="A262" s="8" t="n">
        <v>42703</v>
      </c>
      <c r="B262" s="9" t="n">
        <v>15.3317071368</v>
      </c>
      <c r="C262" s="9" t="n">
        <v>132.509995</v>
      </c>
      <c r="D262" s="9" t="n">
        <v>133.089996</v>
      </c>
      <c r="E262" s="9" t="n">
        <v>132.100006</v>
      </c>
      <c r="F262" s="9" t="n">
        <v>132.259995</v>
      </c>
      <c r="G262" s="9" t="n">
        <v>125.331696</v>
      </c>
      <c r="H262" s="9" t="n">
        <v>125.331696</v>
      </c>
      <c r="I262" s="2" t="str">
        <f aca="false">IF(COUNT(C262:F262)&lt;4,"",IF(OR(D262&lt;MAX(C262,F262)-0.000001,E262&gt;MIN(C262,F262)+0.000001),"FAIL","OK"))</f>
        <v>OK</v>
      </c>
      <c r="J262" s="10" t="n">
        <f aca="false">IF(COUNT(F262,G262)&lt;2,"",G262/F262)</f>
        <v>0.947616064857707</v>
      </c>
      <c r="K262" s="10" t="n">
        <f aca="false">H262/H261-1</f>
        <v>-0.000529131043570996</v>
      </c>
      <c r="L262" s="10" t="n">
        <f aca="false">H267/H262-1</f>
        <v>0.0176169482299196</v>
      </c>
      <c r="M262" s="10" t="n">
        <f aca="false">IF(COUNT(B203:B262)&lt;60,"",(B262-AVERAGE(B203:B262))/STDEV(B203:B262))</f>
        <v>1.69659896371562</v>
      </c>
      <c r="N262" s="10" t="n">
        <f aca="false">(H262-AVERAGE(H203:H262))/STDEV(H203:H262)</f>
        <v>1.91278559942765</v>
      </c>
      <c r="O262" s="10" t="n">
        <f aca="false">IF(COUNT(B262)=0,"",B262-('Signal Analysis'!$C$6+'Signal Analysis'!$C$5*H262))</f>
        <v>-0.0149698852438451</v>
      </c>
    </row>
    <row r="263" customFormat="false" ht="15" hidden="false" customHeight="false" outlineLevel="0" collapsed="false">
      <c r="A263" s="8" t="n">
        <v>42704</v>
      </c>
      <c r="B263" s="9" t="n">
        <v>20.7386498592</v>
      </c>
      <c r="C263" s="9" t="n">
        <v>132.919998</v>
      </c>
      <c r="D263" s="9" t="n">
        <v>133.089996</v>
      </c>
      <c r="E263" s="9" t="n">
        <v>131.5</v>
      </c>
      <c r="F263" s="9" t="n">
        <v>131.610001</v>
      </c>
      <c r="G263" s="9" t="n">
        <v>124.715752</v>
      </c>
      <c r="H263" s="9" t="n">
        <v>124.715752</v>
      </c>
      <c r="I263" s="2" t="str">
        <f aca="false">IF(COUNT(C263:F263)&lt;4,"",IF(OR(D263&lt;MAX(C263,F263)-0.000001,E263&gt;MIN(C263,F263)+0.000001),"FAIL","OK"))</f>
        <v>OK</v>
      </c>
      <c r="J263" s="10" t="n">
        <f aca="false">IF(COUNT(F263,G263)&lt;2,"",G263/F263)</f>
        <v>0.947616070605455</v>
      </c>
      <c r="K263" s="10" t="n">
        <f aca="false">H263/H262-1</f>
        <v>-0.00491451101084595</v>
      </c>
      <c r="L263" s="10" t="n">
        <f aca="false">H268/H263-1</f>
        <v>0.032596395682239</v>
      </c>
      <c r="M263" s="10" t="n">
        <f aca="false">IF(COUNT(B204:B263)&lt;60,"",(B263-AVERAGE(B204:B263))/STDEV(B204:B263))</f>
        <v>5.66319133041049</v>
      </c>
      <c r="N263" s="10" t="n">
        <f aca="false">(H263-AVERAGE(H204:H263))/STDEV(H204:H263)</f>
        <v>1.70068761514839</v>
      </c>
      <c r="O263" s="10" t="n">
        <f aca="false">IF(COUNT(B263)=0,"",B263-('Signal Analysis'!$C$6+'Signal Analysis'!$C$5*H263))</f>
        <v>5.476229312258</v>
      </c>
    </row>
    <row r="264" customFormat="false" ht="15" hidden="false" customHeight="false" outlineLevel="0" collapsed="false">
      <c r="A264" s="8" t="n">
        <v>42705</v>
      </c>
      <c r="B264" s="9" t="n">
        <v>15.30475896</v>
      </c>
      <c r="C264" s="9" t="n">
        <v>132.25</v>
      </c>
      <c r="D264" s="9" t="n">
        <v>132.550003</v>
      </c>
      <c r="E264" s="9" t="n">
        <v>130.289993</v>
      </c>
      <c r="F264" s="9" t="n">
        <v>130.970001</v>
      </c>
      <c r="G264" s="9" t="n">
        <v>124.109283</v>
      </c>
      <c r="H264" s="9" t="n">
        <v>124.109283</v>
      </c>
      <c r="I264" s="2" t="str">
        <f aca="false">IF(COUNT(C264:F264)&lt;4,"",IF(OR(D264&lt;MAX(C264,F264)-0.000001,E264&gt;MIN(C264,F264)+0.000001),"FAIL","OK"))</f>
        <v>OK</v>
      </c>
      <c r="J264" s="10" t="n">
        <f aca="false">IF(COUNT(F264,G264)&lt;2,"",G264/F264)</f>
        <v>0.947616110959639</v>
      </c>
      <c r="K264" s="10" t="n">
        <f aca="false">H264/H263-1</f>
        <v>-0.00486280995202582</v>
      </c>
      <c r="L264" s="10" t="n">
        <f aca="false">H269/H264-1</f>
        <v>0.0539817073957312</v>
      </c>
      <c r="M264" s="10" t="n">
        <f aca="false">IF(COUNT(B205:B264)&lt;60,"",(B264-AVERAGE(B205:B264))/STDEV(B205:B264))</f>
        <v>0.984710137023677</v>
      </c>
      <c r="N264" s="10" t="n">
        <f aca="false">(H264-AVERAGE(H205:H264))/STDEV(H205:H264)</f>
        <v>1.51399362853307</v>
      </c>
      <c r="O264" s="10" t="n">
        <f aca="false">IF(COUNT(B264)=0,"",B264-('Signal Analysis'!$C$6+'Signal Analysis'!$C$5*H264))</f>
        <v>0.125298779907167</v>
      </c>
    </row>
    <row r="265" customFormat="false" ht="15" hidden="false" customHeight="false" outlineLevel="0" collapsed="false">
      <c r="A265" s="8" t="n">
        <v>42706</v>
      </c>
      <c r="B265" s="9" t="n">
        <v>14.9901125904</v>
      </c>
      <c r="C265" s="9" t="n">
        <v>130.940002</v>
      </c>
      <c r="D265" s="9" t="n">
        <v>131.470001</v>
      </c>
      <c r="E265" s="9" t="n">
        <v>130.520004</v>
      </c>
      <c r="F265" s="9" t="n">
        <v>130.899994</v>
      </c>
      <c r="G265" s="9" t="n">
        <v>124.042938</v>
      </c>
      <c r="H265" s="9" t="n">
        <v>124.042938</v>
      </c>
      <c r="I265" s="2" t="str">
        <f aca="false">IF(COUNT(C265:F265)&lt;4,"",IF(OR(D265&lt;MAX(C265,F265)-0.000001,E265&gt;MIN(C265,F265)+0.000001),"FAIL","OK"))</f>
        <v>OK</v>
      </c>
      <c r="J265" s="10" t="n">
        <f aca="false">IF(COUNT(F265,G265)&lt;2,"",G265/F265)</f>
        <v>0.94761607093733</v>
      </c>
      <c r="K265" s="10" t="n">
        <f aca="false">H265/H264-1</f>
        <v>-0.000534569198985646</v>
      </c>
      <c r="L265" s="10" t="n">
        <f aca="false">H270/H265-1</f>
        <v>0.0566081077505596</v>
      </c>
      <c r="M265" s="10" t="n">
        <f aca="false">IF(COUNT(B206:B265)&lt;60,"",(B265-AVERAGE(B206:B265))/STDEV(B206:B265))</f>
        <v>0.703724996826912</v>
      </c>
      <c r="N265" s="10" t="n">
        <f aca="false">(H265-AVERAGE(H206:H265))/STDEV(H206:H265)</f>
        <v>1.45177277705258</v>
      </c>
      <c r="O265" s="10" t="n">
        <f aca="false">IF(COUNT(B265)=0,"",B265-('Signal Analysis'!$C$6+'Signal Analysis'!$C$5*H265))</f>
        <v>-0.180272096075504</v>
      </c>
    </row>
    <row r="266" customFormat="false" ht="15" hidden="false" customHeight="false" outlineLevel="0" collapsed="false">
      <c r="A266" s="8" t="n">
        <v>42709</v>
      </c>
      <c r="B266" s="9" t="n">
        <v>16.0110110736</v>
      </c>
      <c r="C266" s="9" t="n">
        <v>131.970001</v>
      </c>
      <c r="D266" s="9" t="n">
        <v>133.330002</v>
      </c>
      <c r="E266" s="9" t="n">
        <v>131.889999</v>
      </c>
      <c r="F266" s="9" t="n">
        <v>133.149994</v>
      </c>
      <c r="G266" s="11" t="n">
        <v>126.175089</v>
      </c>
      <c r="H266" s="9" t="n">
        <v>126.175089</v>
      </c>
      <c r="I266" s="2" t="str">
        <f aca="false">IF(COUNT(C266:F266)&lt;4,"",IF(OR(D266&lt;MAX(C266,F266)-0.000001,E266&gt;MIN(C266,F266)+0.000001),"FAIL","OK"))</f>
        <v>OK</v>
      </c>
      <c r="J266" s="10" t="n">
        <f aca="false">IF(COUNT(F266,G266)&lt;2,"",G266/F266)</f>
        <v>0.947616182393519</v>
      </c>
      <c r="K266" s="10" t="n">
        <f aca="false">H266/H265-1</f>
        <v>0.0171888140862964</v>
      </c>
      <c r="L266" s="10" t="n">
        <f aca="false">H271/H266-1</f>
        <v>0.0277882506585749</v>
      </c>
      <c r="M266" s="10" t="n">
        <f aca="false">IF(COUNT(B207:B266)&lt;60,"",(B266-AVERAGE(B207:B266))/STDEV(B207:B266))</f>
        <v>1.50669558249292</v>
      </c>
      <c r="N266" s="10" t="n">
        <f aca="false">(H266-AVERAGE(H207:H266))/STDEV(H207:H266)</f>
        <v>1.82241238677297</v>
      </c>
      <c r="O266" s="10" t="n">
        <f aca="false">IF(COUNT(B266)=0,"",B266-('Signal Analysis'!$C$6+'Signal Analysis'!$C$5*H266))</f>
        <v>0.548964275560977</v>
      </c>
    </row>
    <row r="267" customFormat="false" ht="15" hidden="false" customHeight="false" outlineLevel="0" collapsed="false">
      <c r="A267" s="8" t="n">
        <v>42710</v>
      </c>
      <c r="B267" s="9" t="n">
        <v>15.8850506088</v>
      </c>
      <c r="C267" s="9" t="n">
        <v>133.520004</v>
      </c>
      <c r="D267" s="9" t="n">
        <v>134.910004</v>
      </c>
      <c r="E267" s="9" t="n">
        <v>132.740005</v>
      </c>
      <c r="F267" s="9" t="n">
        <v>134.589996</v>
      </c>
      <c r="G267" s="9" t="n">
        <v>127.539658</v>
      </c>
      <c r="H267" s="9" t="n">
        <v>127.539658</v>
      </c>
      <c r="I267" s="2" t="str">
        <f aca="false">IF(COUNT(C267:F267)&lt;4,"",IF(OR(D267&lt;MAX(C267,F267)-0.000001,E267&gt;MIN(C267,F267)+0.000001),"FAIL","OK"))</f>
        <v>OK</v>
      </c>
      <c r="J267" s="10" t="n">
        <f aca="false">IF(COUNT(F267,G267)&lt;2,"",G267/F267)</f>
        <v>0.947616180923283</v>
      </c>
      <c r="K267" s="10" t="n">
        <f aca="false">H267/H266-1</f>
        <v>0.0108148843865685</v>
      </c>
      <c r="L267" s="10" t="n">
        <f aca="false">H272/H267-1</f>
        <v>0.0168660637305458</v>
      </c>
      <c r="M267" s="10" t="n">
        <f aca="false">IF(COUNT(B208:B267)&lt;60,"",(B267-AVERAGE(B208:B267))/STDEV(B208:B267))</f>
        <v>1.3549172965783</v>
      </c>
      <c r="N267" s="10" t="n">
        <f aca="false">(H267-AVERAGE(H208:H267))/STDEV(H208:H267)</f>
        <v>1.99884243588934</v>
      </c>
      <c r="O267" s="10" t="n">
        <f aca="false">IF(COUNT(B267)=0,"",B267-('Signal Analysis'!$C$6+'Signal Analysis'!$C$5*H267))</f>
        <v>0.236341104454471</v>
      </c>
    </row>
    <row r="268" customFormat="false" ht="15" hidden="false" customHeight="false" outlineLevel="0" collapsed="false">
      <c r="A268" s="8" t="n">
        <v>42711</v>
      </c>
      <c r="B268" s="9" t="n">
        <v>15.4061353512</v>
      </c>
      <c r="C268" s="9" t="n">
        <v>134.589996</v>
      </c>
      <c r="D268" s="9" t="n">
        <v>136.179993</v>
      </c>
      <c r="E268" s="9" t="n">
        <v>134.179993</v>
      </c>
      <c r="F268" s="9" t="n">
        <v>135.899994</v>
      </c>
      <c r="G268" s="9" t="n">
        <v>128.781036</v>
      </c>
      <c r="H268" s="9" t="n">
        <v>128.781036</v>
      </c>
      <c r="I268" s="2" t="str">
        <f aca="false">IF(COUNT(C268:F268)&lt;4,"",IF(OR(D268&lt;MAX(C268,F268)-0.000001,E268&gt;MIN(C268,F268)+0.000001),"FAIL","OK"))</f>
        <v>OK</v>
      </c>
      <c r="J268" s="10" t="n">
        <f aca="false">IF(COUNT(F268,G268)&lt;2,"",G268/F268)</f>
        <v>0.947616200777757</v>
      </c>
      <c r="K268" s="10" t="n">
        <f aca="false">H268/H267-1</f>
        <v>0.00973327057220108</v>
      </c>
      <c r="L268" s="10" t="n">
        <f aca="false">H273/H268-1</f>
        <v>-0.00551873181079243</v>
      </c>
      <c r="M268" s="10" t="n">
        <f aca="false">IF(COUNT(B209:B268)&lt;60,"",(B268-AVERAGE(B209:B268))/STDEV(B209:B268))</f>
        <v>0.933215247773361</v>
      </c>
      <c r="N268" s="10" t="n">
        <f aca="false">(H268-AVERAGE(H209:H268))/STDEV(H209:H268)</f>
        <v>2.12450971404027</v>
      </c>
      <c r="O268" s="10" t="n">
        <f aca="false">IF(COUNT(B268)=0,"",B268-('Signal Analysis'!$C$6+'Signal Analysis'!$C$5*H268))</f>
        <v>-0.412385263488325</v>
      </c>
    </row>
    <row r="269" customFormat="false" ht="15" hidden="false" customHeight="false" outlineLevel="0" collapsed="false">
      <c r="A269" s="8" t="n">
        <v>42712</v>
      </c>
      <c r="B269" s="9" t="n">
        <v>15.8741478</v>
      </c>
      <c r="C269" s="9" t="n">
        <v>136.25</v>
      </c>
      <c r="D269" s="9" t="n">
        <v>138.210007</v>
      </c>
      <c r="E269" s="9" t="n">
        <v>135.800003</v>
      </c>
      <c r="F269" s="9" t="n">
        <v>138.039993</v>
      </c>
      <c r="G269" s="9" t="n">
        <v>130.808914</v>
      </c>
      <c r="H269" s="9" t="n">
        <v>130.808914</v>
      </c>
      <c r="I269" s="2" t="str">
        <f aca="false">IF(COUNT(C269:F269)&lt;4,"",IF(OR(D269&lt;MAX(C269,F269)-0.000001,E269&gt;MIN(C269,F269)+0.000001),"FAIL","OK"))</f>
        <v>OK</v>
      </c>
      <c r="J269" s="10" t="n">
        <f aca="false">IF(COUNT(F269,G269)&lt;2,"",G269/F269)</f>
        <v>0.947616057905769</v>
      </c>
      <c r="K269" s="10" t="n">
        <f aca="false">H269/H268-1</f>
        <v>0.0157467128933486</v>
      </c>
      <c r="L269" s="10" t="n">
        <f aca="false">H274/H269-1</f>
        <v>-0.0136192859150256</v>
      </c>
      <c r="M269" s="10" t="n">
        <f aca="false">IF(COUNT(B210:B269)&lt;60,"",(B269-AVERAGE(B210:B269))/STDEV(B210:B269))</f>
        <v>1.27832577292486</v>
      </c>
      <c r="N269" s="10" t="n">
        <f aca="false">(H269-AVERAGE(H210:H269))/STDEV(H210:H269)</f>
        <v>2.35881037891962</v>
      </c>
      <c r="O269" s="10" t="n">
        <f aca="false">IF(COUNT(B269)=0,"",B269-('Signal Analysis'!$C$6+'Signal Analysis'!$C$5*H269))</f>
        <v>-0.221771169435808</v>
      </c>
    </row>
    <row r="270" customFormat="false" ht="15" hidden="false" customHeight="false" outlineLevel="0" collapsed="false">
      <c r="A270" s="8" t="n">
        <v>42713</v>
      </c>
      <c r="B270" s="9" t="n">
        <v>15.6758081472</v>
      </c>
      <c r="C270" s="9" t="n">
        <v>138.399994</v>
      </c>
      <c r="D270" s="9" t="n">
        <v>138.820007</v>
      </c>
      <c r="E270" s="9" t="n">
        <v>137.75</v>
      </c>
      <c r="F270" s="9" t="n">
        <v>138.309998</v>
      </c>
      <c r="G270" s="9" t="n">
        <v>131.064774</v>
      </c>
      <c r="H270" s="9" t="n">
        <v>131.064774</v>
      </c>
      <c r="I270" s="2" t="str">
        <f aca="false">IF(COUNT(C270:F270)&lt;4,"",IF(OR(D270&lt;MAX(C270,F270)-0.000001,E270&gt;MIN(C270,F270)+0.000001),"FAIL","OK"))</f>
        <v>OK</v>
      </c>
      <c r="J270" s="10" t="n">
        <f aca="false">IF(COUNT(F270,G270)&lt;2,"",G270/F270)</f>
        <v>0.947616050142666</v>
      </c>
      <c r="K270" s="10" t="n">
        <f aca="false">H270/H269-1</f>
        <v>0.00195598290801513</v>
      </c>
      <c r="L270" s="10" t="n">
        <f aca="false">H275/H270-1</f>
        <v>-0.0173521986922283</v>
      </c>
      <c r="M270" s="10" t="n">
        <f aca="false">IF(COUNT(B211:B270)&lt;60,"",(B270-AVERAGE(B211:B270))/STDEV(B211:B270))</f>
        <v>1.09024374468807</v>
      </c>
      <c r="N270" s="10" t="n">
        <f aca="false">(H270-AVERAGE(H211:H270))/STDEV(H211:H270)</f>
        <v>2.25750465481926</v>
      </c>
      <c r="O270" s="10" t="n">
        <f aca="false">IF(COUNT(B270)=0,"",B270-('Signal Analysis'!$C$6+'Signal Analysis'!$C$5*H270))</f>
        <v>-0.455110532793197</v>
      </c>
    </row>
    <row r="271" customFormat="false" ht="15" hidden="false" customHeight="false" outlineLevel="0" collapsed="false">
      <c r="A271" s="8" t="n">
        <v>42716</v>
      </c>
      <c r="B271" s="9" t="n">
        <v>16.102618272</v>
      </c>
      <c r="C271" s="9" t="n">
        <v>137.949997</v>
      </c>
      <c r="D271" s="9" t="n">
        <v>138.570007</v>
      </c>
      <c r="E271" s="9" t="n">
        <v>136.509995</v>
      </c>
      <c r="F271" s="9" t="n">
        <v>136.850006</v>
      </c>
      <c r="G271" s="9" t="n">
        <v>129.681274</v>
      </c>
      <c r="H271" s="9" t="n">
        <v>129.681274</v>
      </c>
      <c r="I271" s="2" t="str">
        <f aca="false">IF(COUNT(C271:F271)&lt;4,"",IF(OR(D271&lt;MAX(C271,F271)-0.000001,E271&gt;MIN(C271,F271)+0.000001),"FAIL","OK"))</f>
        <v>OK</v>
      </c>
      <c r="J271" s="10" t="n">
        <f aca="false">IF(COUNT(F271,G271)&lt;2,"",G271/F271)</f>
        <v>0.94761613675048</v>
      </c>
      <c r="K271" s="10" t="n">
        <f aca="false">H271/H270-1</f>
        <v>-0.0105558492780066</v>
      </c>
      <c r="L271" s="10" t="n">
        <f aca="false">H276/H271-1</f>
        <v>-0.000365580924197362</v>
      </c>
      <c r="M271" s="10" t="n">
        <f aca="false">IF(COUNT(B212:B271)&lt;60,"",(B271-AVERAGE(B212:B271))/STDEV(B212:B271))</f>
        <v>1.37792942833486</v>
      </c>
      <c r="N271" s="10" t="n">
        <f aca="false">(H271-AVERAGE(H212:H271))/STDEV(H212:H271)</f>
        <v>1.90860054184803</v>
      </c>
      <c r="O271" s="10" t="n">
        <f aca="false">IF(COUNT(B271)=0,"",B271-('Signal Analysis'!$C$6+'Signal Analysis'!$C$5*H271))</f>
        <v>0.160951915762546</v>
      </c>
    </row>
    <row r="272" customFormat="false" ht="15" hidden="false" customHeight="false" outlineLevel="0" collapsed="false">
      <c r="A272" s="8" t="n">
        <v>42717</v>
      </c>
      <c r="B272" s="9" t="n">
        <v>14.682118368</v>
      </c>
      <c r="C272" s="9" t="n">
        <v>137.529999</v>
      </c>
      <c r="D272" s="9" t="n">
        <v>138.050003</v>
      </c>
      <c r="E272" s="9" t="n">
        <v>136.240005</v>
      </c>
      <c r="F272" s="9" t="n">
        <v>136.860001</v>
      </c>
      <c r="G272" s="9" t="n">
        <v>129.69075</v>
      </c>
      <c r="H272" s="9" t="n">
        <v>129.69075</v>
      </c>
      <c r="I272" s="2" t="str">
        <f aca="false">IF(COUNT(C272:F272)&lt;4,"",IF(OR(D272&lt;MAX(C272,F272)-0.000001,E272&gt;MIN(C272,F272)+0.000001),"FAIL","OK"))</f>
        <v>OK</v>
      </c>
      <c r="J272" s="10" t="n">
        <f aca="false">IF(COUNT(F272,G272)&lt;2,"",G272/F272)</f>
        <v>0.947616170191318</v>
      </c>
      <c r="K272" s="10" t="n">
        <f aca="false">H272/H271-1</f>
        <v>7.30714598007332E-005</v>
      </c>
      <c r="L272" s="10" t="n">
        <f aca="false">H277/H272-1</f>
        <v>0.00803726557213991</v>
      </c>
      <c r="M272" s="10" t="n">
        <f aca="false">IF(COUNT(B213:B272)&lt;60,"",(B272-AVERAGE(B213:B272))/STDEV(B213:B272))</f>
        <v>0.254463464207544</v>
      </c>
      <c r="N272" s="10" t="n">
        <f aca="false">(H272-AVERAGE(H213:H272))/STDEV(H213:H272)</f>
        <v>1.81985221061867</v>
      </c>
      <c r="O272" s="10" t="n">
        <f aca="false">IF(COUNT(B272)=0,"",B272-('Signal Analysis'!$C$6+'Signal Analysis'!$C$5*H272))</f>
        <v>-1.26084423328257</v>
      </c>
    </row>
    <row r="273" customFormat="false" ht="15" hidden="false" customHeight="false" outlineLevel="0" collapsed="false">
      <c r="A273" s="8" t="n">
        <v>42718</v>
      </c>
      <c r="B273" s="9" t="n">
        <v>14.933821248</v>
      </c>
      <c r="C273" s="9" t="n">
        <v>136.419998</v>
      </c>
      <c r="D273" s="9" t="n">
        <v>137.350006</v>
      </c>
      <c r="E273" s="9" t="n">
        <v>134.809998</v>
      </c>
      <c r="F273" s="9" t="n">
        <v>135.149994</v>
      </c>
      <c r="G273" s="9" t="n">
        <v>128.070328</v>
      </c>
      <c r="H273" s="9" t="n">
        <v>128.070328</v>
      </c>
      <c r="I273" s="2" t="str">
        <f aca="false">IF(COUNT(C273:F273)&lt;4,"",IF(OR(D273&lt;MAX(C273,F273)-0.000001,E273&gt;MIN(C273,F273)+0.000001),"FAIL","OK"))</f>
        <v>OK</v>
      </c>
      <c r="J273" s="10" t="n">
        <f aca="false">IF(COUNT(F273,G273)&lt;2,"",G273/F273)</f>
        <v>0.947616231488697</v>
      </c>
      <c r="K273" s="10" t="n">
        <f aca="false">H273/H272-1</f>
        <v>-0.0124945071256047</v>
      </c>
      <c r="L273" s="10" t="n">
        <f aca="false">H278/H273-1</f>
        <v>0.0141323601513694</v>
      </c>
      <c r="M273" s="10" t="n">
        <f aca="false">IF(COUNT(B214:B273)&lt;60,"",(B273-AVERAGE(B214:B273))/STDEV(B214:B273))</f>
        <v>0.438608270201144</v>
      </c>
      <c r="N273" s="10" t="n">
        <f aca="false">(H273-AVERAGE(H214:H273))/STDEV(H214:H273)</f>
        <v>1.4845651926737</v>
      </c>
      <c r="O273" s="10" t="n">
        <f aca="false">IF(COUNT(B273)=0,"",B273-('Signal Analysis'!$C$6+'Signal Analysis'!$C$5*H273))</f>
        <v>-0.787479893965665</v>
      </c>
    </row>
    <row r="274" customFormat="false" ht="15" hidden="false" customHeight="false" outlineLevel="0" collapsed="false">
      <c r="A274" s="8" t="n">
        <v>42719</v>
      </c>
      <c r="B274" s="9" t="n">
        <v>14.903574426</v>
      </c>
      <c r="C274" s="9" t="n">
        <v>135.369995</v>
      </c>
      <c r="D274" s="9" t="n">
        <v>137.139999</v>
      </c>
      <c r="E274" s="9" t="n">
        <v>134.960007</v>
      </c>
      <c r="F274" s="9" t="n">
        <v>136.160004</v>
      </c>
      <c r="G274" s="9" t="n">
        <v>129.02739</v>
      </c>
      <c r="H274" s="9" t="n">
        <v>129.02739</v>
      </c>
      <c r="I274" s="2" t="str">
        <f aca="false">IF(COUNT(C274:F274)&lt;4,"",IF(OR(D274&lt;MAX(C274,F274)-0.000001,E274&gt;MIN(C274,F274)+0.000001),"FAIL","OK"))</f>
        <v>OK</v>
      </c>
      <c r="J274" s="10" t="n">
        <f aca="false">IF(COUNT(F274,G274)&lt;2,"",G274/F274)</f>
        <v>0.947615938671682</v>
      </c>
      <c r="K274" s="10" t="n">
        <f aca="false">H274/H273-1</f>
        <v>0.00747294096100082</v>
      </c>
      <c r="L274" s="10" t="n">
        <f aca="false">H279/H274-1</f>
        <v>-0.00206955282905441</v>
      </c>
      <c r="M274" s="10" t="n">
        <f aca="false">IF(COUNT(B215:B274)&lt;60,"",(B274-AVERAGE(B215:B274))/STDEV(B215:B274))</f>
        <v>0.408040330982405</v>
      </c>
      <c r="N274" s="10" t="n">
        <f aca="false">(H274-AVERAGE(H215:H274))/STDEV(H215:H274)</f>
        <v>1.57798184123599</v>
      </c>
      <c r="O274" s="10" t="n">
        <f aca="false">IF(COUNT(B274)=0,"",B274-('Signal Analysis'!$C$6+'Signal Analysis'!$C$5*H274))</f>
        <v>-0.948645550427768</v>
      </c>
    </row>
    <row r="275" customFormat="false" ht="15" hidden="false" customHeight="false" outlineLevel="0" collapsed="false">
      <c r="A275" s="8" t="n">
        <v>42720</v>
      </c>
      <c r="B275" s="9" t="n">
        <v>15.7414879968</v>
      </c>
      <c r="C275" s="9" t="n">
        <v>136.350006</v>
      </c>
      <c r="D275" s="9" t="n">
        <v>137.529999</v>
      </c>
      <c r="E275" s="9" t="n">
        <v>135.630005</v>
      </c>
      <c r="F275" s="9" t="n">
        <v>135.910004</v>
      </c>
      <c r="G275" s="9" t="n">
        <v>128.790512</v>
      </c>
      <c r="H275" s="9" t="n">
        <v>128.790512</v>
      </c>
      <c r="I275" s="2" t="str">
        <f aca="false">IF(COUNT(C275:F275)&lt;4,"",IF(OR(D275&lt;MAX(C275,F275)-0.000001,E275&gt;MIN(C275,F275)+0.000001),"FAIL","OK"))</f>
        <v>OK</v>
      </c>
      <c r="J275" s="10" t="n">
        <f aca="false">IF(COUNT(F275,G275)&lt;2,"",G275/F275)</f>
        <v>0.947616129861934</v>
      </c>
      <c r="K275" s="10" t="n">
        <f aca="false">H275/H274-1</f>
        <v>-0.00183587376292726</v>
      </c>
      <c r="L275" s="10" t="n">
        <f aca="false">H280/H275-1</f>
        <v>0.00508493979742841</v>
      </c>
      <c r="M275" s="10" t="n">
        <f aca="false">IF(COUNT(B216:B275)&lt;60,"",(B275-AVERAGE(B216:B275))/STDEV(B216:B275))</f>
        <v>1.03583123063528</v>
      </c>
      <c r="N275" s="10" t="n">
        <f aca="false">(H275-AVERAGE(H216:H275))/STDEV(H216:H275)</f>
        <v>1.48311488281438</v>
      </c>
      <c r="O275" s="10" t="n">
        <f aca="false">IF(COUNT(B275)=0,"",B275-('Signal Analysis'!$C$6+'Signal Analysis'!$C$5*H275))</f>
        <v>-0.0783288629334322</v>
      </c>
    </row>
    <row r="276" customFormat="false" ht="15" hidden="false" customHeight="false" outlineLevel="0" collapsed="false">
      <c r="A276" s="8" t="n">
        <v>42723</v>
      </c>
      <c r="B276" s="9" t="n">
        <v>15.1422184536</v>
      </c>
      <c r="C276" s="9" t="n">
        <v>136.039993</v>
      </c>
      <c r="D276" s="9" t="n">
        <v>137.190002</v>
      </c>
      <c r="E276" s="9" t="n">
        <v>135.910004</v>
      </c>
      <c r="F276" s="9" t="n">
        <v>136.800003</v>
      </c>
      <c r="G276" s="9" t="n">
        <v>129.633865</v>
      </c>
      <c r="H276" s="9" t="n">
        <v>129.633865</v>
      </c>
      <c r="I276" s="2" t="str">
        <f aca="false">IF(COUNT(C276:F276)&lt;4,"",IF(OR(D276&lt;MAX(C276,F276)-0.000001,E276&gt;MIN(C276,F276)+0.000001),"FAIL","OK"))</f>
        <v>OK</v>
      </c>
      <c r="J276" s="10" t="n">
        <f aca="false">IF(COUNT(F276,G276)&lt;2,"",G276/F276)</f>
        <v>0.947615951441171</v>
      </c>
      <c r="K276" s="10" t="n">
        <f aca="false">H276/H275-1</f>
        <v>0.00654825411362592</v>
      </c>
      <c r="L276" s="10" t="n">
        <f aca="false">H281/H276-1</f>
        <v>0.00302400919697954</v>
      </c>
      <c r="M276" s="10" t="n">
        <f aca="false">IF(COUNT(B217:B276)&lt;60,"",(B276-AVERAGE(B217:B276))/STDEV(B217:B276))</f>
        <v>0.558407387234605</v>
      </c>
      <c r="N276" s="10" t="n">
        <f aca="false">(H276-AVERAGE(H217:H276))/STDEV(H217:H276)</f>
        <v>1.55470550365845</v>
      </c>
      <c r="O276" s="10" t="n">
        <f aca="false">IF(COUNT(B276)=0,"",B276-('Signal Analysis'!$C$6+'Signal Analysis'!$C$5*H276))</f>
        <v>-0.792962710431498</v>
      </c>
    </row>
    <row r="277" customFormat="false" ht="15" hidden="false" customHeight="false" outlineLevel="0" collapsed="false">
      <c r="A277" s="8" t="n">
        <v>42724</v>
      </c>
      <c r="B277" s="9" t="n">
        <v>15.8441174496</v>
      </c>
      <c r="C277" s="9" t="n">
        <v>137.279999</v>
      </c>
      <c r="D277" s="9" t="n">
        <v>138.210007</v>
      </c>
      <c r="E277" s="9" t="n">
        <v>136.990005</v>
      </c>
      <c r="F277" s="9" t="n">
        <v>137.960007</v>
      </c>
      <c r="G277" s="9" t="n">
        <v>130.733109</v>
      </c>
      <c r="H277" s="9" t="n">
        <v>130.733109</v>
      </c>
      <c r="I277" s="2" t="str">
        <f aca="false">IF(COUNT(C277:F277)&lt;4,"",IF(OR(D277&lt;MAX(C277,F277)-0.000001,E277&gt;MIN(C277,F277)+0.000001),"FAIL","OK"))</f>
        <v>OK</v>
      </c>
      <c r="J277" s="10" t="n">
        <f aca="false">IF(COUNT(F277,G277)&lt;2,"",G277/F277)</f>
        <v>0.947615992800001</v>
      </c>
      <c r="K277" s="10" t="n">
        <f aca="false">H277/H276-1</f>
        <v>0.00847960523278402</v>
      </c>
      <c r="L277" s="10" t="n">
        <f aca="false">H282/H277-1</f>
        <v>-0.0155997131530009</v>
      </c>
      <c r="M277" s="10" t="n">
        <f aca="false">IF(COUNT(B218:B277)&lt;60,"",(B277-AVERAGE(B218:B277))/STDEV(B218:B277))</f>
        <v>1.06794096140445</v>
      </c>
      <c r="N277" s="10" t="n">
        <f aca="false">(H277-AVERAGE(H218:H277))/STDEV(H218:H277)</f>
        <v>1.65375286989091</v>
      </c>
      <c r="O277" s="10" t="n">
        <f aca="false">IF(COUNT(B277)=0,"",B277-('Signal Analysis'!$C$6+'Signal Analysis'!$C$5*H277))</f>
        <v>-0.241431969852217</v>
      </c>
    </row>
    <row r="278" customFormat="false" ht="15" hidden="false" customHeight="false" outlineLevel="0" collapsed="false">
      <c r="A278" s="8" t="n">
        <v>42725</v>
      </c>
      <c r="B278" s="9" t="n">
        <v>15.9151675896</v>
      </c>
      <c r="C278" s="9" t="n">
        <v>137.850006</v>
      </c>
      <c r="D278" s="9" t="n">
        <v>138.149994</v>
      </c>
      <c r="E278" s="9" t="n">
        <v>137.009995</v>
      </c>
      <c r="F278" s="9" t="n">
        <v>137.059998</v>
      </c>
      <c r="G278" s="9" t="n">
        <v>129.880264</v>
      </c>
      <c r="H278" s="9" t="n">
        <v>129.880264</v>
      </c>
      <c r="I278" s="2" t="str">
        <f aca="false">IF(COUNT(C278:F278)&lt;4,"",IF(OR(D278&lt;MAX(C278,F278)-0.000001,E278&gt;MIN(C278,F278)+0.000001),"FAIL","OK"))</f>
        <v>OK</v>
      </c>
      <c r="J278" s="10" t="n">
        <f aca="false">IF(COUNT(F278,G278)&lt;2,"",G278/F278)</f>
        <v>0.94761612356072</v>
      </c>
      <c r="K278" s="10" t="n">
        <f aca="false">H278/H277-1</f>
        <v>-0.00652355785403991</v>
      </c>
      <c r="L278" s="10" t="n">
        <f aca="false">H283/H278-1</f>
        <v>-0.00825673560380213</v>
      </c>
      <c r="M278" s="10" t="n">
        <f aca="false">IF(COUNT(B219:B278)&lt;60,"",(B278-AVERAGE(B219:B278))/STDEV(B219:B278))</f>
        <v>1.08590660864888</v>
      </c>
      <c r="N278" s="10" t="n">
        <f aca="false">(H278-AVERAGE(H219:H278))/STDEV(H219:H278)</f>
        <v>1.46464118788258</v>
      </c>
      <c r="O278" s="10" t="n">
        <f aca="false">IF(COUNT(B278)=0,"",B278-('Signal Analysis'!$C$6+'Signal Analysis'!$C$5*H278))</f>
        <v>-0.053719091830196</v>
      </c>
    </row>
    <row r="279" customFormat="false" ht="15" hidden="false" customHeight="false" outlineLevel="0" collapsed="false">
      <c r="A279" s="8" t="n">
        <v>42726</v>
      </c>
      <c r="B279" s="9" t="n">
        <v>16.21540746</v>
      </c>
      <c r="C279" s="9" t="n">
        <v>136.559998</v>
      </c>
      <c r="D279" s="9" t="n">
        <v>136.75</v>
      </c>
      <c r="E279" s="9" t="n">
        <v>134.809998</v>
      </c>
      <c r="F279" s="9" t="n">
        <v>135.320007</v>
      </c>
      <c r="G279" s="9" t="n">
        <v>128.760361</v>
      </c>
      <c r="H279" s="9" t="n">
        <v>128.760361</v>
      </c>
      <c r="I279" s="2" t="str">
        <f aca="false">IF(COUNT(C279:F279)&lt;4,"",IF(OR(D279&lt;MAX(C279,F279)-0.000001,E279&gt;MIN(C279,F279)+0.000001),"FAIL","OK"))</f>
        <v>OK</v>
      </c>
      <c r="J279" s="10" t="n">
        <f aca="false">IF(COUNT(F279,G279)&lt;2,"",G279/F279)</f>
        <v>0.951524935998562</v>
      </c>
      <c r="K279" s="10" t="n">
        <f aca="false">H279/H278-1</f>
        <v>-0.00862258025591955</v>
      </c>
      <c r="L279" s="10" t="n">
        <f aca="false">H284/H279-1</f>
        <v>-0.00347351464788137</v>
      </c>
      <c r="M279" s="10" t="n">
        <f aca="false">IF(COUNT(B220:B279)&lt;60,"",(B279-AVERAGE(B220:B279))/STDEV(B220:B279))</f>
        <v>1.27221043962602</v>
      </c>
      <c r="N279" s="10" t="n">
        <f aca="false">(H279-AVERAGE(H220:H279))/STDEV(H220:H279)</f>
        <v>1.25240467685145</v>
      </c>
      <c r="O279" s="10" t="n">
        <f aca="false">IF(COUNT(B279)=0,"",B279-('Signal Analysis'!$C$6+'Signal Analysis'!$C$5*H279))</f>
        <v>0.399715028754866</v>
      </c>
    </row>
    <row r="280" customFormat="false" ht="15" hidden="false" customHeight="false" outlineLevel="0" collapsed="false">
      <c r="A280" s="8" t="n">
        <v>42727</v>
      </c>
      <c r="B280" s="9" t="n">
        <v>14.684097978</v>
      </c>
      <c r="C280" s="9" t="n">
        <v>135.460007</v>
      </c>
      <c r="D280" s="9" t="n">
        <v>136.119995</v>
      </c>
      <c r="E280" s="9" t="n">
        <v>135.270004</v>
      </c>
      <c r="F280" s="9" t="n">
        <v>136.039993</v>
      </c>
      <c r="G280" s="9" t="n">
        <v>129.445404</v>
      </c>
      <c r="H280" s="9" t="n">
        <v>129.445404</v>
      </c>
      <c r="I280" s="2" t="str">
        <f aca="false">IF(COUNT(C280:F280)&lt;4,"",IF(OR(D280&lt;MAX(C280,F280)-0.000001,E280&gt;MIN(C280,F280)+0.000001),"FAIL","OK"))</f>
        <v>OK</v>
      </c>
      <c r="J280" s="10" t="n">
        <f aca="false">IF(COUNT(F280,G280)&lt;2,"",G280/F280)</f>
        <v>0.951524629966719</v>
      </c>
      <c r="K280" s="10" t="n">
        <f aca="false">H280/H279-1</f>
        <v>0.0053202941858792</v>
      </c>
      <c r="L280" s="10" t="n">
        <f aca="false">H285/H280-1</f>
        <v>-0.00382243775916524</v>
      </c>
      <c r="M280" s="10" t="n">
        <f aca="false">IF(COUNT(B221:B280)&lt;60,"",(B280-AVERAGE(B221:B280))/STDEV(B221:B280))</f>
        <v>0.106616259874227</v>
      </c>
      <c r="N280" s="10" t="n">
        <f aca="false">(H280-AVERAGE(H221:H280))/STDEV(H221:H280)</f>
        <v>1.30654253243615</v>
      </c>
      <c r="O280" s="10" t="n">
        <f aca="false">IF(COUNT(B280)=0,"",B280-('Signal Analysis'!$C$6+'Signal Analysis'!$C$5*H280))</f>
        <v>-1.22530314831026</v>
      </c>
    </row>
    <row r="281" customFormat="false" ht="15" hidden="false" customHeight="false" outlineLevel="0" collapsed="false">
      <c r="A281" s="8" t="n">
        <v>42731</v>
      </c>
      <c r="B281" s="9" t="n">
        <v>15.705524664</v>
      </c>
      <c r="C281" s="9" t="n">
        <v>136.229996</v>
      </c>
      <c r="D281" s="9" t="n">
        <v>137.300003</v>
      </c>
      <c r="E281" s="9" t="n">
        <v>136.210007</v>
      </c>
      <c r="F281" s="9" t="n">
        <v>136.649994</v>
      </c>
      <c r="G281" s="9" t="n">
        <v>130.025879</v>
      </c>
      <c r="H281" s="9" t="n">
        <v>130.025879</v>
      </c>
      <c r="I281" s="2" t="str">
        <f aca="false">IF(COUNT(C281:F281)&lt;4,"",IF(OR(D281&lt;MAX(C281,F281)-0.000001,E281&gt;MIN(C281,F281)+0.000001),"FAIL","OK"))</f>
        <v>OK</v>
      </c>
      <c r="J281" s="10" t="n">
        <f aca="false">IF(COUNT(F281,G281)&lt;2,"",G281/F281)</f>
        <v>0.951524952134283</v>
      </c>
      <c r="K281" s="10" t="n">
        <f aca="false">H281/H280-1</f>
        <v>0.00448432298144796</v>
      </c>
      <c r="L281" s="10" t="n">
        <f aca="false">H286/H281-1</f>
        <v>0.00826920001056086</v>
      </c>
      <c r="M281" s="10" t="n">
        <f aca="false">IF(COUNT(B222:B281)&lt;60,"",(B281-AVERAGE(B222:B281))/STDEV(B222:B281))</f>
        <v>0.852460252342805</v>
      </c>
      <c r="N281" s="10" t="n">
        <f aca="false">(H281-AVERAGE(H222:H281))/STDEV(H222:H281)</f>
        <v>1.34261134368085</v>
      </c>
      <c r="O281" s="10" t="n">
        <f aca="false">IF(COUNT(B281)=0,"",B281-('Signal Analysis'!$C$6+'Signal Analysis'!$C$5*H281))</f>
        <v>-0.28328104679318</v>
      </c>
    </row>
    <row r="282" customFormat="false" ht="15" hidden="false" customHeight="false" outlineLevel="0" collapsed="false">
      <c r="A282" s="8" t="n">
        <v>42732</v>
      </c>
      <c r="B282" s="9" t="n">
        <v>15.1645913832</v>
      </c>
      <c r="C282" s="9" t="n">
        <v>136.889999</v>
      </c>
      <c r="D282" s="9" t="n">
        <v>136.979996</v>
      </c>
      <c r="E282" s="9" t="n">
        <v>134.830002</v>
      </c>
      <c r="F282" s="9" t="n">
        <v>135.25</v>
      </c>
      <c r="G282" s="9" t="n">
        <v>128.69371</v>
      </c>
      <c r="H282" s="9" t="n">
        <v>128.69371</v>
      </c>
      <c r="I282" s="2" t="str">
        <f aca="false">IF(COUNT(C282:F282)&lt;4,"",IF(OR(D282&lt;MAX(C282,F282)-0.000001,E282&gt;MIN(C282,F282)+0.000001),"FAIL","OK"))</f>
        <v>OK</v>
      </c>
      <c r="J282" s="10" t="n">
        <f aca="false">IF(COUNT(F282,G282)&lt;2,"",G282/F282)</f>
        <v>0.951524658040666</v>
      </c>
      <c r="K282" s="10" t="n">
        <f aca="false">H282/H281-1</f>
        <v>-0.0102454142994103</v>
      </c>
      <c r="L282" s="10" t="n">
        <f aca="false">H287/H282-1</f>
        <v>0.00694991231506181</v>
      </c>
      <c r="M282" s="10" t="n">
        <f aca="false">IF(COUNT(B223:B282)&lt;60,"",(B282-AVERAGE(B223:B282))/STDEV(B223:B282))</f>
        <v>0.435586991395636</v>
      </c>
      <c r="N282" s="10" t="n">
        <f aca="false">(H282-AVERAGE(H223:H282))/STDEV(H223:H282)</f>
        <v>1.11186050921134</v>
      </c>
      <c r="O282" s="10" t="n">
        <f aca="false">IF(COUNT(B282)=0,"",B282-('Signal Analysis'!$C$6+'Signal Analysis'!$C$5*H282))</f>
        <v>-0.641983695944925</v>
      </c>
    </row>
    <row r="283" customFormat="false" ht="15" hidden="false" customHeight="false" outlineLevel="0" collapsed="false">
      <c r="A283" s="8" t="n">
        <v>42733</v>
      </c>
      <c r="B283" s="9" t="n">
        <v>15.73213068</v>
      </c>
      <c r="C283" s="9" t="n">
        <v>135.289993</v>
      </c>
      <c r="D283" s="9" t="n">
        <v>136.259995</v>
      </c>
      <c r="E283" s="9" t="n">
        <v>134.690002</v>
      </c>
      <c r="F283" s="9" t="n">
        <v>135.369995</v>
      </c>
      <c r="G283" s="9" t="n">
        <v>128.807877</v>
      </c>
      <c r="H283" s="9" t="n">
        <v>128.807877</v>
      </c>
      <c r="I283" s="2" t="str">
        <f aca="false">IF(COUNT(C283:F283)&lt;4,"",IF(OR(D283&lt;MAX(C283,F283)-0.000001,E283&gt;MIN(C283,F283)+0.000001),"FAIL","OK"))</f>
        <v>OK</v>
      </c>
      <c r="J283" s="10" t="n">
        <f aca="false">IF(COUNT(F283,G283)&lt;2,"",G283/F283)</f>
        <v>0.951524575294547</v>
      </c>
      <c r="K283" s="10" t="n">
        <f aca="false">H283/H282-1</f>
        <v>0.000887121833693216</v>
      </c>
      <c r="L283" s="10" t="n">
        <f aca="false">H288/H283-1</f>
        <v>0.00236401691489729</v>
      </c>
      <c r="M283" s="10" t="n">
        <f aca="false">IF(COUNT(B224:B283)&lt;60,"",(B283-AVERAGE(B224:B283))/STDEV(B224:B283))</f>
        <v>0.844025759743856</v>
      </c>
      <c r="N283" s="10" t="n">
        <f aca="false">(H283-AVERAGE(H224:H283))/STDEV(H224:H283)</f>
        <v>1.09150845590974</v>
      </c>
      <c r="O283" s="10" t="n">
        <f aca="false">IF(COUNT(B283)=0,"",B283-('Signal Analysis'!$C$6+'Signal Analysis'!$C$5*H283))</f>
        <v>-0.0900615802408549</v>
      </c>
    </row>
    <row r="284" customFormat="false" ht="15" hidden="false" customHeight="false" outlineLevel="0" collapsed="false">
      <c r="A284" s="8" t="n">
        <v>42734</v>
      </c>
      <c r="B284" s="9" t="n">
        <v>15.706080144</v>
      </c>
      <c r="C284" s="9" t="n">
        <v>135.600006</v>
      </c>
      <c r="D284" s="9" t="n">
        <v>135.630005</v>
      </c>
      <c r="E284" s="9" t="n">
        <v>134.399994</v>
      </c>
      <c r="F284" s="9" t="n">
        <v>134.850006</v>
      </c>
      <c r="G284" s="9" t="n">
        <v>128.31311</v>
      </c>
      <c r="H284" s="9" t="n">
        <v>128.31311</v>
      </c>
      <c r="I284" s="2" t="str">
        <f aca="false">IF(COUNT(C284:F284)&lt;4,"",IF(OR(D284&lt;MAX(C284,F284)-0.000001,E284&gt;MIN(C284,F284)+0.000001),"FAIL","OK"))</f>
        <v>OK</v>
      </c>
      <c r="J284" s="10" t="n">
        <f aca="false">IF(COUNT(F284,G284)&lt;2,"",G284/F284)</f>
        <v>0.951524688845768</v>
      </c>
      <c r="K284" s="10" t="n">
        <f aca="false">H284/H283-1</f>
        <v>-0.00384112378468904</v>
      </c>
      <c r="L284" s="10" t="n">
        <f aca="false">H289/H284-1</f>
        <v>-0.000370663605612886</v>
      </c>
      <c r="M284" s="10" t="n">
        <f aca="false">IF(COUNT(B225:B284)&lt;60,"",(B284-AVERAGE(B225:B284))/STDEV(B225:B284))</f>
        <v>0.796981450035094</v>
      </c>
      <c r="N284" s="10" t="n">
        <f aca="false">(H284-AVERAGE(H225:H284))/STDEV(H225:H284)</f>
        <v>0.988829185032777</v>
      </c>
      <c r="O284" s="10" t="n">
        <f aca="false">IF(COUNT(B284)=0,"",B284-('Signal Analysis'!$C$6+'Signal Analysis'!$C$5*H284))</f>
        <v>-0.0484317371532814</v>
      </c>
    </row>
    <row r="285" customFormat="false" ht="15" hidden="false" customHeight="false" outlineLevel="0" collapsed="false">
      <c r="A285" s="8" t="n">
        <v>42738</v>
      </c>
      <c r="B285" s="9" t="n">
        <v>14.718811434</v>
      </c>
      <c r="C285" s="9" t="n">
        <v>136.490005</v>
      </c>
      <c r="D285" s="9" t="n">
        <v>136.830002</v>
      </c>
      <c r="E285" s="9" t="n">
        <v>134.5</v>
      </c>
      <c r="F285" s="9" t="n">
        <v>135.520004</v>
      </c>
      <c r="G285" s="9" t="n">
        <v>128.950607</v>
      </c>
      <c r="H285" s="9" t="n">
        <v>128.950607</v>
      </c>
      <c r="I285" s="2" t="str">
        <f aca="false">IF(COUNT(C285:F285)&lt;4,"",IF(OR(D285&lt;MAX(C285,F285)-0.000001,E285&gt;MIN(C285,F285)+0.000001),"FAIL","OK"))</f>
        <v>OK</v>
      </c>
      <c r="J285" s="10" t="n">
        <f aca="false">IF(COUNT(F285,G285)&lt;2,"",G285/F285)</f>
        <v>0.951524521796797</v>
      </c>
      <c r="K285" s="10" t="n">
        <f aca="false">H285/H284-1</f>
        <v>0.004968292016303</v>
      </c>
      <c r="L285" s="10" t="n">
        <f aca="false">H290/H285-1</f>
        <v>0.0042061764005501</v>
      </c>
      <c r="M285" s="10" t="n">
        <f aca="false">IF(COUNT(B226:B285)&lt;60,"",(B285-AVERAGE(B226:B285))/STDEV(B226:B285))</f>
        <v>0.0454966619049285</v>
      </c>
      <c r="N285" s="10" t="n">
        <f aca="false">(H285-AVERAGE(H226:H285))/STDEV(H226:H285)</f>
        <v>1.0449685907929</v>
      </c>
      <c r="O285" s="10" t="n">
        <f aca="false">IF(COUNT(B285)=0,"",B285-('Signal Analysis'!$C$6+'Signal Analysis'!$C$5*H285))</f>
        <v>-1.12290520944986</v>
      </c>
    </row>
    <row r="286" customFormat="false" ht="15" hidden="false" customHeight="false" outlineLevel="0" collapsed="false">
      <c r="A286" s="8" t="n">
        <v>42739</v>
      </c>
      <c r="B286" s="9" t="n">
        <v>15.5457845388</v>
      </c>
      <c r="C286" s="9" t="n">
        <v>136.050003</v>
      </c>
      <c r="D286" s="9" t="n">
        <v>137.960007</v>
      </c>
      <c r="E286" s="9" t="n">
        <v>136.009995</v>
      </c>
      <c r="F286" s="9" t="n">
        <v>137.779999</v>
      </c>
      <c r="G286" s="9" t="n">
        <v>131.101089</v>
      </c>
      <c r="H286" s="9" t="n">
        <v>131.101089</v>
      </c>
      <c r="I286" s="2" t="str">
        <f aca="false">IF(COUNT(C286:F286)&lt;4,"",IF(OR(D286&lt;MAX(C286,F286)-0.000001,E286&gt;MIN(C286,F286)+0.000001),"FAIL","OK"))</f>
        <v>OK</v>
      </c>
      <c r="J286" s="10" t="n">
        <f aca="false">IF(COUNT(F286,G286)&lt;2,"",G286/F286)</f>
        <v>0.951524821828457</v>
      </c>
      <c r="K286" s="10" t="n">
        <f aca="false">H286/H285-1</f>
        <v>0.0166767885008872</v>
      </c>
      <c r="L286" s="10" t="n">
        <f aca="false">H291/H286-1</f>
        <v>-0.0105240468292374</v>
      </c>
      <c r="M286" s="10" t="n">
        <f aca="false">IF(COUNT(B227:B286)&lt;60,"",(B286-AVERAGE(B227:B286))/STDEV(B227:B286))</f>
        <v>0.643749643744816</v>
      </c>
      <c r="N286" s="10" t="n">
        <f aca="false">(H286-AVERAGE(H227:H286))/STDEV(H227:H286)</f>
        <v>1.30103393362692</v>
      </c>
      <c r="O286" s="10" t="n">
        <f aca="false">IF(COUNT(B286)=0,"",B286-('Signal Analysis'!$C$6+'Signal Analysis'!$C$5*H286))</f>
        <v>-0.590101758205986</v>
      </c>
    </row>
    <row r="287" customFormat="false" ht="15" hidden="false" customHeight="false" outlineLevel="0" collapsed="false">
      <c r="A287" s="8" t="n">
        <v>42740</v>
      </c>
      <c r="B287" s="9" t="n">
        <v>16.316117496</v>
      </c>
      <c r="C287" s="9" t="n">
        <v>137.490005</v>
      </c>
      <c r="D287" s="9" t="n">
        <v>137.759995</v>
      </c>
      <c r="E287" s="9" t="n">
        <v>135.509995</v>
      </c>
      <c r="F287" s="9" t="n">
        <v>136.190002</v>
      </c>
      <c r="G287" s="9" t="n">
        <v>129.58812</v>
      </c>
      <c r="H287" s="9" t="n">
        <v>129.58812</v>
      </c>
      <c r="I287" s="2" t="str">
        <f aca="false">IF(COUNT(C287:F287)&lt;4,"",IF(OR(D287&lt;MAX(C287,F287)-0.000001,E287&gt;MIN(C287,F287)+0.000001),"FAIL","OK"))</f>
        <v>OK</v>
      </c>
      <c r="J287" s="10" t="n">
        <f aca="false">IF(COUNT(F287,G287)&lt;2,"",G287/F287)</f>
        <v>0.951524473874374</v>
      </c>
      <c r="K287" s="10" t="n">
        <f aca="false">H287/H286-1</f>
        <v>-0.0115404762198428</v>
      </c>
      <c r="L287" s="10" t="n">
        <f aca="false">H292/H287-1</f>
        <v>-0.0066817544694685</v>
      </c>
      <c r="M287" s="10" t="n">
        <f aca="false">IF(COUNT(B228:B287)&lt;60,"",(B287-AVERAGE(B228:B287))/STDEV(B228:B287))</f>
        <v>1.18887670904587</v>
      </c>
      <c r="N287" s="10" t="n">
        <f aca="false">(H287-AVERAGE(H228:H287))/STDEV(H228:H287)</f>
        <v>1.05493794168447</v>
      </c>
      <c r="O287" s="10" t="n">
        <f aca="false">IF(COUNT(B287)=0,"",B287-('Signal Analysis'!$C$6+'Signal Analysis'!$C$5*H287))</f>
        <v>0.387193901574719</v>
      </c>
    </row>
    <row r="288" customFormat="false" ht="15" hidden="false" customHeight="false" outlineLevel="0" collapsed="false">
      <c r="A288" s="8" t="n">
        <v>42741</v>
      </c>
      <c r="B288" s="9" t="n">
        <v>15.8778963</v>
      </c>
      <c r="C288" s="9" t="n">
        <v>136.410004</v>
      </c>
      <c r="D288" s="9" t="n">
        <v>136.710007</v>
      </c>
      <c r="E288" s="9" t="n">
        <v>135.679993</v>
      </c>
      <c r="F288" s="9" t="n">
        <v>135.690002</v>
      </c>
      <c r="G288" s="9" t="n">
        <v>129.112381</v>
      </c>
      <c r="H288" s="9" t="n">
        <v>129.112381</v>
      </c>
      <c r="I288" s="2" t="str">
        <f aca="false">IF(COUNT(C288:F288)&lt;4,"",IF(OR(D288&lt;MAX(C288,F288)-0.000001,E288&gt;MIN(C288,F288)+0.000001),"FAIL","OK"))</f>
        <v>OK</v>
      </c>
      <c r="J288" s="10" t="n">
        <f aca="false">IF(COUNT(F288,G288)&lt;2,"",G288/F288)</f>
        <v>0.951524645124554</v>
      </c>
      <c r="K288" s="10" t="n">
        <f aca="false">H288/H287-1</f>
        <v>-0.00367116214048024</v>
      </c>
      <c r="L288" s="10" t="n">
        <f aca="false">H293/H288-1</f>
        <v>0.00420079000789242</v>
      </c>
      <c r="M288" s="10" t="n">
        <f aca="false">IF(COUNT(B229:B288)&lt;60,"",(B288-AVERAGE(B229:B288))/STDEV(B229:B288))</f>
        <v>0.827793163706373</v>
      </c>
      <c r="N288" s="10" t="n">
        <f aca="false">(H288-AVERAGE(H229:H288))/STDEV(H229:H288)</f>
        <v>0.95665460992317</v>
      </c>
      <c r="O288" s="10" t="n">
        <f aca="false">IF(COUNT(B288)=0,"",B288-('Signal Analysis'!$C$6+'Signal Analysis'!$C$5*H288))</f>
        <v>0.0140501983475652</v>
      </c>
    </row>
    <row r="289" customFormat="false" ht="15" hidden="false" customHeight="false" outlineLevel="0" collapsed="false">
      <c r="A289" s="8" t="n">
        <v>42744</v>
      </c>
      <c r="B289" s="9" t="n">
        <v>15.9100693584</v>
      </c>
      <c r="C289" s="9" t="n">
        <v>135.539993</v>
      </c>
      <c r="D289" s="9" t="n">
        <v>135.720001</v>
      </c>
      <c r="E289" s="9" t="n">
        <v>134.5</v>
      </c>
      <c r="F289" s="9" t="n">
        <v>134.800003</v>
      </c>
      <c r="G289" s="9" t="n">
        <v>128.265549</v>
      </c>
      <c r="H289" s="9" t="n">
        <v>128.265549</v>
      </c>
      <c r="I289" s="2" t="str">
        <f aca="false">IF(COUNT(C289:F289)&lt;4,"",IF(OR(D289&lt;MAX(C289,F289)-0.000001,E289&gt;MIN(C289,F289)+0.000001),"FAIL","OK"))</f>
        <v>OK</v>
      </c>
      <c r="J289" s="10" t="n">
        <f aca="false">IF(COUNT(F289,G289)&lt;2,"",G289/F289)</f>
        <v>0.951524823037281</v>
      </c>
      <c r="K289" s="10" t="n">
        <f aca="false">H289/H288-1</f>
        <v>-0.00655887524837762</v>
      </c>
      <c r="L289" s="10" t="n">
        <f aca="false">H294/H289-1</f>
        <v>-0.00289328664550437</v>
      </c>
      <c r="M289" s="10" t="n">
        <f aca="false">IF(COUNT(B230:B289)&lt;60,"",(B289-AVERAGE(B230:B289))/STDEV(B230:B289))</f>
        <v>0.824211915498342</v>
      </c>
      <c r="N289" s="10" t="n">
        <f aca="false">(H289-AVERAGE(H230:H289))/STDEV(H230:H289)</f>
        <v>0.811395007897408</v>
      </c>
      <c r="O289" s="10" t="n">
        <f aca="false">IF(COUNT(B289)=0,"",B289-('Signal Analysis'!$C$6+'Signal Analysis'!$C$5*H289))</f>
        <v>0.162063461901687</v>
      </c>
    </row>
    <row r="290" customFormat="false" ht="15" hidden="false" customHeight="false" outlineLevel="0" collapsed="false">
      <c r="A290" s="8" t="n">
        <v>42745</v>
      </c>
      <c r="B290" s="9" t="n">
        <v>15.402984894</v>
      </c>
      <c r="C290" s="9" t="n">
        <v>135</v>
      </c>
      <c r="D290" s="9" t="n">
        <v>136.380005</v>
      </c>
      <c r="E290" s="9" t="n">
        <v>134.759995</v>
      </c>
      <c r="F290" s="9" t="n">
        <v>136.089996</v>
      </c>
      <c r="G290" s="9" t="n">
        <v>129.492996</v>
      </c>
      <c r="H290" s="9" t="n">
        <v>129.492996</v>
      </c>
      <c r="I290" s="2" t="str">
        <f aca="false">IF(COUNT(C290:F290)&lt;4,"",IF(OR(D290&lt;MAX(C290,F290)-0.000001,E290&gt;MIN(C290,F290)+0.000001),"FAIL","OK"))</f>
        <v>OK</v>
      </c>
      <c r="J290" s="10" t="n">
        <f aca="false">IF(COUNT(F290,G290)&lt;2,"",G290/F290)</f>
        <v>0.951524724859276</v>
      </c>
      <c r="K290" s="10" t="n">
        <f aca="false">H290/H289-1</f>
        <v>0.00956957662887348</v>
      </c>
      <c r="L290" s="10" t="n">
        <f aca="false">H295/H290-1</f>
        <v>-0.00911158160245218</v>
      </c>
      <c r="M290" s="10" t="n">
        <f aca="false">IF(COUNT(B231:B290)&lt;60,"",(B290-AVERAGE(B231:B290))/STDEV(B231:B290))</f>
        <v>0.414994099200536</v>
      </c>
      <c r="N290" s="10" t="n">
        <f aca="false">(H290-AVERAGE(H231:H290))/STDEV(H231:H290)</f>
        <v>0.949494410675271</v>
      </c>
      <c r="O290" s="10" t="n">
        <f aca="false">IF(COUNT(B290)=0,"",B290-('Signal Analysis'!$C$6+'Signal Analysis'!$C$5*H290))</f>
        <v>-0.512926457530494</v>
      </c>
    </row>
    <row r="291" customFormat="false" ht="15" hidden="false" customHeight="false" outlineLevel="0" collapsed="false">
      <c r="A291" s="8" t="n">
        <v>42746</v>
      </c>
      <c r="B291" s="9" t="n">
        <v>15.3473328</v>
      </c>
      <c r="C291" s="9" t="n">
        <v>136.229996</v>
      </c>
      <c r="D291" s="9" t="n">
        <v>136.789993</v>
      </c>
      <c r="E291" s="9" t="n">
        <v>135.419998</v>
      </c>
      <c r="F291" s="9" t="n">
        <v>136.330002</v>
      </c>
      <c r="G291" s="9" t="n">
        <v>129.721375</v>
      </c>
      <c r="H291" s="9" t="n">
        <v>129.721375</v>
      </c>
      <c r="I291" s="2" t="str">
        <f aca="false">IF(COUNT(C291:F291)&lt;4,"",IF(OR(D291&lt;MAX(C291,F291)-0.000001,E291&gt;MIN(C291,F291)+0.000001),"FAIL","OK"))</f>
        <v>OK</v>
      </c>
      <c r="J291" s="10" t="n">
        <f aca="false">IF(COUNT(F291,G291)&lt;2,"",G291/F291)</f>
        <v>0.95152477882308</v>
      </c>
      <c r="K291" s="10" t="n">
        <f aca="false">H291/H290-1</f>
        <v>0.00176363978790017</v>
      </c>
      <c r="L291" s="10" t="n">
        <f aca="false">H296/H291-1</f>
        <v>-0.0189244910486032</v>
      </c>
      <c r="M291" s="10" t="n">
        <f aca="false">IF(COUNT(B232:B291)&lt;60,"",(B291-AVERAGE(B232:B291))/STDEV(B232:B291))</f>
        <v>0.354021728480493</v>
      </c>
      <c r="N291" s="10" t="n">
        <f aca="false">(H291-AVERAGE(H232:H291))/STDEV(H232:H291)</f>
        <v>0.949341931129562</v>
      </c>
      <c r="O291" s="10" t="n">
        <f aca="false">IF(COUNT(B291)=0,"",B291-('Signal Analysis'!$C$6+'Signal Analysis'!$C$5*H291))</f>
        <v>-0.599819069381603</v>
      </c>
    </row>
    <row r="292" customFormat="false" ht="15" hidden="false" customHeight="false" outlineLevel="0" collapsed="false">
      <c r="A292" s="8" t="n">
        <v>42747</v>
      </c>
      <c r="B292" s="9" t="n">
        <v>15.705524664</v>
      </c>
      <c r="C292" s="9" t="n">
        <v>136.160004</v>
      </c>
      <c r="D292" s="9" t="n">
        <v>136.220001</v>
      </c>
      <c r="E292" s="9" t="n">
        <v>133.589996</v>
      </c>
      <c r="F292" s="9" t="n">
        <v>135.279999</v>
      </c>
      <c r="G292" s="9" t="n">
        <v>128.722244</v>
      </c>
      <c r="H292" s="9" t="n">
        <v>128.722244</v>
      </c>
      <c r="I292" s="2" t="str">
        <f aca="false">IF(COUNT(C292:F292)&lt;4,"",IF(OR(D292&lt;MAX(C292,F292)-0.000001,E292&gt;MIN(C292,F292)+0.000001),"FAIL","OK"))</f>
        <v>OK</v>
      </c>
      <c r="J292" s="10" t="n">
        <f aca="false">IF(COUNT(F292,G292)&lt;2,"",G292/F292)</f>
        <v>0.951524578293351</v>
      </c>
      <c r="K292" s="10" t="n">
        <f aca="false">H292/H291-1</f>
        <v>-0.0077021308169144</v>
      </c>
      <c r="L292" s="10" t="n">
        <f aca="false">H297/H292-1</f>
        <v>-0.00620914439620857</v>
      </c>
      <c r="M292" s="10" t="n">
        <f aca="false">IF(COUNT(B233:B292)&lt;60,"",(B292-AVERAGE(B233:B292))/STDEV(B233:B292))</f>
        <v>0.610348367876493</v>
      </c>
      <c r="N292" s="10" t="n">
        <f aca="false">(H292-AVERAGE(H233:H292))/STDEV(H233:H292)</f>
        <v>0.781973074446821</v>
      </c>
      <c r="O292" s="10" t="n">
        <f aca="false">IF(COUNT(B292)=0,"",B292-('Signal Analysis'!$C$6+'Signal Analysis'!$C$5*H292))</f>
        <v>-0.104953650277588</v>
      </c>
    </row>
    <row r="293" customFormat="false" ht="15" hidden="false" customHeight="false" outlineLevel="0" collapsed="false">
      <c r="A293" s="8" t="n">
        <v>42748</v>
      </c>
      <c r="B293" s="9" t="n">
        <v>15.1192559232</v>
      </c>
      <c r="C293" s="9" t="n">
        <v>135.649994</v>
      </c>
      <c r="D293" s="9" t="n">
        <v>136.970001</v>
      </c>
      <c r="E293" s="9" t="n">
        <v>135.649994</v>
      </c>
      <c r="F293" s="9" t="n">
        <v>136.259995</v>
      </c>
      <c r="G293" s="9" t="n">
        <v>129.654755</v>
      </c>
      <c r="H293" s="9" t="n">
        <v>129.654755</v>
      </c>
      <c r="I293" s="2" t="str">
        <f aca="false">IF(COUNT(C293:F293)&lt;4,"",IF(OR(D293&lt;MAX(C293,F293)-0.000001,E293&gt;MIN(C293,F293)+0.000001),"FAIL","OK"))</f>
        <v>OK</v>
      </c>
      <c r="J293" s="10" t="n">
        <f aca="false">IF(COUNT(F293,G293)&lt;2,"",G293/F293)</f>
        <v>0.951524730350973</v>
      </c>
      <c r="K293" s="10" t="n">
        <f aca="false">H293/H292-1</f>
        <v>0.00724436562805719</v>
      </c>
      <c r="L293" s="10" t="n">
        <f aca="false">H298/H293-1</f>
        <v>-0.0174666482536642</v>
      </c>
      <c r="M293" s="10" t="n">
        <f aca="false">IF(COUNT(B234:B293)&lt;60,"",(B293-AVERAGE(B234:B293))/STDEV(B234:B293))</f>
        <v>0.145961661978292</v>
      </c>
      <c r="N293" s="10" t="n">
        <f aca="false">(H293-AVERAGE(H234:H293))/STDEV(H234:H293)</f>
        <v>0.88318408687998</v>
      </c>
      <c r="O293" s="10" t="n">
        <f aca="false">IF(COUNT(B293)=0,"",B293-('Signal Analysis'!$C$6+'Signal Analysis'!$C$5*H293))</f>
        <v>-0.818782834646648</v>
      </c>
    </row>
    <row r="294" customFormat="false" ht="15" hidden="false" customHeight="false" outlineLevel="0" collapsed="false">
      <c r="A294" s="8" t="n">
        <v>42752</v>
      </c>
      <c r="B294" s="9" t="n">
        <v>14.7367283328</v>
      </c>
      <c r="C294" s="9" t="n">
        <v>135.600006</v>
      </c>
      <c r="D294" s="9" t="n">
        <v>135.690002</v>
      </c>
      <c r="E294" s="9" t="n">
        <v>134.130005</v>
      </c>
      <c r="F294" s="9" t="n">
        <v>134.410004</v>
      </c>
      <c r="G294" s="9" t="n">
        <v>127.89444</v>
      </c>
      <c r="H294" s="9" t="n">
        <v>127.89444</v>
      </c>
      <c r="I294" s="2" t="str">
        <f aca="false">IF(COUNT(C294:F294)&lt;4,"",IF(OR(D294&lt;MAX(C294,F294)-0.000001,E294&gt;MIN(C294,F294)+0.000001),"FAIL","OK"))</f>
        <v>OK</v>
      </c>
      <c r="J294" s="10" t="n">
        <f aca="false">IF(COUNT(F294,G294)&lt;2,"",G294/F294)</f>
        <v>0.951524709425647</v>
      </c>
      <c r="K294" s="10" t="n">
        <f aca="false">H294/H293-1</f>
        <v>-0.01357694131619</v>
      </c>
      <c r="L294" s="10" t="n">
        <f aca="false">H299/H294-1</f>
        <v>0.0113084587570813</v>
      </c>
      <c r="M294" s="10" t="n">
        <f aca="false">IF(COUNT(B235:B294)&lt;60,"",(B294-AVERAGE(B235:B294))/STDEV(B235:B294))</f>
        <v>-0.155374025349264</v>
      </c>
      <c r="N294" s="10" t="n">
        <f aca="false">(H294-AVERAGE(H235:H294))/STDEV(H235:H294)</f>
        <v>0.609045876360912</v>
      </c>
      <c r="O294" s="10" t="n">
        <f aca="false">IF(COUNT(B294)=0,"",B294-('Signal Analysis'!$C$6+'Signal Analysis'!$C$5*H294))</f>
        <v>-0.9605126626382</v>
      </c>
    </row>
    <row r="295" customFormat="false" ht="15" hidden="false" customHeight="false" outlineLevel="0" collapsed="false">
      <c r="A295" s="8" t="n">
        <v>42753</v>
      </c>
      <c r="B295" s="9" t="n">
        <v>14.6753419392</v>
      </c>
      <c r="C295" s="9" t="n">
        <v>134.759995</v>
      </c>
      <c r="D295" s="9" t="n">
        <v>134.940002</v>
      </c>
      <c r="E295" s="9" t="n">
        <v>133.949997</v>
      </c>
      <c r="F295" s="9" t="n">
        <v>134.850006</v>
      </c>
      <c r="G295" s="9" t="n">
        <v>128.31311</v>
      </c>
      <c r="H295" s="9" t="n">
        <v>128.31311</v>
      </c>
      <c r="I295" s="2" t="str">
        <f aca="false">IF(COUNT(C295:F295)&lt;4,"",IF(OR(D295&lt;MAX(C295,F295)-0.000001,E295&gt;MIN(C295,F295)+0.000001),"FAIL","OK"))</f>
        <v>OK</v>
      </c>
      <c r="J295" s="10" t="n">
        <f aca="false">IF(COUNT(F295,G295)&lt;2,"",G295/F295)</f>
        <v>0.951524688845768</v>
      </c>
      <c r="K295" s="10" t="n">
        <f aca="false">H295/H294-1</f>
        <v>0.00327355903821935</v>
      </c>
      <c r="L295" s="10" t="n">
        <f aca="false">H300/H295-1</f>
        <v>0.0175011033556898</v>
      </c>
      <c r="M295" s="10" t="n">
        <f aca="false">IF(COUNT(B236:B295)&lt;60,"",(B295-AVERAGE(B236:B295))/STDEV(B236:B295))</f>
        <v>-0.228051712954406</v>
      </c>
      <c r="N295" s="10" t="n">
        <f aca="false">(H295-AVERAGE(H236:H295))/STDEV(H236:H295)</f>
        <v>0.643305990693046</v>
      </c>
      <c r="O295" s="10" t="n">
        <f aca="false">IF(COUNT(B295)=0,"",B295-('Signal Analysis'!$C$6+'Signal Analysis'!$C$5*H295))</f>
        <v>-1.07916994195328</v>
      </c>
    </row>
    <row r="296" customFormat="false" ht="15" hidden="false" customHeight="false" outlineLevel="0" collapsed="false">
      <c r="A296" s="8" t="n">
        <v>42754</v>
      </c>
      <c r="B296" s="9" t="n">
        <v>15.9865141044</v>
      </c>
      <c r="C296" s="9" t="n">
        <v>135.139999</v>
      </c>
      <c r="D296" s="9" t="n">
        <v>135.440002</v>
      </c>
      <c r="E296" s="9" t="n">
        <v>133.169998</v>
      </c>
      <c r="F296" s="9" t="n">
        <v>133.75</v>
      </c>
      <c r="G296" s="9" t="n">
        <v>127.266464</v>
      </c>
      <c r="H296" s="9" t="n">
        <v>127.266464</v>
      </c>
      <c r="I296" s="2" t="str">
        <f aca="false">IF(COUNT(C296:F296)&lt;4,"",IF(OR(D296&lt;MAX(C296,F296)-0.000001,E296&gt;MIN(C296,F296)+0.000001),"FAIL","OK"))</f>
        <v>OK</v>
      </c>
      <c r="J296" s="10" t="n">
        <f aca="false">IF(COUNT(F296,G296)&lt;2,"",G296/F296)</f>
        <v>0.951524964485981</v>
      </c>
      <c r="K296" s="10" t="n">
        <f aca="false">H296/H295-1</f>
        <v>-0.00815696852800152</v>
      </c>
      <c r="L296" s="10" t="n">
        <f aca="false">H301/H296-1</f>
        <v>0.0217565170978584</v>
      </c>
      <c r="M296" s="10" t="n">
        <f aca="false">IF(COUNT(B237:B296)&lt;60,"",(B296-AVERAGE(B237:B296))/STDEV(B237:B296))</f>
        <v>0.782808794711279</v>
      </c>
      <c r="N296" s="10" t="n">
        <f aca="false">(H296-AVERAGE(H237:H296))/STDEV(H237:H296)</f>
        <v>0.468187651144516</v>
      </c>
      <c r="O296" s="10" t="n">
        <f aca="false">IF(COUNT(B296)=0,"",B296-('Signal Analysis'!$C$6+'Signal Analysis'!$C$5*H296))</f>
        <v>0.375175470554021</v>
      </c>
    </row>
    <row r="297" customFormat="false" ht="15" hidden="false" customHeight="false" outlineLevel="0" collapsed="false">
      <c r="A297" s="8" t="n">
        <v>42755</v>
      </c>
      <c r="B297" s="9" t="n">
        <v>16.450400106</v>
      </c>
      <c r="C297" s="9" t="n">
        <v>133.75</v>
      </c>
      <c r="D297" s="9" t="n">
        <v>134.880005</v>
      </c>
      <c r="E297" s="9" t="n">
        <v>133.75</v>
      </c>
      <c r="F297" s="9" t="n">
        <v>134.440002</v>
      </c>
      <c r="G297" s="9" t="n">
        <v>127.922989</v>
      </c>
      <c r="H297" s="9" t="n">
        <v>127.922989</v>
      </c>
      <c r="I297" s="2" t="str">
        <f aca="false">IF(COUNT(C297:F297)&lt;4,"",IF(OR(D297&lt;MAX(C297,F297)-0.000001,E297&gt;MIN(C297,F297)+0.000001),"FAIL","OK"))</f>
        <v>OK</v>
      </c>
      <c r="J297" s="10" t="n">
        <f aca="false">IF(COUNT(F297,G297)&lt;2,"",G297/F297)</f>
        <v>0.951524747820221</v>
      </c>
      <c r="K297" s="10" t="n">
        <f aca="false">H297/H296-1</f>
        <v>0.00515866457953917</v>
      </c>
      <c r="L297" s="10" t="n">
        <f aca="false">H302/H297-1</f>
        <v>0.0130166673950998</v>
      </c>
      <c r="M297" s="10" t="n">
        <f aca="false">IF(COUNT(B238:B297)&lt;60,"",(B297-AVERAGE(B238:B297))/STDEV(B238:B297))</f>
        <v>1.12472548201899</v>
      </c>
      <c r="N297" s="10" t="n">
        <f aca="false">(H297-AVERAGE(H238:H297))/STDEV(H238:H297)</f>
        <v>0.539952723653904</v>
      </c>
      <c r="O297" s="10" t="n">
        <f aca="false">IF(COUNT(B297)=0,"",B297-('Signal Analysis'!$C$6+'Signal Analysis'!$C$5*H297))</f>
        <v>0.749253823542716</v>
      </c>
    </row>
    <row r="298" customFormat="false" ht="15" hidden="false" customHeight="false" outlineLevel="0" collapsed="false">
      <c r="A298" s="8" t="n">
        <v>42758</v>
      </c>
      <c r="B298" s="9" t="n">
        <v>16.0723679004</v>
      </c>
      <c r="C298" s="9" t="n">
        <v>134.029999</v>
      </c>
      <c r="D298" s="9" t="n">
        <v>134.679993</v>
      </c>
      <c r="E298" s="9" t="n">
        <v>133.119995</v>
      </c>
      <c r="F298" s="9" t="n">
        <v>133.880005</v>
      </c>
      <c r="G298" s="9" t="n">
        <v>127.390121</v>
      </c>
      <c r="H298" s="9" t="n">
        <v>127.390121</v>
      </c>
      <c r="I298" s="2" t="str">
        <f aca="false">IF(COUNT(C298:F298)&lt;4,"",IF(OR(D298&lt;MAX(C298,F298)-0.000001,E298&gt;MIN(C298,F298)+0.000001),"FAIL","OK"))</f>
        <v>OK</v>
      </c>
      <c r="J298" s="10" t="n">
        <f aca="false">IF(COUNT(F298,G298)&lt;2,"",G298/F298)</f>
        <v>0.95152462087225</v>
      </c>
      <c r="K298" s="10" t="n">
        <f aca="false">H298/H297-1</f>
        <v>-0.00416553743909165</v>
      </c>
      <c r="L298" s="10" t="n">
        <f aca="false">H303/H298-1</f>
        <v>0.00306241957333575</v>
      </c>
      <c r="M298" s="10" t="n">
        <f aca="false">IF(COUNT(B239:B298)&lt;60,"",(B298-AVERAGE(B239:B298))/STDEV(B239:B298))</f>
        <v>0.790501571631036</v>
      </c>
      <c r="N298" s="10" t="n">
        <f aca="false">(H298-AVERAGE(H239:H298))/STDEV(H239:H298)</f>
        <v>0.436609294766551</v>
      </c>
      <c r="O298" s="10" t="n">
        <f aca="false">IF(COUNT(B298)=0,"",B298-('Signal Analysis'!$C$6+'Signal Analysis'!$C$5*H298))</f>
        <v>0.444113925318991</v>
      </c>
    </row>
    <row r="299" customFormat="false" ht="15" hidden="false" customHeight="false" outlineLevel="0" collapsed="false">
      <c r="A299" s="8" t="n">
        <v>42759</v>
      </c>
      <c r="B299" s="9" t="n">
        <v>14.77304568</v>
      </c>
      <c r="C299" s="9" t="n">
        <v>134.339996</v>
      </c>
      <c r="D299" s="9" t="n">
        <v>136.279999</v>
      </c>
      <c r="E299" s="9" t="n">
        <v>134.220001</v>
      </c>
      <c r="F299" s="9" t="n">
        <v>135.929993</v>
      </c>
      <c r="G299" s="9" t="n">
        <v>129.340729</v>
      </c>
      <c r="H299" s="9" t="n">
        <v>129.340729</v>
      </c>
      <c r="I299" s="2" t="str">
        <f aca="false">IF(COUNT(C299:F299)&lt;4,"",IF(OR(D299&lt;MAX(C299,F299)-0.000001,E299&gt;MIN(C299,F299)+0.000001),"FAIL","OK"))</f>
        <v>OK</v>
      </c>
      <c r="J299" s="10" t="n">
        <f aca="false">IF(COUNT(F299,G299)&lt;2,"",G299/F299)</f>
        <v>0.951524576330994</v>
      </c>
      <c r="K299" s="10" t="n">
        <f aca="false">H299/H298-1</f>
        <v>0.015312082166874</v>
      </c>
      <c r="L299" s="10" t="n">
        <f aca="false">H304/H299-1</f>
        <v>-0.0051493137942652</v>
      </c>
      <c r="M299" s="10" t="n">
        <f aca="false">IF(COUNT(B240:B299)&lt;60,"",(B299-AVERAGE(B240:B299))/STDEV(B240:B299))</f>
        <v>-0.333398705986764</v>
      </c>
      <c r="N299" s="10" t="n">
        <f aca="false">(H299-AVERAGE(H240:H299))/STDEV(H240:H299)</f>
        <v>0.704207969937591</v>
      </c>
      <c r="O299" s="10" t="n">
        <f aca="false">IF(COUNT(B299)=0,"",B299-('Signal Analysis'!$C$6+'Signal Analysis'!$C$5*H299))</f>
        <v>-1.12203669893829</v>
      </c>
    </row>
    <row r="300" customFormat="false" ht="15" hidden="false" customHeight="false" outlineLevel="0" collapsed="false">
      <c r="A300" s="8" t="n">
        <v>42760</v>
      </c>
      <c r="B300" s="9" t="n">
        <v>15.33362916</v>
      </c>
      <c r="C300" s="9" t="n">
        <v>137.059998</v>
      </c>
      <c r="D300" s="9" t="n">
        <v>137.550003</v>
      </c>
      <c r="E300" s="9" t="n">
        <v>136.949997</v>
      </c>
      <c r="F300" s="9" t="n">
        <v>137.210007</v>
      </c>
      <c r="G300" s="9" t="n">
        <v>130.558731</v>
      </c>
      <c r="H300" s="9" t="n">
        <v>130.558731</v>
      </c>
      <c r="I300" s="2" t="str">
        <f aca="false">IF(COUNT(C300:F300)&lt;4,"",IF(OR(D300&lt;MAX(C300,F300)-0.000001,E300&gt;MIN(C300,F300)+0.000001),"FAIL","OK"))</f>
        <v>OK</v>
      </c>
      <c r="J300" s="10" t="n">
        <f aca="false">IF(COUNT(F300,G300)&lt;2,"",G300/F300)</f>
        <v>0.951524847600948</v>
      </c>
      <c r="K300" s="10" t="n">
        <f aca="false">H300/H299-1</f>
        <v>0.00941700274474244</v>
      </c>
      <c r="L300" s="10" t="n">
        <f aca="false">H305/H300-1</f>
        <v>-0.0150137335510713</v>
      </c>
      <c r="M300" s="10" t="n">
        <f aca="false">IF(COUNT(B241:B300)&lt;60,"",(B300-AVERAGE(B241:B300))/STDEV(B241:B300))</f>
        <v>0.127351711394412</v>
      </c>
      <c r="N300" s="10" t="n">
        <f aca="false">(H300-AVERAGE(H241:H300))/STDEV(H241:H300)</f>
        <v>0.866986064120897</v>
      </c>
      <c r="O300" s="10" t="n">
        <f aca="false">IF(COUNT(B300)=0,"",B300-('Signal Analysis'!$C$6+'Signal Analysis'!$C$5*H300))</f>
        <v>-0.728066669490611</v>
      </c>
    </row>
    <row r="301" customFormat="false" ht="15" hidden="false" customHeight="false" outlineLevel="0" collapsed="false">
      <c r="A301" s="8" t="n">
        <v>42761</v>
      </c>
      <c r="B301" s="9" t="n">
        <v>16.0586041824</v>
      </c>
      <c r="C301" s="9" t="n">
        <v>137.339996</v>
      </c>
      <c r="D301" s="9" t="n">
        <v>137.5</v>
      </c>
      <c r="E301" s="9" t="n">
        <v>136.419998</v>
      </c>
      <c r="F301" s="9" t="n">
        <v>136.660004</v>
      </c>
      <c r="G301" s="9" t="n">
        <v>130.035339</v>
      </c>
      <c r="H301" s="9" t="n">
        <v>130.035339</v>
      </c>
      <c r="I301" s="2" t="str">
        <f aca="false">IF(COUNT(C301:F301)&lt;4,"",IF(OR(D301&lt;MAX(C301,F301)-0.000001,E301&gt;MIN(C301,F301)+0.000001),"FAIL","OK"))</f>
        <v>OK</v>
      </c>
      <c r="J301" s="10" t="n">
        <f aca="false">IF(COUNT(F301,G301)&lt;2,"",G301/F301)</f>
        <v>0.951524478222612</v>
      </c>
      <c r="K301" s="10" t="n">
        <f aca="false">H301/H300-1</f>
        <v>-0.00400886249422872</v>
      </c>
      <c r="L301" s="10" t="n">
        <f aca="false">H306/H301-1</f>
        <v>-0.0135370816390151</v>
      </c>
      <c r="M301" s="10" t="n">
        <f aca="false">IF(COUNT(B242:B301)&lt;60,"",(B301-AVERAGE(B242:B301))/STDEV(B242:B301))</f>
        <v>0.736529525698266</v>
      </c>
      <c r="N301" s="10" t="n">
        <f aca="false">(H301-AVERAGE(H242:H301))/STDEV(H242:H301)</f>
        <v>0.762032588899405</v>
      </c>
      <c r="O301" s="10" t="n">
        <f aca="false">IF(COUNT(B301)=0,"",B301-('Signal Analysis'!$C$6+'Signal Analysis'!$C$5*H301))</f>
        <v>0.0685044152405538</v>
      </c>
    </row>
    <row r="302" customFormat="false" ht="15" hidden="false" customHeight="false" outlineLevel="0" collapsed="false">
      <c r="A302" s="8" t="n">
        <v>42762</v>
      </c>
      <c r="B302" s="9" t="n">
        <v>14.8145537664</v>
      </c>
      <c r="C302" s="9" t="n">
        <v>136.770004</v>
      </c>
      <c r="D302" s="9" t="n">
        <v>137.039993</v>
      </c>
      <c r="E302" s="9" t="n">
        <v>135.649994</v>
      </c>
      <c r="F302" s="9" t="n">
        <v>136.190002</v>
      </c>
      <c r="G302" s="9" t="n">
        <v>129.58812</v>
      </c>
      <c r="H302" s="9" t="n">
        <v>129.58812</v>
      </c>
      <c r="I302" s="2" t="str">
        <f aca="false">IF(COUNT(C302:F302)&lt;4,"",IF(OR(D302&lt;MAX(C302,F302)-0.000001,E302&gt;MIN(C302,F302)+0.000001),"FAIL","OK"))</f>
        <v>OK</v>
      </c>
      <c r="J302" s="10" t="n">
        <f aca="false">IF(COUNT(F302,G302)&lt;2,"",G302/F302)</f>
        <v>0.951524473874374</v>
      </c>
      <c r="K302" s="10" t="n">
        <f aca="false">H302/H301-1</f>
        <v>-0.00343921124395263</v>
      </c>
      <c r="L302" s="10" t="n">
        <f aca="false">H307/H302-1</f>
        <v>0.00499323549103115</v>
      </c>
      <c r="M302" s="10" t="n">
        <f aca="false">IF(COUNT(B243:B302)&lt;60,"",(B302-AVERAGE(B243:B302))/STDEV(B243:B302))</f>
        <v>-0.421837709774394</v>
      </c>
      <c r="N302" s="10" t="n">
        <f aca="false">(H302-AVERAGE(H243:H302))/STDEV(H243:H302)</f>
        <v>0.666247866810325</v>
      </c>
      <c r="O302" s="10" t="n">
        <f aca="false">IF(COUNT(B302)=0,"",B302-('Signal Analysis'!$C$6+'Signal Analysis'!$C$5*H302))</f>
        <v>-1.11436982802528</v>
      </c>
    </row>
    <row r="303" customFormat="false" ht="15" hidden="false" customHeight="false" outlineLevel="0" collapsed="false">
      <c r="A303" s="8" t="n">
        <v>42765</v>
      </c>
      <c r="B303" s="9" t="n">
        <v>15.700864896</v>
      </c>
      <c r="C303" s="9" t="n">
        <v>135.229996</v>
      </c>
      <c r="D303" s="9" t="n">
        <v>135.240005</v>
      </c>
      <c r="E303" s="9" t="n">
        <v>133.240005</v>
      </c>
      <c r="F303" s="9" t="n">
        <v>134.289993</v>
      </c>
      <c r="G303" s="9" t="n">
        <v>127.780243</v>
      </c>
      <c r="H303" s="9" t="n">
        <v>127.780243</v>
      </c>
      <c r="I303" s="2" t="str">
        <f aca="false">IF(COUNT(C303:F303)&lt;4,"",IF(OR(D303&lt;MAX(C303,F303)-0.000001,E303&gt;MIN(C303,F303)+0.000001),"FAIL","OK"))</f>
        <v>OK</v>
      </c>
      <c r="J303" s="10" t="n">
        <f aca="false">IF(COUNT(F303,G303)&lt;2,"",G303/F303)</f>
        <v>0.951524682855557</v>
      </c>
      <c r="K303" s="10" t="n">
        <f aca="false">H303/H302-1</f>
        <v>-0.0139509470466892</v>
      </c>
      <c r="L303" s="10" t="n">
        <f aca="false">H308/H303-1</f>
        <v>0.0115423477477656</v>
      </c>
      <c r="M303" s="10" t="n">
        <f aca="false">IF(COUNT(B244:B303)&lt;60,"",(B303-AVERAGE(B244:B303))/STDEV(B244:B303))</f>
        <v>0.378449769877589</v>
      </c>
      <c r="N303" s="10" t="n">
        <f aca="false">(H303-AVERAGE(H244:H303))/STDEV(H244:H303)</f>
        <v>0.33069386453907</v>
      </c>
      <c r="O303" s="10" t="n">
        <f aca="false">IF(COUNT(B303)=0,"",B303-('Signal Analysis'!$C$6+'Signal Analysis'!$C$5*H303))</f>
        <v>0.0192451854305649</v>
      </c>
    </row>
    <row r="304" customFormat="false" ht="15" hidden="false" customHeight="false" outlineLevel="0" collapsed="false">
      <c r="A304" s="8" t="n">
        <v>42766</v>
      </c>
      <c r="B304" s="9" t="n">
        <v>15.62822208</v>
      </c>
      <c r="C304" s="9" t="n">
        <v>133.869995</v>
      </c>
      <c r="D304" s="9" t="n">
        <v>135.559998</v>
      </c>
      <c r="E304" s="9" t="n">
        <v>133.479996</v>
      </c>
      <c r="F304" s="9" t="n">
        <v>135.229996</v>
      </c>
      <c r="G304" s="9" t="n">
        <v>128.674713</v>
      </c>
      <c r="H304" s="9" t="n">
        <v>128.674713</v>
      </c>
      <c r="I304" s="2" t="str">
        <f aca="false">IF(COUNT(C304:F304)&lt;4,"",IF(OR(D304&lt;MAX(C304,F304)-0.000001,E304&gt;MIN(C304,F304)+0.000001),"FAIL","OK"))</f>
        <v>OK</v>
      </c>
      <c r="J304" s="10" t="n">
        <f aca="false">IF(COUNT(F304,G304)&lt;2,"",G304/F304)</f>
        <v>0.951524933861567</v>
      </c>
      <c r="K304" s="10" t="n">
        <f aca="false">H304/H303-1</f>
        <v>0.00700006494744265</v>
      </c>
      <c r="L304" s="10" t="n">
        <f aca="false">H309/H304-1</f>
        <v>7.35264900106891E-005</v>
      </c>
      <c r="M304" s="10" t="n">
        <f aca="false">IF(COUNT(B245:B304)&lt;60,"",(B304-AVERAGE(B245:B304))/STDEV(B245:B304))</f>
        <v>0.277833114938361</v>
      </c>
      <c r="N304" s="10" t="n">
        <f aca="false">(H304-AVERAGE(H245:H304))/STDEV(H245:H304)</f>
        <v>0.469057173380209</v>
      </c>
      <c r="O304" s="10" t="n">
        <f aca="false">IF(COUNT(B304)=0,"",B304-('Signal Analysis'!$C$6+'Signal Analysis'!$C$5*H304))</f>
        <v>-0.175754353395455</v>
      </c>
    </row>
    <row r="305" customFormat="false" ht="15" hidden="false" customHeight="false" outlineLevel="0" collapsed="false">
      <c r="A305" s="8" t="n">
        <v>42767</v>
      </c>
      <c r="B305" s="9" t="n">
        <v>16.1310398496</v>
      </c>
      <c r="C305" s="9" t="n">
        <v>136.220001</v>
      </c>
      <c r="D305" s="9" t="n">
        <v>136.869995</v>
      </c>
      <c r="E305" s="9" t="n">
        <v>134.699997</v>
      </c>
      <c r="F305" s="9" t="n">
        <v>135.149994</v>
      </c>
      <c r="G305" s="9" t="n">
        <v>128.598557</v>
      </c>
      <c r="H305" s="9" t="n">
        <v>128.598557</v>
      </c>
      <c r="I305" s="2" t="str">
        <f aca="false">IF(COUNT(C305:F305)&lt;4,"",IF(OR(D305&lt;MAX(C305,F305)-0.000001,E305&gt;MIN(C305,F305)+0.000001),"FAIL","OK"))</f>
        <v>OK</v>
      </c>
      <c r="J305" s="10" t="n">
        <f aca="false">IF(COUNT(F305,G305)&lt;2,"",G305/F305)</f>
        <v>0.9515246963311</v>
      </c>
      <c r="K305" s="10" t="n">
        <f aca="false">H305/H304-1</f>
        <v>-0.000591848998334199</v>
      </c>
      <c r="L305" s="10" t="n">
        <f aca="false">H310/H305-1</f>
        <v>-0.0011097791711614</v>
      </c>
      <c r="M305" s="10" t="n">
        <f aca="false">IF(COUNT(B246:B305)&lt;60,"",(B305-AVERAGE(B246:B305))/STDEV(B246:B305))</f>
        <v>0.774298087589376</v>
      </c>
      <c r="N305" s="10" t="n">
        <f aca="false">(H305-AVERAGE(H246:H305))/STDEV(H246:H305)</f>
        <v>0.434482944614579</v>
      </c>
      <c r="O305" s="10" t="n">
        <f aca="false">IF(COUNT(B305)=0,"",B305-('Signal Analysis'!$C$6+'Signal Analysis'!$C$5*H305))</f>
        <v>0.33748098033027</v>
      </c>
    </row>
    <row r="306" customFormat="false" ht="15" hidden="false" customHeight="false" outlineLevel="0" collapsed="false">
      <c r="A306" s="8" t="n">
        <v>42768</v>
      </c>
      <c r="B306" s="9" t="n">
        <v>14.9788378536</v>
      </c>
      <c r="C306" s="9" t="n">
        <v>135.300003</v>
      </c>
      <c r="D306" s="9" t="n">
        <v>135.669998</v>
      </c>
      <c r="E306" s="9" t="n">
        <v>134.490005</v>
      </c>
      <c r="F306" s="9" t="n">
        <v>134.809998</v>
      </c>
      <c r="G306" s="9" t="n">
        <v>128.27504</v>
      </c>
      <c r="H306" s="9" t="n">
        <v>128.27504</v>
      </c>
      <c r="I306" s="2" t="str">
        <f aca="false">IF(COUNT(C306:F306)&lt;4,"",IF(OR(D306&lt;MAX(C306,F306)-0.000001,E306&gt;MIN(C306,F306)+0.000001),"FAIL","OK"))</f>
        <v>OK</v>
      </c>
      <c r="J306" s="10" t="n">
        <f aca="false">IF(COUNT(F306,G306)&lt;2,"",G306/F306)</f>
        <v>0.951524678458937</v>
      </c>
      <c r="K306" s="10" t="n">
        <f aca="false">H306/H305-1</f>
        <v>-0.00251571252078675</v>
      </c>
      <c r="L306" s="10" t="n">
        <f aca="false">H311/H306-1</f>
        <v>0.0155032343002974</v>
      </c>
      <c r="M306" s="10" t="n">
        <f aca="false">IF(COUNT(B247:B306)&lt;60,"",(B306-AVERAGE(B247:B306))/STDEV(B247:B306))</f>
        <v>-0.502039537981599</v>
      </c>
      <c r="N306" s="10" t="n">
        <f aca="false">(H306-AVERAGE(H247:H306))/STDEV(H247:H306)</f>
        <v>0.339042679217954</v>
      </c>
      <c r="O306" s="10" t="n">
        <f aca="false">IF(COUNT(B306)=0,"",B306-('Signal Analysis'!$C$6+'Signal Analysis'!$C$5*H306))</f>
        <v>-0.77046633982984</v>
      </c>
    </row>
    <row r="307" customFormat="false" ht="15" hidden="false" customHeight="false" outlineLevel="0" collapsed="false">
      <c r="A307" s="8" t="n">
        <v>42769</v>
      </c>
      <c r="B307" s="9" t="n">
        <v>14.643965874</v>
      </c>
      <c r="C307" s="9" t="n">
        <v>135.990005</v>
      </c>
      <c r="D307" s="9" t="n">
        <v>136.979996</v>
      </c>
      <c r="E307" s="9" t="n">
        <v>135.509995</v>
      </c>
      <c r="F307" s="9" t="n">
        <v>136.869995</v>
      </c>
      <c r="G307" s="9" t="n">
        <v>130.235184</v>
      </c>
      <c r="H307" s="9" t="n">
        <v>130.235184</v>
      </c>
      <c r="I307" s="2" t="str">
        <f aca="false">IF(COUNT(C307:F307)&lt;4,"",IF(OR(D307&lt;MAX(C307,F307)-0.000001,E307&gt;MIN(C307,F307)+0.000001),"FAIL","OK"))</f>
        <v>OK</v>
      </c>
      <c r="J307" s="10" t="n">
        <f aca="false">IF(COUNT(F307,G307)&lt;2,"",G307/F307)</f>
        <v>0.951524722419987</v>
      </c>
      <c r="K307" s="10" t="n">
        <f aca="false">H307/H306-1</f>
        <v>0.0152807904016246</v>
      </c>
      <c r="L307" s="10" t="n">
        <f aca="false">H312/H307-1</f>
        <v>0.00781771844388834</v>
      </c>
      <c r="M307" s="10" t="n">
        <f aca="false">IF(COUNT(B248:B307)&lt;60,"",(B307-AVERAGE(B248:B307))/STDEV(B248:B307))</f>
        <v>-0.8855431956905</v>
      </c>
      <c r="N307" s="10" t="n">
        <f aca="false">(H307-AVERAGE(H248:H307))/STDEV(H248:H307)</f>
        <v>0.837589890703117</v>
      </c>
      <c r="O307" s="10" t="n">
        <f aca="false">IF(COUNT(B307)=0,"",B307-('Signal Analysis'!$C$6+'Signal Analysis'!$C$5*H307))</f>
        <v>-1.37347117587789</v>
      </c>
    </row>
    <row r="308" customFormat="false" ht="15" hidden="false" customHeight="false" outlineLevel="0" collapsed="false">
      <c r="A308" s="8" t="n">
        <v>42772</v>
      </c>
      <c r="B308" s="9" t="n">
        <v>16.413228468</v>
      </c>
      <c r="C308" s="9" t="n">
        <v>136.399994</v>
      </c>
      <c r="D308" s="9" t="n">
        <v>136.779999</v>
      </c>
      <c r="E308" s="9" t="n">
        <v>135.429993</v>
      </c>
      <c r="F308" s="9" t="n">
        <v>135.839996</v>
      </c>
      <c r="G308" s="9" t="n">
        <v>129.255127</v>
      </c>
      <c r="H308" s="9" t="n">
        <v>129.255127</v>
      </c>
      <c r="I308" s="2" t="str">
        <f aca="false">IF(COUNT(C308:F308)&lt;4,"",IF(OR(D308&lt;MAX(C308,F308)-0.000001,E308&gt;MIN(C308,F308)+0.000001),"FAIL","OK"))</f>
        <v>OK</v>
      </c>
      <c r="J308" s="10" t="n">
        <f aca="false">IF(COUNT(F308,G308)&lt;2,"",G308/F308)</f>
        <v>0.951524814532533</v>
      </c>
      <c r="K308" s="10" t="n">
        <f aca="false">H308/H307-1</f>
        <v>-0.00752528594730606</v>
      </c>
      <c r="L308" s="10" t="n">
        <f aca="false">H313/H308-1</f>
        <v>0.018109370624811</v>
      </c>
      <c r="M308" s="10" t="n">
        <f aca="false">IF(COUNT(B249:B308)&lt;60,"",(B308-AVERAGE(B249:B308))/STDEV(B249:B308))</f>
        <v>1.05332018240931</v>
      </c>
      <c r="N308" s="10" t="n">
        <f aca="false">(H308-AVERAGE(H249:H308))/STDEV(H249:H308)</f>
        <v>0.57646819189215</v>
      </c>
      <c r="O308" s="10" t="n">
        <f aca="false">IF(COUNT(B308)=0,"",B308-('Signal Analysis'!$C$6+'Signal Analysis'!$C$5*H308))</f>
        <v>0.529855794459721</v>
      </c>
    </row>
    <row r="309" customFormat="false" ht="15" hidden="false" customHeight="false" outlineLevel="0" collapsed="false">
      <c r="A309" s="8" t="n">
        <v>42773</v>
      </c>
      <c r="B309" s="9" t="n">
        <v>15.75039912</v>
      </c>
      <c r="C309" s="9" t="n">
        <v>135.820007</v>
      </c>
      <c r="D309" s="9" t="n">
        <v>136.470001</v>
      </c>
      <c r="E309" s="9" t="n">
        <v>134.770004</v>
      </c>
      <c r="F309" s="9" t="n">
        <v>135.240005</v>
      </c>
      <c r="G309" s="9" t="n">
        <v>128.684174</v>
      </c>
      <c r="H309" s="9" t="n">
        <v>128.684174</v>
      </c>
      <c r="I309" s="2" t="str">
        <f aca="false">IF(COUNT(C309:F309)&lt;4,"",IF(OR(D309&lt;MAX(C309,F309)-0.000001,E309&gt;MIN(C309,F309)+0.000001),"FAIL","OK"))</f>
        <v>OK</v>
      </c>
      <c r="J309" s="10" t="n">
        <f aca="false">IF(COUNT(F309,G309)&lt;2,"",G309/F309)</f>
        <v>0.951524469405336</v>
      </c>
      <c r="K309" s="10" t="n">
        <f aca="false">H309/H308-1</f>
        <v>-0.00441725611394872</v>
      </c>
      <c r="L309" s="10" t="n">
        <f aca="false">H314/H309-1</f>
        <v>0.0260279092283717</v>
      </c>
      <c r="M309" s="10" t="n">
        <f aca="false">IF(COUNT(B250:B309)&lt;60,"",(B309-AVERAGE(B250:B309))/STDEV(B250:B309))</f>
        <v>0.287719242342942</v>
      </c>
      <c r="N309" s="10" t="n">
        <f aca="false">(H309-AVERAGE(H250:H309))/STDEV(H250:H309)</f>
        <v>0.370320847722261</v>
      </c>
      <c r="O309" s="10" t="n">
        <f aca="false">IF(COUNT(B309)=0,"",B309-('Signal Analysis'!$C$6+'Signal Analysis'!$C$5*H309))</f>
        <v>-0.0548715065541501</v>
      </c>
    </row>
    <row r="310" customFormat="false" ht="15" hidden="false" customHeight="false" outlineLevel="0" collapsed="false">
      <c r="A310" s="8" t="n">
        <v>42774</v>
      </c>
      <c r="B310" s="9" t="n">
        <v>16.2652478016</v>
      </c>
      <c r="C310" s="9" t="n">
        <v>135.240005</v>
      </c>
      <c r="D310" s="9" t="n">
        <v>135.240005</v>
      </c>
      <c r="E310" s="9" t="n">
        <v>133.889999</v>
      </c>
      <c r="F310" s="9" t="n">
        <v>135</v>
      </c>
      <c r="G310" s="9" t="n">
        <v>128.455841</v>
      </c>
      <c r="H310" s="9" t="n">
        <v>128.455841</v>
      </c>
      <c r="I310" s="2" t="str">
        <f aca="false">IF(COUNT(C310:F310)&lt;4,"",IF(OR(D310&lt;MAX(C310,F310)-0.000001,E310&gt;MIN(C310,F310)+0.000001),"FAIL","OK"))</f>
        <v>OK</v>
      </c>
      <c r="J310" s="10" t="n">
        <f aca="false">IF(COUNT(F310,G310)&lt;2,"",G310/F310)</f>
        <v>0.951524748148148</v>
      </c>
      <c r="K310" s="10" t="n">
        <f aca="false">H310/H309-1</f>
        <v>-0.0017743673748104</v>
      </c>
      <c r="L310" s="10" t="n">
        <f aca="false">H315/H310-1</f>
        <v>0.0339999564519609</v>
      </c>
      <c r="M310" s="10" t="n">
        <f aca="false">IF(COUNT(B251:B310)&lt;60,"",(B310-AVERAGE(B251:B310))/STDEV(B251:B310))</f>
        <v>0.852781984518034</v>
      </c>
      <c r="N310" s="10" t="n">
        <f aca="false">(H310-AVERAGE(H251:H310))/STDEV(H251:H310)</f>
        <v>0.251690898719155</v>
      </c>
      <c r="O310" s="10" t="n">
        <f aca="false">IF(COUNT(B310)=0,"",B310-('Signal Analysis'!$C$6+'Signal Analysis'!$C$5*H310))</f>
        <v>0.491211400445287</v>
      </c>
    </row>
    <row r="311" customFormat="false" ht="15" hidden="false" customHeight="false" outlineLevel="0" collapsed="false">
      <c r="A311" s="8" t="n">
        <v>42775</v>
      </c>
      <c r="B311" s="9" t="n">
        <v>15.6855862152</v>
      </c>
      <c r="C311" s="9" t="n">
        <v>135</v>
      </c>
      <c r="D311" s="9" t="n">
        <v>137.25</v>
      </c>
      <c r="E311" s="9" t="n">
        <v>135</v>
      </c>
      <c r="F311" s="9" t="n">
        <v>136.899994</v>
      </c>
      <c r="G311" s="9" t="n">
        <v>130.263718</v>
      </c>
      <c r="H311" s="9" t="n">
        <v>130.263718</v>
      </c>
      <c r="I311" s="2" t="str">
        <f aca="false">IF(COUNT(C311:F311)&lt;4,"",IF(OR(D311&lt;MAX(C311,F311)-0.000001,E311&gt;MIN(C311,F311)+0.000001),"FAIL","OK"))</f>
        <v>OK</v>
      </c>
      <c r="J311" s="10" t="n">
        <f aca="false">IF(COUNT(F311,G311)&lt;2,"",G311/F311)</f>
        <v>0.951524643602249</v>
      </c>
      <c r="K311" s="10" t="n">
        <f aca="false">H311/H310-1</f>
        <v>0.0140739182113176</v>
      </c>
      <c r="L311" s="10" t="n">
        <f aca="false">H316/H311-1</f>
        <v>0.0168005875588473</v>
      </c>
      <c r="M311" s="10" t="n">
        <f aca="false">IF(COUNT(B252:B311)&lt;60,"",(B311-AVERAGE(B252:B311))/STDEV(B252:B311))</f>
        <v>0.183189038307336</v>
      </c>
      <c r="N311" s="10" t="n">
        <f aca="false">(H311-AVERAGE(H252:H311))/STDEV(H252:H311)</f>
        <v>1.00378131480363</v>
      </c>
      <c r="O311" s="10" t="n">
        <f aca="false">IF(COUNT(B311)=0,"",B311-('Signal Analysis'!$C$6+'Signal Analysis'!$C$5*H311))</f>
        <v>-0.335754069810559</v>
      </c>
    </row>
    <row r="312" customFormat="false" ht="15" hidden="false" customHeight="false" outlineLevel="0" collapsed="false">
      <c r="A312" s="8" t="n">
        <v>42776</v>
      </c>
      <c r="B312" s="9" t="n">
        <v>16.735740084</v>
      </c>
      <c r="C312" s="9" t="n">
        <v>137.789993</v>
      </c>
      <c r="D312" s="9" t="n">
        <v>138.369995</v>
      </c>
      <c r="E312" s="9" t="n">
        <v>137.199997</v>
      </c>
      <c r="F312" s="9" t="n">
        <v>137.940002</v>
      </c>
      <c r="G312" s="9" t="n">
        <v>131.253326</v>
      </c>
      <c r="H312" s="9" t="n">
        <v>131.253326</v>
      </c>
      <c r="I312" s="2" t="str">
        <f aca="false">IF(COUNT(C312:F312)&lt;4,"",IF(OR(D312&lt;MAX(C312,F312)-0.000001,E312&gt;MIN(C312,F312)+0.000001),"FAIL","OK"))</f>
        <v>OK</v>
      </c>
      <c r="J312" s="10" t="n">
        <f aca="false">IF(COUNT(F312,G312)&lt;2,"",G312/F312)</f>
        <v>0.951524750594103</v>
      </c>
      <c r="K312" s="10" t="n">
        <f aca="false">H312/H311-1</f>
        <v>0.0075969580416857</v>
      </c>
      <c r="L312" s="10" t="n">
        <f aca="false">H317/H312-1</f>
        <v>0.00848181172947959</v>
      </c>
      <c r="M312" s="10" t="n">
        <f aca="false">IF(COUNT(B253:B312)&lt;60,"",(B312-AVERAGE(B253:B312))/STDEV(B253:B312))</f>
        <v>1.32626099620544</v>
      </c>
      <c r="N312" s="10" t="n">
        <f aca="false">(H312-AVERAGE(H253:H312))/STDEV(H253:H312)</f>
        <v>1.43292471470213</v>
      </c>
      <c r="O312" s="10" t="n">
        <f aca="false">IF(COUNT(B312)=0,"",B312-('Signal Analysis'!$C$6+'Signal Analysis'!$C$5*H312))</f>
        <v>0.579028918174643</v>
      </c>
    </row>
    <row r="313" customFormat="false" ht="15" hidden="false" customHeight="false" outlineLevel="0" collapsed="false">
      <c r="A313" s="8" t="n">
        <v>42779</v>
      </c>
      <c r="B313" s="9" t="n">
        <v>15.41743899</v>
      </c>
      <c r="C313" s="9" t="n">
        <v>138.770004</v>
      </c>
      <c r="D313" s="9" t="n">
        <v>139.210007</v>
      </c>
      <c r="E313" s="9" t="n">
        <v>138.089996</v>
      </c>
      <c r="F313" s="9" t="n">
        <v>138.300003</v>
      </c>
      <c r="G313" s="9" t="n">
        <v>131.595856</v>
      </c>
      <c r="H313" s="9" t="n">
        <v>131.595856</v>
      </c>
      <c r="I313" s="2" t="str">
        <f aca="false">IF(COUNT(C313:F313)&lt;4,"",IF(OR(D313&lt;MAX(C313,F313)-0.000001,E313&gt;MIN(C313,F313)+0.000001),"FAIL","OK"))</f>
        <v>OK</v>
      </c>
      <c r="J313" s="10" t="n">
        <f aca="false">IF(COUNT(F313,G313)&lt;2,"",G313/F313)</f>
        <v>0.951524606980666</v>
      </c>
      <c r="K313" s="10" t="n">
        <f aca="false">H313/H312-1</f>
        <v>0.00260968624901747</v>
      </c>
      <c r="L313" s="10" t="n">
        <f aca="false">H318/H313-1</f>
        <v>0.0137383277479497</v>
      </c>
      <c r="M313" s="10" t="n">
        <f aca="false">IF(COUNT(B254:B313)&lt;60,"",(B313-AVERAGE(B254:B313))/STDEV(B254:B313))</f>
        <v>-0.173557950729399</v>
      </c>
      <c r="N313" s="10" t="n">
        <f aca="false">(H313-AVERAGE(H254:H313))/STDEV(H254:H313)</f>
        <v>1.5770714454873</v>
      </c>
      <c r="O313" s="10" t="n">
        <f aca="false">IF(COUNT(B313)=0,"",B313-('Signal Analysis'!$C$6+'Signal Analysis'!$C$5*H313))</f>
        <v>-0.786127686093554</v>
      </c>
    </row>
    <row r="314" customFormat="false" ht="15" hidden="false" customHeight="false" outlineLevel="0" collapsed="false">
      <c r="A314" s="8" t="n">
        <v>42780</v>
      </c>
      <c r="B314" s="9" t="n">
        <v>16.3605107712</v>
      </c>
      <c r="C314" s="9" t="n">
        <v>137.940002</v>
      </c>
      <c r="D314" s="9" t="n">
        <v>138.949997</v>
      </c>
      <c r="E314" s="9" t="n">
        <v>137.610001</v>
      </c>
      <c r="F314" s="9" t="n">
        <v>138.759995</v>
      </c>
      <c r="G314" s="9" t="n">
        <v>132.033554</v>
      </c>
      <c r="H314" s="9" t="n">
        <v>132.033554</v>
      </c>
      <c r="I314" s="2" t="str">
        <f aca="false">IF(COUNT(C314:F314)&lt;4,"",IF(OR(D314&lt;MAX(C314,F314)-0.000001,E314&gt;MIN(C314,F314)+0.000001),"FAIL","OK"))</f>
        <v>OK</v>
      </c>
      <c r="J314" s="10" t="n">
        <f aca="false">IF(COUNT(F314,G314)&lt;2,"",G314/F314)</f>
        <v>0.951524637918876</v>
      </c>
      <c r="K314" s="10" t="n">
        <f aca="false">H314/H313-1</f>
        <v>0.00332607738043067</v>
      </c>
      <c r="L314" s="10" t="n">
        <f aca="false">H319/H314-1</f>
        <v>0.00590977805535697</v>
      </c>
      <c r="M314" s="10" t="n">
        <f aca="false">IF(COUNT(B255:B314)&lt;60,"",(B314-AVERAGE(B255:B314))/STDEV(B255:B314))</f>
        <v>0.873012406833881</v>
      </c>
      <c r="N314" s="10" t="n">
        <f aca="false">(H314-AVERAGE(H255:H314))/STDEV(H255:H314)</f>
        <v>1.77682338113355</v>
      </c>
      <c r="O314" s="10" t="n">
        <f aca="false">IF(COUNT(B314)=0,"",B314-('Signal Analysis'!$C$6+'Signal Analysis'!$C$5*H314))</f>
        <v>0.0970703230766326</v>
      </c>
    </row>
    <row r="315" customFormat="false" ht="15" hidden="false" customHeight="false" outlineLevel="0" collapsed="false">
      <c r="A315" s="8" t="n">
        <v>42781</v>
      </c>
      <c r="B315" s="9" t="n">
        <v>15.8483670444</v>
      </c>
      <c r="C315" s="9" t="n">
        <v>138.190002</v>
      </c>
      <c r="D315" s="9" t="n">
        <v>139.770004</v>
      </c>
      <c r="E315" s="9" t="n">
        <v>138.070007</v>
      </c>
      <c r="F315" s="9" t="n">
        <v>139.589996</v>
      </c>
      <c r="G315" s="9" t="n">
        <v>132.823334</v>
      </c>
      <c r="H315" s="9" t="n">
        <v>132.823334</v>
      </c>
      <c r="I315" s="2" t="str">
        <f aca="false">IF(COUNT(C315:F315)&lt;4,"",IF(OR(D315&lt;MAX(C315,F315)-0.000001,E315&gt;MIN(C315,F315)+0.000001),"FAIL","OK"))</f>
        <v>OK</v>
      </c>
      <c r="J315" s="10" t="n">
        <f aca="false">IF(COUNT(F315,G315)&lt;2,"",G315/F315)</f>
        <v>0.951524735339916</v>
      </c>
      <c r="K315" s="10" t="n">
        <f aca="false">H315/H314-1</f>
        <v>0.00598166129800593</v>
      </c>
      <c r="L315" s="10" t="n">
        <f aca="false">H320/H315-1</f>
        <v>-0.00601754959712109</v>
      </c>
      <c r="M315" s="10" t="n">
        <f aca="false">IF(COUNT(B256:B315)&lt;60,"",(B315-AVERAGE(B256:B315))/STDEV(B256:B315))</f>
        <v>0.272114306427107</v>
      </c>
      <c r="N315" s="10" t="n">
        <f aca="false">(H315-AVERAGE(H256:H315))/STDEV(H256:H315)</f>
        <v>2.1239444072493</v>
      </c>
      <c r="O315" s="10" t="n">
        <f aca="false">IF(COUNT(B315)=0,"",B315-('Signal Analysis'!$C$6+'Signal Analysis'!$C$5*H315))</f>
        <v>-0.523109327290992</v>
      </c>
    </row>
    <row r="316" customFormat="false" ht="15" hidden="false" customHeight="false" outlineLevel="0" collapsed="false">
      <c r="A316" s="8" t="n">
        <v>42782</v>
      </c>
      <c r="B316" s="9" t="n">
        <v>15.140778102</v>
      </c>
      <c r="C316" s="9" t="n">
        <v>139.460007</v>
      </c>
      <c r="D316" s="9" t="n">
        <v>139.839996</v>
      </c>
      <c r="E316" s="9" t="n">
        <v>138.210007</v>
      </c>
      <c r="F316" s="9" t="n">
        <v>139.199997</v>
      </c>
      <c r="G316" s="9" t="n">
        <v>132.452225</v>
      </c>
      <c r="H316" s="9" t="n">
        <v>132.452225</v>
      </c>
      <c r="I316" s="2" t="str">
        <f aca="false">IF(COUNT(C316:F316)&lt;4,"",IF(OR(D316&lt;MAX(C316,F316)-0.000001,E316&gt;MIN(C316,F316)+0.000001),"FAIL","OK"))</f>
        <v>OK</v>
      </c>
      <c r="J316" s="10" t="n">
        <f aca="false">IF(COUNT(F316,G316)&lt;2,"",G316/F316)</f>
        <v>0.951524625392054</v>
      </c>
      <c r="K316" s="10" t="n">
        <f aca="false">H316/H315-1</f>
        <v>-0.00279400455344681</v>
      </c>
      <c r="L316" s="10" t="n">
        <f aca="false">H321/H316-1</f>
        <v>-0.00395085850766197</v>
      </c>
      <c r="M316" s="10" t="n">
        <f aca="false">IF(COUNT(B257:B316)&lt;60,"",(B316-AVERAGE(B257:B316))/STDEV(B257:B316))</f>
        <v>-0.521675951994878</v>
      </c>
      <c r="N316" s="10" t="n">
        <f aca="false">(H316-AVERAGE(H257:H316))/STDEV(H257:H316)</f>
        <v>1.89357983367564</v>
      </c>
      <c r="O316" s="10" t="n">
        <f aca="false">IF(COUNT(B316)=0,"",B316-('Signal Analysis'!$C$6+'Signal Analysis'!$C$5*H316))</f>
        <v>-1.17993336863088</v>
      </c>
    </row>
    <row r="317" customFormat="false" ht="15" hidden="false" customHeight="false" outlineLevel="0" collapsed="false">
      <c r="A317" s="8" t="n">
        <v>42783</v>
      </c>
      <c r="B317" s="9" t="n">
        <v>16.635031938</v>
      </c>
      <c r="C317" s="9" t="n">
        <v>138.449997</v>
      </c>
      <c r="D317" s="9" t="n">
        <v>139.160004</v>
      </c>
      <c r="E317" s="9" t="n">
        <v>138.25</v>
      </c>
      <c r="F317" s="9" t="n">
        <v>139.110001</v>
      </c>
      <c r="G317" s="9" t="n">
        <v>132.366592</v>
      </c>
      <c r="H317" s="9" t="n">
        <v>132.366592</v>
      </c>
      <c r="I317" s="2" t="str">
        <f aca="false">IF(COUNT(C317:F317)&lt;4,"",IF(OR(D317&lt;MAX(C317,F317)-0.000001,E317&gt;MIN(C317,F317)+0.000001),"FAIL","OK"))</f>
        <v>OK</v>
      </c>
      <c r="J317" s="10" t="n">
        <f aca="false">IF(COUNT(F317,G317)&lt;2,"",G317/F317)</f>
        <v>0.951524628340704</v>
      </c>
      <c r="K317" s="10" t="n">
        <f aca="false">H317/H316-1</f>
        <v>-0.000646519905573517</v>
      </c>
      <c r="L317" s="10" t="n">
        <f aca="false">H322/H317-1</f>
        <v>0.00639751305223624</v>
      </c>
      <c r="M317" s="10" t="n">
        <f aca="false">IF(COUNT(B258:B317)&lt;60,"",(B317-AVERAGE(B258:B317))/STDEV(B258:B317))</f>
        <v>1.14694489708357</v>
      </c>
      <c r="N317" s="10" t="n">
        <f aca="false">(H317-AVERAGE(H258:H317))/STDEV(H258:H317)</f>
        <v>1.80156864671342</v>
      </c>
      <c r="O317" s="10" t="n">
        <f aca="false">IF(COUNT(B317)=0,"",B317-('Signal Analysis'!$C$6+'Signal Analysis'!$C$5*H317))</f>
        <v>0.326034413332387</v>
      </c>
    </row>
    <row r="318" customFormat="false" ht="15" hidden="false" customHeight="false" outlineLevel="0" collapsed="false">
      <c r="A318" s="8" t="n">
        <v>42787</v>
      </c>
      <c r="B318" s="9" t="n">
        <v>16.30641513</v>
      </c>
      <c r="C318" s="9" t="n">
        <v>139.380005</v>
      </c>
      <c r="D318" s="9" t="n">
        <v>140.320007</v>
      </c>
      <c r="E318" s="9" t="n">
        <v>139.380005</v>
      </c>
      <c r="F318" s="9" t="n">
        <v>140.199997</v>
      </c>
      <c r="G318" s="9" t="n">
        <v>133.403763</v>
      </c>
      <c r="H318" s="9" t="n">
        <v>133.403763</v>
      </c>
      <c r="I318" s="2" t="str">
        <f aca="false">IF(COUNT(C318:F318)&lt;4,"",IF(OR(D318&lt;MAX(C318,F318)-0.000001,E318&gt;MIN(C318,F318)+0.000001),"FAIL","OK"))</f>
        <v>OK</v>
      </c>
      <c r="J318" s="10" t="n">
        <f aca="false">IF(COUNT(F318,G318)&lt;2,"",G318/F318)</f>
        <v>0.951524720788689</v>
      </c>
      <c r="K318" s="10" t="n">
        <f aca="false">H318/H317-1</f>
        <v>0.00783559495133024</v>
      </c>
      <c r="L318" s="10" t="n">
        <f aca="false">H323/H318-1</f>
        <v>-0.0168331533496549</v>
      </c>
      <c r="M318" s="10" t="n">
        <f aca="false">IF(COUNT(B259:B318)&lt;60,"",(B318-AVERAGE(B259:B318))/STDEV(B259:B318))</f>
        <v>0.754799926925796</v>
      </c>
      <c r="N318" s="10" t="n">
        <f aca="false">(H318-AVERAGE(H259:H318))/STDEV(H259:H318)</f>
        <v>2.22097628859405</v>
      </c>
      <c r="O318" s="10" t="n">
        <f aca="false">IF(COUNT(B318)=0,"",B318-('Signal Analysis'!$C$6+'Signal Analysis'!$C$5*H318))</f>
        <v>-0.14445953372223</v>
      </c>
    </row>
    <row r="319" customFormat="false" ht="15" hidden="false" customHeight="false" outlineLevel="0" collapsed="false">
      <c r="A319" s="8" t="n">
        <v>42788</v>
      </c>
      <c r="B319" s="9" t="n">
        <v>15.186328626</v>
      </c>
      <c r="C319" s="9" t="n">
        <v>140</v>
      </c>
      <c r="D319" s="9" t="n">
        <v>140.020004</v>
      </c>
      <c r="E319" s="9" t="n">
        <v>139.25</v>
      </c>
      <c r="F319" s="9" t="n">
        <v>139.580002</v>
      </c>
      <c r="G319" s="9" t="n">
        <v>132.813843</v>
      </c>
      <c r="H319" s="9" t="n">
        <v>132.813843</v>
      </c>
      <c r="I319" s="2" t="str">
        <f aca="false">IF(COUNT(C319:F319)&lt;4,"",IF(OR(D319&lt;MAX(C319,F319)-0.000001,E319&gt;MIN(C319,F319)+0.000001),"FAIL","OK"))</f>
        <v>OK</v>
      </c>
      <c r="J319" s="10" t="n">
        <f aca="false">IF(COUNT(F319,G319)&lt;2,"",G319/F319)</f>
        <v>0.951524868154107</v>
      </c>
      <c r="K319" s="10" t="n">
        <f aca="false">H319/H318-1</f>
        <v>-0.00442206416621105</v>
      </c>
      <c r="L319" s="10" t="n">
        <f aca="false">H324/H319-1</f>
        <v>0.00558794914171723</v>
      </c>
      <c r="M319" s="10" t="n">
        <f aca="false">IF(COUNT(B260:B319)&lt;60,"",(B319-AVERAGE(B260:B319))/STDEV(B260:B319))</f>
        <v>-0.532760986416599</v>
      </c>
      <c r="N319" s="10" t="n">
        <f aca="false">(H319-AVERAGE(H260:H319))/STDEV(H260:H319)</f>
        <v>1.83870219453708</v>
      </c>
      <c r="O319" s="10" t="n">
        <f aca="false">IF(COUNT(B319)=0,"",B319-('Signal Analysis'!$C$6+'Signal Analysis'!$C$5*H319))</f>
        <v>-1.18384944875947</v>
      </c>
    </row>
    <row r="320" customFormat="false" ht="15" hidden="false" customHeight="false" outlineLevel="0" collapsed="false">
      <c r="A320" s="8" t="n">
        <v>42789</v>
      </c>
      <c r="B320" s="9" t="n">
        <v>15.8963686284</v>
      </c>
      <c r="C320" s="9" t="n">
        <v>139.960007</v>
      </c>
      <c r="D320" s="9" t="n">
        <v>140.009995</v>
      </c>
      <c r="E320" s="9" t="n">
        <v>137.690002</v>
      </c>
      <c r="F320" s="9" t="n">
        <v>138.75</v>
      </c>
      <c r="G320" s="9" t="n">
        <v>132.024063</v>
      </c>
      <c r="H320" s="9" t="n">
        <v>132.024063</v>
      </c>
      <c r="I320" s="2" t="str">
        <f aca="false">IF(COUNT(C320:F320)&lt;4,"",IF(OR(D320&lt;MAX(C320,F320)-0.000001,E320&gt;MIN(C320,F320)+0.000001),"FAIL","OK"))</f>
        <v>OK</v>
      </c>
      <c r="J320" s="10" t="n">
        <f aca="false">IF(COUNT(F320,G320)&lt;2,"",G320/F320)</f>
        <v>0.951524778378379</v>
      </c>
      <c r="K320" s="10" t="n">
        <f aca="false">H320/H319-1</f>
        <v>-0.0059465186923322</v>
      </c>
      <c r="L320" s="10" t="n">
        <f aca="false">H325/H320-1</f>
        <v>0</v>
      </c>
      <c r="M320" s="10" t="n">
        <f aca="false">IF(COUNT(B261:B320)&lt;60,"",(B320-AVERAGE(B261:B320))/STDEV(B261:B320))</f>
        <v>0.260206313711032</v>
      </c>
      <c r="N320" s="10" t="n">
        <f aca="false">(H320-AVERAGE(H261:H320))/STDEV(H261:H320)</f>
        <v>1.39459311200835</v>
      </c>
      <c r="O320" s="10" t="n">
        <f aca="false">IF(COUNT(B320)=0,"",B320-('Signal Analysis'!$C$6+'Signal Analysis'!$C$5*H320))</f>
        <v>-0.365773522791843</v>
      </c>
    </row>
    <row r="321" customFormat="false" ht="15" hidden="false" customHeight="false" outlineLevel="0" collapsed="false">
      <c r="A321" s="8" t="n">
        <v>42790</v>
      </c>
      <c r="B321" s="9" t="n">
        <v>16.02672</v>
      </c>
      <c r="C321" s="9" t="n">
        <v>137.460007</v>
      </c>
      <c r="D321" s="9" t="n">
        <v>138.649994</v>
      </c>
      <c r="E321" s="9" t="n">
        <v>137.300003</v>
      </c>
      <c r="F321" s="9" t="n">
        <v>138.649994</v>
      </c>
      <c r="G321" s="9" t="n">
        <v>131.928925</v>
      </c>
      <c r="H321" s="9" t="n">
        <v>131.928925</v>
      </c>
      <c r="I321" s="2" t="str">
        <f aca="false">IF(COUNT(C321:F321)&lt;4,"",IF(OR(D321&lt;MAX(C321,F321)-0.000001,E321&gt;MIN(C321,F321)+0.000001),"FAIL","OK"))</f>
        <v>OK</v>
      </c>
      <c r="J321" s="10" t="n">
        <f aca="false">IF(COUNT(F321,G321)&lt;2,"",G321/F321)</f>
        <v>0.951524923975114</v>
      </c>
      <c r="K321" s="10" t="n">
        <f aca="false">H321/H320-1</f>
        <v>-0.000720611060121779</v>
      </c>
      <c r="L321" s="10" t="n">
        <f aca="false">H326/H321-1</f>
        <v>0</v>
      </c>
      <c r="M321" s="10" t="n">
        <f aca="false">IF(COUNT(B262:B321)&lt;60,"",(B321-AVERAGE(B262:B321))/STDEV(B262:B321))</f>
        <v>0.393450289904124</v>
      </c>
      <c r="N321" s="10" t="n">
        <f aca="false">(H321-AVERAGE(H262:H321))/STDEV(H262:H321)</f>
        <v>1.31485853850552</v>
      </c>
      <c r="O321" s="10" t="n">
        <f aca="false">IF(COUNT(B321)=0,"",B321-('Signal Analysis'!$C$6+'Signal Analysis'!$C$5*H321))</f>
        <v>-0.22240799320306</v>
      </c>
    </row>
    <row r="322" customFormat="false" ht="15" hidden="false" customHeight="false" outlineLevel="0" collapsed="false">
      <c r="A322" s="8" t="n">
        <v>42793</v>
      </c>
      <c r="B322" s="9" t="n">
        <v>15.050743182</v>
      </c>
      <c r="C322" s="9" t="n">
        <v>138.339996</v>
      </c>
      <c r="D322" s="9" t="n">
        <v>140</v>
      </c>
      <c r="E322" s="9" t="n">
        <v>138.210007</v>
      </c>
      <c r="F322" s="9" t="n">
        <v>140</v>
      </c>
      <c r="G322" s="9" t="n">
        <v>133.213409</v>
      </c>
      <c r="H322" s="9" t="n">
        <v>133.213409</v>
      </c>
      <c r="I322" s="2" t="str">
        <f aca="false">IF(COUNT(C322:F322)&lt;4,"",IF(OR(D322&lt;MAX(C322,F322)-0.000001,E322&gt;MIN(C322,F322)+0.000001),"FAIL","OK"))</f>
        <v>OK</v>
      </c>
      <c r="J322" s="10" t="n">
        <f aca="false">IF(COUNT(F322,G322)&lt;2,"",G322/F322)</f>
        <v>0.95152435</v>
      </c>
      <c r="K322" s="10" t="n">
        <f aca="false">H322/H321-1</f>
        <v>0.00973618181153246</v>
      </c>
      <c r="L322" s="10" t="n">
        <f aca="false">H327/H322-1</f>
        <v>-0.0164280008778996</v>
      </c>
      <c r="M322" s="10" t="n">
        <f aca="false">IF(COUNT(B263:B322)&lt;60,"",(B322-AVERAGE(B263:B322))/STDEV(B263:B322))</f>
        <v>-0.732813830711083</v>
      </c>
      <c r="N322" s="10" t="n">
        <f aca="false">(H322-AVERAGE(H263:H322))/STDEV(H263:H322)</f>
        <v>1.89731656075886</v>
      </c>
      <c r="O322" s="10" t="n">
        <f aca="false">IF(COUNT(B322)=0,"",B322-('Signal Analysis'!$C$6+'Signal Analysis'!$C$5*H322))</f>
        <v>-1.37409249593532</v>
      </c>
    </row>
    <row r="323" customFormat="false" ht="15" hidden="false" customHeight="false" outlineLevel="0" collapsed="false">
      <c r="A323" s="8" t="n">
        <v>42794</v>
      </c>
      <c r="B323" s="9" t="n">
        <v>15.67315629</v>
      </c>
      <c r="C323" s="9" t="n">
        <v>139.380005</v>
      </c>
      <c r="D323" s="9" t="n">
        <v>139.479996</v>
      </c>
      <c r="E323" s="9" t="n">
        <v>137.759995</v>
      </c>
      <c r="F323" s="9" t="n">
        <v>137.839996</v>
      </c>
      <c r="G323" s="9" t="n">
        <v>131.158157</v>
      </c>
      <c r="H323" s="9" t="n">
        <v>131.158157</v>
      </c>
      <c r="I323" s="2" t="str">
        <f aca="false">IF(COUNT(C323:F323)&lt;4,"",IF(OR(D323&lt;MAX(C323,F323)-0.000001,E323&gt;MIN(C323,F323)+0.000001),"FAIL","OK"))</f>
        <v>OK</v>
      </c>
      <c r="J323" s="10" t="n">
        <f aca="false">IF(COUNT(F323,G323)&lt;2,"",G323/F323)</f>
        <v>0.95152467212782</v>
      </c>
      <c r="K323" s="10" t="n">
        <f aca="false">H323/H322-1</f>
        <v>-0.0154282666844748</v>
      </c>
      <c r="L323" s="10" t="n">
        <f aca="false">H328/H323-1</f>
        <v>-0.00754480714455275</v>
      </c>
      <c r="M323" s="10" t="n">
        <f aca="false">IF(COUNT(B264:B323)&lt;60,"",(B323-AVERAGE(B264:B323))/STDEV(B264:B323))</f>
        <v>0.134278012224511</v>
      </c>
      <c r="N323" s="10" t="n">
        <f aca="false">(H323-AVERAGE(H264:H323))/STDEV(H264:H323)</f>
        <v>0.849509420944441</v>
      </c>
      <c r="O323" s="10" t="n">
        <f aca="false">IF(COUNT(B323)=0,"",B323-('Signal Analysis'!$C$6+'Signal Analysis'!$C$5*H323))</f>
        <v>-0.470536477271319</v>
      </c>
    </row>
    <row r="324" customFormat="false" ht="15" hidden="false" customHeight="false" outlineLevel="0" collapsed="false">
      <c r="A324" s="8" t="n">
        <v>42795</v>
      </c>
      <c r="B324" s="9" t="n">
        <v>15.72299748</v>
      </c>
      <c r="C324" s="9" t="n">
        <v>139.649994</v>
      </c>
      <c r="D324" s="9" t="n">
        <v>140.860001</v>
      </c>
      <c r="E324" s="9" t="n">
        <v>139.520004</v>
      </c>
      <c r="F324" s="9" t="n">
        <v>140.360001</v>
      </c>
      <c r="G324" s="9" t="n">
        <v>133.556</v>
      </c>
      <c r="H324" s="9" t="n">
        <v>133.556</v>
      </c>
      <c r="I324" s="2" t="str">
        <f aca="false">IF(COUNT(C324:F324)&lt;4,"",IF(OR(D324&lt;MAX(C324,F324)-0.000001,E324&gt;MIN(C324,F324)+0.000001),"FAIL","OK"))</f>
        <v>OK</v>
      </c>
      <c r="J324" s="10" t="n">
        <f aca="false">IF(COUNT(F324,G324)&lt;2,"",G324/F324)</f>
        <v>0.951524644118519</v>
      </c>
      <c r="K324" s="10" t="n">
        <f aca="false">H324/H323-1</f>
        <v>0.0182820729937523</v>
      </c>
      <c r="L324" s="10" t="n">
        <f aca="false">H329/H324-1</f>
        <v>-0.0317754724609902</v>
      </c>
      <c r="M324" s="10" t="n">
        <f aca="false">IF(COUNT(B265:B324)&lt;60,"",(B324-AVERAGE(B265:B324))/STDEV(B265:B324))</f>
        <v>0.212342169323745</v>
      </c>
      <c r="N324" s="10" t="n">
        <f aca="false">(H324-AVERAGE(H265:H324))/STDEV(H265:H324)</f>
        <v>2.09800858159398</v>
      </c>
      <c r="O324" s="10" t="n">
        <f aca="false">IF(COUNT(B324)=0,"",B324-('Signal Analysis'!$C$6+'Signal Analysis'!$C$5*H324))</f>
        <v>-0.74870205254161</v>
      </c>
    </row>
    <row r="325" customFormat="false" ht="15" hidden="false" customHeight="false" outlineLevel="0" collapsed="false">
      <c r="A325" s="8" t="n">
        <v>42796</v>
      </c>
      <c r="B325" s="9" t="n">
        <v>15.4640289672</v>
      </c>
      <c r="C325" s="9" t="n">
        <v>140.330002</v>
      </c>
      <c r="D325" s="9" t="n">
        <v>140.360001</v>
      </c>
      <c r="E325" s="9" t="n">
        <v>138.639999</v>
      </c>
      <c r="F325" s="9" t="n">
        <v>138.75</v>
      </c>
      <c r="G325" s="9" t="n">
        <v>132.024063</v>
      </c>
      <c r="H325" s="9" t="n">
        <v>132.024063</v>
      </c>
      <c r="I325" s="2" t="str">
        <f aca="false">IF(COUNT(C325:F325)&lt;4,"",IF(OR(D325&lt;MAX(C325,F325)-0.000001,E325&gt;MIN(C325,F325)+0.000001),"FAIL","OK"))</f>
        <v>OK</v>
      </c>
      <c r="J325" s="10" t="n">
        <f aca="false">IF(COUNT(F325,G325)&lt;2,"",G325/F325)</f>
        <v>0.951524778378379</v>
      </c>
      <c r="K325" s="10" t="n">
        <f aca="false">H325/H324-1</f>
        <v>-0.0114703719787954</v>
      </c>
      <c r="L325" s="10" t="n">
        <f aca="false">H330/H325-1</f>
        <v>-0.0244324930372732</v>
      </c>
      <c r="M325" s="10" t="n">
        <f aca="false">IF(COUNT(B266:B325)&lt;60,"",(B325-AVERAGE(B266:B325))/STDEV(B266:B325))</f>
        <v>-0.274671884484698</v>
      </c>
      <c r="N325" s="10" t="n">
        <f aca="false">(H325-AVERAGE(H266:H325))/STDEV(H266:H325)</f>
        <v>1.2852287653648</v>
      </c>
      <c r="O325" s="10" t="n">
        <f aca="false">IF(COUNT(B325)=0,"",B325-('Signal Analysis'!$C$6+'Signal Analysis'!$C$5*H325))</f>
        <v>-0.798113183991841</v>
      </c>
    </row>
    <row r="326" customFormat="false" ht="15" hidden="false" customHeight="false" outlineLevel="0" collapsed="false">
      <c r="A326" s="8" t="n">
        <v>42797</v>
      </c>
      <c r="B326" s="9" t="n">
        <v>16.138161936</v>
      </c>
      <c r="C326" s="9" t="n">
        <v>138.800003</v>
      </c>
      <c r="D326" s="9" t="n">
        <v>139.419998</v>
      </c>
      <c r="E326" s="9" t="n">
        <v>137.880005</v>
      </c>
      <c r="F326" s="9" t="n">
        <v>138.649994</v>
      </c>
      <c r="G326" s="9" t="n">
        <v>131.928925</v>
      </c>
      <c r="H326" s="9" t="n">
        <v>131.928925</v>
      </c>
      <c r="I326" s="2" t="str">
        <f aca="false">IF(COUNT(C326:F326)&lt;4,"",IF(OR(D326&lt;MAX(C326,F326)-0.000001,E326&gt;MIN(C326,F326)+0.000001),"FAIL","OK"))</f>
        <v>OK</v>
      </c>
      <c r="J326" s="10" t="n">
        <f aca="false">IF(COUNT(F326,G326)&lt;2,"",G326/F326)</f>
        <v>0.951524923975114</v>
      </c>
      <c r="K326" s="10" t="n">
        <f aca="false">H326/H325-1</f>
        <v>-0.000720611060121779</v>
      </c>
      <c r="L326" s="10" t="n">
        <f aca="false">H331/H326-1</f>
        <v>-0.0194013632719283</v>
      </c>
      <c r="M326" s="10" t="n">
        <f aca="false">IF(COUNT(B267:B326)&lt;60,"",(B326-AVERAGE(B267:B326))/STDEV(B267:B326))</f>
        <v>0.954033642718957</v>
      </c>
      <c r="N326" s="10" t="n">
        <f aca="false">(H326-AVERAGE(H267:H326))/STDEV(H267:H326)</f>
        <v>1.20713083590692</v>
      </c>
      <c r="O326" s="10" t="n">
        <f aca="false">IF(COUNT(B326)=0,"",B326-('Signal Analysis'!$C$6+'Signal Analysis'!$C$5*H326))</f>
        <v>-0.110966057203061</v>
      </c>
    </row>
    <row r="327" customFormat="false" ht="15" hidden="false" customHeight="false" outlineLevel="0" collapsed="false">
      <c r="A327" s="8" t="n">
        <v>42800</v>
      </c>
      <c r="B327" s="9" t="n">
        <v>15.45580632</v>
      </c>
      <c r="C327" s="9" t="n">
        <v>137.779999</v>
      </c>
      <c r="D327" s="9" t="n">
        <v>137.970001</v>
      </c>
      <c r="E327" s="9" t="n">
        <v>136.990005</v>
      </c>
      <c r="F327" s="9" t="n">
        <v>137.699997</v>
      </c>
      <c r="G327" s="9" t="n">
        <v>131.024979</v>
      </c>
      <c r="H327" s="9" t="n">
        <v>131.024979</v>
      </c>
      <c r="I327" s="2" t="str">
        <f aca="false">IF(COUNT(C327:F327)&lt;4,"",IF(OR(D327&lt;MAX(C327,F327)-0.000001,E327&gt;MIN(C327,F327)+0.000001),"FAIL","OK"))</f>
        <v>OK</v>
      </c>
      <c r="J327" s="10" t="n">
        <f aca="false">IF(COUNT(F327,G327)&lt;2,"",G327/F327)</f>
        <v>0.951524922691175</v>
      </c>
      <c r="K327" s="10" t="n">
        <f aca="false">H327/H326-1</f>
        <v>-0.00685176506971452</v>
      </c>
      <c r="L327" s="10" t="n">
        <f aca="false">H332/H327-1</f>
        <v>-0.0103127434960321</v>
      </c>
      <c r="M327" s="10" t="n">
        <f aca="false">IF(COUNT(B268:B327)&lt;60,"",(B327-AVERAGE(B268:B327))/STDEV(B268:B327))</f>
        <v>-0.279981042558865</v>
      </c>
      <c r="N327" s="10" t="n">
        <f aca="false">(H327-AVERAGE(H268:H327))/STDEV(H268:H327)</f>
        <v>0.637007147854337</v>
      </c>
      <c r="O327" s="10" t="n">
        <f aca="false">IF(COUNT(B327)=0,"",B327-('Signal Analysis'!$C$6+'Signal Analysis'!$C$5*H327))</f>
        <v>-0.669668705331933</v>
      </c>
    </row>
    <row r="328" customFormat="false" ht="15" hidden="false" customHeight="false" outlineLevel="0" collapsed="false">
      <c r="A328" s="8" t="n">
        <v>42801</v>
      </c>
      <c r="B328" s="9" t="n">
        <v>15.2138325024</v>
      </c>
      <c r="C328" s="9" t="n">
        <v>137.399994</v>
      </c>
      <c r="D328" s="9" t="n">
        <v>137.740005</v>
      </c>
      <c r="E328" s="9" t="n">
        <v>136.610001</v>
      </c>
      <c r="F328" s="9" t="n">
        <v>136.800003</v>
      </c>
      <c r="G328" s="9" t="n">
        <v>130.168594</v>
      </c>
      <c r="H328" s="9" t="n">
        <v>130.168594</v>
      </c>
      <c r="I328" s="2" t="str">
        <f aca="false">IF(COUNT(C328:F328)&lt;4,"",IF(OR(D328&lt;MAX(C328,F328)-0.000001,E328&gt;MIN(C328,F328)+0.000001),"FAIL","OK"))</f>
        <v>OK</v>
      </c>
      <c r="J328" s="10" t="n">
        <f aca="false">IF(COUNT(F328,G328)&lt;2,"",G328/F328)</f>
        <v>0.951524789074749</v>
      </c>
      <c r="K328" s="10" t="n">
        <f aca="false">H328/H327-1</f>
        <v>-0.00653604378749784</v>
      </c>
      <c r="L328" s="10" t="n">
        <f aca="false">H333/H328-1</f>
        <v>-0.00855260831963811</v>
      </c>
      <c r="M328" s="10" t="n">
        <f aca="false">IF(COUNT(B269:B328)&lt;60,"",(B328-AVERAGE(B269:B328))/STDEV(B269:B328))</f>
        <v>-0.714523400945523</v>
      </c>
      <c r="N328" s="10" t="n">
        <f aca="false">(H328-AVERAGE(H269:H328))/STDEV(H269:H328)</f>
        <v>0.100027440160482</v>
      </c>
      <c r="O328" s="10" t="n">
        <f aca="false">IF(COUNT(B328)=0,"",B328-('Signal Analysis'!$C$6+'Signal Analysis'!$C$5*H328))</f>
        <v>-0.79449553971577</v>
      </c>
    </row>
    <row r="329" customFormat="false" ht="15" hidden="false" customHeight="false" outlineLevel="0" collapsed="false">
      <c r="A329" s="8" t="n">
        <v>42802</v>
      </c>
      <c r="B329" s="9" t="n">
        <v>15.56085024</v>
      </c>
      <c r="C329" s="9" t="n">
        <v>137.279999</v>
      </c>
      <c r="D329" s="9" t="n">
        <v>137.619995</v>
      </c>
      <c r="E329" s="9" t="n">
        <v>135.779999</v>
      </c>
      <c r="F329" s="9" t="n">
        <v>135.899994</v>
      </c>
      <c r="G329" s="9" t="n">
        <v>129.312195</v>
      </c>
      <c r="H329" s="9" t="n">
        <v>129.312195</v>
      </c>
      <c r="I329" s="2" t="str">
        <f aca="false">IF(COUNT(C329:F329)&lt;4,"",IF(OR(D329&lt;MAX(C329,F329)-0.000001,E329&gt;MIN(C329,F329)+0.000001),"FAIL","OK"))</f>
        <v>OK</v>
      </c>
      <c r="J329" s="10" t="n">
        <f aca="false">IF(COUNT(F329,G329)&lt;2,"",G329/F329)</f>
        <v>0.951524655696453</v>
      </c>
      <c r="K329" s="10" t="n">
        <f aca="false">H329/H328-1</f>
        <v>-0.00657915226463923</v>
      </c>
      <c r="L329" s="10" t="n">
        <f aca="false">H334/H329-1</f>
        <v>0.0134659998618074</v>
      </c>
      <c r="M329" s="10" t="n">
        <f aca="false">IF(COUNT(B270:B329)&lt;60,"",(B329-AVERAGE(B270:B329))/STDEV(B270:B329))</f>
        <v>-0.0722857728445869</v>
      </c>
      <c r="N329" s="10" t="n">
        <f aca="false">(H329-AVERAGE(H270:H329))/STDEV(H270:H329)</f>
        <v>-0.410640752352793</v>
      </c>
      <c r="O329" s="10" t="n">
        <f aca="false">IF(COUNT(B329)=0,"",B329-('Signal Analysis'!$C$6+'Signal Analysis'!$C$5*H329))</f>
        <v>-0.330328903805619</v>
      </c>
    </row>
    <row r="330" customFormat="false" ht="15" hidden="false" customHeight="false" outlineLevel="0" collapsed="false">
      <c r="A330" s="8" t="n">
        <v>42803</v>
      </c>
      <c r="B330" s="9" t="n">
        <v>14.712305682</v>
      </c>
      <c r="C330" s="9" t="n">
        <v>135.830002</v>
      </c>
      <c r="D330" s="9" t="n">
        <v>136.490005</v>
      </c>
      <c r="E330" s="9" t="n">
        <v>134.889999</v>
      </c>
      <c r="F330" s="9" t="n">
        <v>135.360001</v>
      </c>
      <c r="G330" s="9" t="n">
        <v>128.798386</v>
      </c>
      <c r="H330" s="9" t="n">
        <v>128.798386</v>
      </c>
      <c r="I330" s="2" t="str">
        <f aca="false">IF(COUNT(C330:F330)&lt;4,"",IF(OR(D330&lt;MAX(C330,F330)-0.000001,E330&gt;MIN(C330,F330)+0.000001),"FAIL","OK"))</f>
        <v>OK</v>
      </c>
      <c r="J330" s="10" t="n">
        <f aca="false">IF(COUNT(F330,G330)&lt;2,"",G330/F330)</f>
        <v>0.951524712237554</v>
      </c>
      <c r="K330" s="10" t="n">
        <f aca="false">H330/H329-1</f>
        <v>-0.00397339941526786</v>
      </c>
      <c r="L330" s="10" t="n">
        <f aca="false">H335/H330-1</f>
        <v>0.018838559048403</v>
      </c>
      <c r="M330" s="10" t="n">
        <f aca="false">IF(COUNT(B271:B330)&lt;60,"",(B330-AVERAGE(B271:B330))/STDEV(B271:B330))</f>
        <v>-1.56005387930056</v>
      </c>
      <c r="N330" s="10" t="n">
        <f aca="false">(H330-AVERAGE(H271:H330))/STDEV(H271:H330)</f>
        <v>-0.702744892685678</v>
      </c>
      <c r="O330" s="10" t="n">
        <f aca="false">IF(COUNT(B330)=0,"",B330-('Signal Analysis'!$C$6+'Signal Analysis'!$C$5*H330))</f>
        <v>-1.10858828130933</v>
      </c>
    </row>
    <row r="331" customFormat="false" ht="15" hidden="false" customHeight="false" outlineLevel="0" collapsed="false">
      <c r="A331" s="8" t="n">
        <v>42804</v>
      </c>
      <c r="B331" s="9" t="n">
        <v>15.2546289132</v>
      </c>
      <c r="C331" s="9" t="n">
        <v>136.289993</v>
      </c>
      <c r="D331" s="9" t="n">
        <v>136.309998</v>
      </c>
      <c r="E331" s="9" t="n">
        <v>134.839996</v>
      </c>
      <c r="F331" s="9" t="n">
        <v>135.960007</v>
      </c>
      <c r="G331" s="9" t="n">
        <v>129.369324</v>
      </c>
      <c r="H331" s="9" t="n">
        <v>129.369324</v>
      </c>
      <c r="I331" s="2" t="str">
        <f aca="false">IF(COUNT(C331:F331)&lt;4,"",IF(OR(D331&lt;MAX(C331,F331)-0.000001,E331&gt;MIN(C331,F331)+0.000001),"FAIL","OK"))</f>
        <v>OK</v>
      </c>
      <c r="J331" s="10" t="n">
        <f aca="false">IF(COUNT(F331,G331)&lt;2,"",G331/F331)</f>
        <v>0.951524840683481</v>
      </c>
      <c r="K331" s="10" t="n">
        <f aca="false">H331/H330-1</f>
        <v>0.00443280399491974</v>
      </c>
      <c r="L331" s="10" t="n">
        <f aca="false">H336/H331-1</f>
        <v>0.0183878985098507</v>
      </c>
      <c r="M331" s="10" t="n">
        <f aca="false">IF(COUNT(B272:B331)&lt;60,"",(B331-AVERAGE(B272:B331))/STDEV(B272:B331))</f>
        <v>-0.567223016252813</v>
      </c>
      <c r="N331" s="10" t="n">
        <f aca="false">(H331-AVERAGE(H272:H331))/STDEV(H272:H331)</f>
        <v>-0.348710781247165</v>
      </c>
      <c r="O331" s="10" t="n">
        <f aca="false">IF(COUNT(B331)=0,"",B331-('Signal Analysis'!$C$6+'Signal Analysis'!$C$5*H331))</f>
        <v>-0.644365045209048</v>
      </c>
    </row>
    <row r="332" customFormat="false" ht="15" hidden="false" customHeight="false" outlineLevel="0" collapsed="false">
      <c r="A332" s="8" t="n">
        <v>42807</v>
      </c>
      <c r="B332" s="9" t="n">
        <v>14.959622868</v>
      </c>
      <c r="C332" s="9" t="n">
        <v>135.649994</v>
      </c>
      <c r="D332" s="9" t="n">
        <v>136.789993</v>
      </c>
      <c r="E332" s="9" t="n">
        <v>135.649994</v>
      </c>
      <c r="F332" s="9" t="n">
        <v>136.279999</v>
      </c>
      <c r="G332" s="9" t="n">
        <v>129.673752</v>
      </c>
      <c r="H332" s="9" t="n">
        <v>129.673752</v>
      </c>
      <c r="I332" s="2" t="str">
        <f aca="false">IF(COUNT(C332:F332)&lt;4,"",IF(OR(D332&lt;MAX(C332,F332)-0.000001,E332&gt;MIN(C332,F332)+0.000001),"FAIL","OK"))</f>
        <v>OK</v>
      </c>
      <c r="J332" s="10" t="n">
        <f aca="false">IF(COUNT(F332,G332)&lt;2,"",G332/F332)</f>
        <v>0.951524456644588</v>
      </c>
      <c r="K332" s="10" t="n">
        <f aca="false">H332/H331-1</f>
        <v>0.00235316990602819</v>
      </c>
      <c r="L332" s="10" t="n">
        <f aca="false">H337/H332-1</f>
        <v>0.0115939654464536</v>
      </c>
      <c r="M332" s="10" t="n">
        <f aca="false">IF(COUNT(B273:B332)&lt;60,"",(B332-AVERAGE(B273:B332))/STDEV(B273:B332))</f>
        <v>-1.11861876313513</v>
      </c>
      <c r="N332" s="10" t="n">
        <f aca="false">(H332-AVERAGE(H273:H332))/STDEV(H273:H332)</f>
        <v>-0.161769450522008</v>
      </c>
      <c r="O332" s="10" t="n">
        <f aca="false">IF(COUNT(B332)=0,"",B332-('Signal Analysis'!$C$6+'Signal Analysis'!$C$5*H332))</f>
        <v>-0.981014535596117</v>
      </c>
    </row>
    <row r="333" customFormat="false" ht="15" hidden="false" customHeight="false" outlineLevel="0" collapsed="false">
      <c r="A333" s="8" t="n">
        <v>42808</v>
      </c>
      <c r="B333" s="9" t="n">
        <v>16.4421696192</v>
      </c>
      <c r="C333" s="9" t="n">
        <v>135.75</v>
      </c>
      <c r="D333" s="9" t="n">
        <v>135.830002</v>
      </c>
      <c r="E333" s="9" t="n">
        <v>134.559998</v>
      </c>
      <c r="F333" s="9" t="n">
        <v>135.630005</v>
      </c>
      <c r="G333" s="9" t="n">
        <v>129.055313</v>
      </c>
      <c r="H333" s="9" t="n">
        <v>129.055313</v>
      </c>
      <c r="I333" s="2" t="str">
        <f aca="false">IF(COUNT(C333:F333)&lt;4,"",IF(OR(D333&lt;MAX(C333,F333)-0.000001,E333&gt;MIN(C333,F333)+0.000001),"FAIL","OK"))</f>
        <v>OK</v>
      </c>
      <c r="J333" s="10" t="n">
        <f aca="false">IF(COUNT(F333,G333)&lt;2,"",G333/F333)</f>
        <v>0.951524797186286</v>
      </c>
      <c r="K333" s="10" t="n">
        <f aca="false">H333/H332-1</f>
        <v>-0.00476919184076663</v>
      </c>
      <c r="L333" s="10" t="n">
        <f aca="false">H338/H333-1</f>
        <v>-0.0122393953668534</v>
      </c>
      <c r="M333" s="10" t="n">
        <f aca="false">IF(COUNT(B274:B333)&lt;60,"",(B333-AVERAGE(B274:B333))/STDEV(B274:B333))</f>
        <v>1.51845787551354</v>
      </c>
      <c r="N333" s="10" t="n">
        <f aca="false">(H333-AVERAGE(H274:H333))/STDEV(H274:H333)</f>
        <v>-0.556087760175462</v>
      </c>
      <c r="O333" s="10" t="n">
        <f aca="false">IF(COUNT(B333)=0,"",B333-('Signal Analysis'!$C$6+'Signal Analysis'!$C$5*H333))</f>
        <v>0.586129987812903</v>
      </c>
    </row>
    <row r="334" customFormat="false" ht="15" hidden="false" customHeight="false" outlineLevel="0" collapsed="false">
      <c r="A334" s="8" t="n">
        <v>42809</v>
      </c>
      <c r="B334" s="9" t="n">
        <v>15.111611712</v>
      </c>
      <c r="C334" s="9" t="n">
        <v>136.289993</v>
      </c>
      <c r="D334" s="9" t="n">
        <v>138.020004</v>
      </c>
      <c r="E334" s="9" t="n">
        <v>135.970001</v>
      </c>
      <c r="F334" s="9" t="n">
        <v>137.729996</v>
      </c>
      <c r="G334" s="9" t="n">
        <v>131.053513</v>
      </c>
      <c r="H334" s="9" t="n">
        <v>131.053513</v>
      </c>
      <c r="I334" s="2" t="str">
        <f aca="false">IF(COUNT(C334:F334)&lt;4,"",IF(OR(D334&lt;MAX(C334,F334)-0.000001,E334&gt;MIN(C334,F334)+0.000001),"FAIL","OK"))</f>
        <v>OK</v>
      </c>
      <c r="J334" s="10" t="n">
        <f aca="false">IF(COUNT(F334,G334)&lt;2,"",G334/F334)</f>
        <v>0.951524844304795</v>
      </c>
      <c r="K334" s="10" t="n">
        <f aca="false">H334/H333-1</f>
        <v>0.0154832835127059</v>
      </c>
      <c r="L334" s="10" t="n">
        <f aca="false">H339/H334-1</f>
        <v>-0.0270822041985247</v>
      </c>
      <c r="M334" s="10" t="n">
        <f aca="false">IF(COUNT(B275:B334)&lt;60,"",(B334-AVERAGE(B275:B334))/STDEV(B275:B334))</f>
        <v>-0.892872944309939</v>
      </c>
      <c r="N334" s="10" t="n">
        <f aca="false">(H334-AVERAGE(H275:H334))/STDEV(H275:H334)</f>
        <v>0.659039752329002</v>
      </c>
      <c r="O334" s="10" t="n">
        <f aca="false">IF(COUNT(B334)=0,"",B334-('Signal Analysis'!$C$6+'Signal Analysis'!$C$5*H334))</f>
        <v>-1.0177665484646</v>
      </c>
    </row>
    <row r="335" customFormat="false" ht="15" hidden="false" customHeight="false" outlineLevel="0" collapsed="false">
      <c r="A335" s="8" t="n">
        <v>42810</v>
      </c>
      <c r="B335" s="9" t="n">
        <v>15.9089740992</v>
      </c>
      <c r="C335" s="9" t="n">
        <v>138.220001</v>
      </c>
      <c r="D335" s="9" t="n">
        <v>138.509995</v>
      </c>
      <c r="E335" s="9" t="n">
        <v>137.559998</v>
      </c>
      <c r="F335" s="9" t="n">
        <v>137.910004</v>
      </c>
      <c r="G335" s="9" t="n">
        <v>131.224762</v>
      </c>
      <c r="H335" s="9" t="n">
        <v>131.224762</v>
      </c>
      <c r="I335" s="2" t="str">
        <f aca="false">IF(COUNT(C335:F335)&lt;4,"",IF(OR(D335&lt;MAX(C335,F335)-0.000001,E335&gt;MIN(C335,F335)+0.000001),"FAIL","OK"))</f>
        <v>OK</v>
      </c>
      <c r="J335" s="10" t="n">
        <f aca="false">IF(COUNT(F335,G335)&lt;2,"",G335/F335)</f>
        <v>0.951524604407959</v>
      </c>
      <c r="K335" s="10" t="n">
        <f aca="false">H335/H334-1</f>
        <v>0.00130671048856201</v>
      </c>
      <c r="L335" s="10" t="n">
        <f aca="false">H340/H335-1</f>
        <v>-0.0226959603858913</v>
      </c>
      <c r="M335" s="10" t="n">
        <f aca="false">IF(COUNT(B276:B335)&lt;60,"",(B335-AVERAGE(B276:B335))/STDEV(B276:B335))</f>
        <v>0.548454971159358</v>
      </c>
      <c r="N335" s="10" t="n">
        <f aca="false">(H335-AVERAGE(H276:H335))/STDEV(H276:H335)</f>
        <v>0.739842039383292</v>
      </c>
      <c r="O335" s="10" t="n">
        <f aca="false">IF(COUNT(B335)=0,"",B335-('Signal Analysis'!$C$6+'Signal Analysis'!$C$5*H335))</f>
        <v>-0.243829727719858</v>
      </c>
    </row>
    <row r="336" customFormat="false" ht="15" hidden="false" customHeight="false" outlineLevel="0" collapsed="false">
      <c r="A336" s="8" t="n">
        <v>42811</v>
      </c>
      <c r="B336" s="9" t="n">
        <v>14.841499938</v>
      </c>
      <c r="C336" s="9" t="n">
        <v>138.139999</v>
      </c>
      <c r="D336" s="9" t="n">
        <v>138.729996</v>
      </c>
      <c r="E336" s="9" t="n">
        <v>137.309998</v>
      </c>
      <c r="F336" s="9" t="n">
        <v>138.460007</v>
      </c>
      <c r="G336" s="9" t="n">
        <v>131.748154</v>
      </c>
      <c r="H336" s="9" t="n">
        <v>131.748154</v>
      </c>
      <c r="I336" s="2" t="str">
        <f aca="false">IF(COUNT(C336:F336)&lt;4,"",IF(OR(D336&lt;MAX(C336,F336)-0.000001,E336&gt;MIN(C336,F336)+0.000001),"FAIL","OK"))</f>
        <v>OK</v>
      </c>
      <c r="J336" s="10" t="n">
        <f aca="false">IF(COUNT(F336,G336)&lt;2,"",G336/F336)</f>
        <v>0.951524969950348</v>
      </c>
      <c r="K336" s="10" t="n">
        <f aca="false">H336/H335-1</f>
        <v>0.00398851552117896</v>
      </c>
      <c r="L336" s="10" t="n">
        <f aca="false">H341/H336-1</f>
        <v>-0.0258759147395721</v>
      </c>
      <c r="M336" s="10" t="n">
        <f aca="false">IF(COUNT(B277:B336)&lt;60,"",(B336-AVERAGE(B277:B336))/STDEV(B277:B336))</f>
        <v>-1.36248999752514</v>
      </c>
      <c r="N336" s="10" t="n">
        <f aca="false">(H336-AVERAGE(H277:H336))/STDEV(H277:H336)</f>
        <v>1.03258438798341</v>
      </c>
      <c r="O336" s="10" t="n">
        <f aca="false">IF(COUNT(B336)=0,"",B336-('Signal Analysis'!$C$6+'Signal Analysis'!$C$5*H336))</f>
        <v>-1.38289995125102</v>
      </c>
    </row>
    <row r="337" customFormat="false" ht="15" hidden="false" customHeight="false" outlineLevel="0" collapsed="false">
      <c r="A337" s="8" t="n">
        <v>42814</v>
      </c>
      <c r="B337" s="9" t="n">
        <v>15.697370376</v>
      </c>
      <c r="C337" s="9" t="n">
        <v>138.279999</v>
      </c>
      <c r="D337" s="9" t="n">
        <v>138.520004</v>
      </c>
      <c r="E337" s="9" t="n">
        <v>137.369995</v>
      </c>
      <c r="F337" s="9" t="n">
        <v>137.860001</v>
      </c>
      <c r="G337" s="9" t="n">
        <v>131.177185</v>
      </c>
      <c r="H337" s="9" t="n">
        <v>131.177185</v>
      </c>
      <c r="I337" s="2" t="str">
        <f aca="false">IF(COUNT(C337:F337)&lt;4,"",IF(OR(D337&lt;MAX(C337,F337)-0.000001,E337&gt;MIN(C337,F337)+0.000001),"FAIL","OK"))</f>
        <v>OK</v>
      </c>
      <c r="J337" s="10" t="n">
        <f aca="false">IF(COUNT(F337,G337)&lt;2,"",G337/F337)</f>
        <v>0.951524619530505</v>
      </c>
      <c r="K337" s="10" t="n">
        <f aca="false">H337/H336-1</f>
        <v>-0.0043337912727035</v>
      </c>
      <c r="L337" s="10" t="n">
        <f aca="false">H342/H337-1</f>
        <v>-0.0198170665119853</v>
      </c>
      <c r="M337" s="10" t="n">
        <f aca="false">IF(COUNT(B278:B337)&lt;60,"",(B337-AVERAGE(B278:B337))/STDEV(B278:B337))</f>
        <v>0.177053197756804</v>
      </c>
      <c r="N337" s="10" t="n">
        <f aca="false">(H337-AVERAGE(H278:H337))/STDEV(H278:H337)</f>
        <v>0.676396822869013</v>
      </c>
      <c r="O337" s="10" t="n">
        <f aca="false">IF(COUNT(B337)=0,"",B337-('Signal Analysis'!$C$6+'Signal Analysis'!$C$5*H337))</f>
        <v>-0.448925277586048</v>
      </c>
    </row>
    <row r="338" customFormat="false" ht="15" hidden="false" customHeight="false" outlineLevel="0" collapsed="false">
      <c r="A338" s="8" t="n">
        <v>42815</v>
      </c>
      <c r="B338" s="9" t="n">
        <v>14.6306517</v>
      </c>
      <c r="C338" s="9" t="n">
        <v>138.509995</v>
      </c>
      <c r="D338" s="9" t="n">
        <v>138.600006</v>
      </c>
      <c r="E338" s="9" t="n">
        <v>133.919998</v>
      </c>
      <c r="F338" s="9" t="n">
        <v>133.970001</v>
      </c>
      <c r="G338" s="9" t="n">
        <v>127.475754</v>
      </c>
      <c r="H338" s="9" t="n">
        <v>127.475754</v>
      </c>
      <c r="I338" s="2" t="str">
        <f aca="false">IF(COUNT(C338:F338)&lt;4,"",IF(OR(D338&lt;MAX(C338,F338)-0.000001,E338&gt;MIN(C338,F338)+0.000001),"FAIL","OK"))</f>
        <v>OK</v>
      </c>
      <c r="J338" s="10" t="n">
        <f aca="false">IF(COUNT(F338,G338)&lt;2,"",G338/F338)</f>
        <v>0.951524617813506</v>
      </c>
      <c r="K338" s="10" t="n">
        <f aca="false">H338/H337-1</f>
        <v>-0.028217033320238</v>
      </c>
      <c r="L338" s="10" t="n">
        <f aca="false">H343/H338-1</f>
        <v>0.0165039306219754</v>
      </c>
      <c r="M338" s="10" t="n">
        <f aca="false">IF(COUNT(B279:B338)&lt;60,"",(B338-AVERAGE(B279:B338))/STDEV(B279:B338))</f>
        <v>-1.66374887690391</v>
      </c>
      <c r="N338" s="10" t="n">
        <f aca="false">(H338-AVERAGE(H279:H338))/STDEV(H279:H338)</f>
        <v>-1.53041002891334</v>
      </c>
      <c r="O338" s="10" t="n">
        <f aca="false">IF(COUNT(B338)=0,"",B338-('Signal Analysis'!$C$6+'Signal Analysis'!$C$5*H338))</f>
        <v>-1.00931622104427</v>
      </c>
    </row>
    <row r="339" customFormat="false" ht="15" hidden="false" customHeight="false" outlineLevel="0" collapsed="false">
      <c r="A339" s="8" t="n">
        <v>42816</v>
      </c>
      <c r="B339" s="9" t="n">
        <v>19.02931644</v>
      </c>
      <c r="C339" s="9" t="n">
        <v>133.710007</v>
      </c>
      <c r="D339" s="9" t="n">
        <v>134.309998</v>
      </c>
      <c r="E339" s="9" t="n">
        <v>132.779999</v>
      </c>
      <c r="F339" s="9" t="n">
        <v>134</v>
      </c>
      <c r="G339" s="9" t="n">
        <v>127.504295</v>
      </c>
      <c r="H339" s="9" t="n">
        <v>127.504295</v>
      </c>
      <c r="I339" s="2" t="str">
        <f aca="false">IF(COUNT(C339:F339)&lt;4,"",IF(OR(D339&lt;MAX(C339,F339)-0.000001,E339&gt;MIN(C339,F339)+0.000001),"FAIL","OK"))</f>
        <v>OK</v>
      </c>
      <c r="J339" s="10" t="n">
        <f aca="false">IF(COUNT(F339,G339)&lt;2,"",G339/F339)</f>
        <v>0.951524589552239</v>
      </c>
      <c r="K339" s="10" t="n">
        <f aca="false">H339/H338-1</f>
        <v>0.000223893557044663</v>
      </c>
      <c r="L339" s="10" t="n">
        <f aca="false">H344/H339-1</f>
        <v>0.0195694270534181</v>
      </c>
      <c r="M339" s="10" t="n">
        <f aca="false">IF(COUNT(B280:B339)&lt;60,"",(B339-AVERAGE(B280:B339))/STDEV(B280:B339))</f>
        <v>4.73736547137081</v>
      </c>
      <c r="N339" s="10" t="n">
        <f aca="false">(H339-AVERAGE(H280:H339))/STDEV(H280:H339)</f>
        <v>-1.47959006943907</v>
      </c>
      <c r="O339" s="10" t="n">
        <f aca="false">IF(COUNT(B339)=0,"",B339-('Signal Analysis'!$C$6+'Signal Analysis'!$C$5*H339))</f>
        <v>3.38544432627607</v>
      </c>
    </row>
    <row r="340" customFormat="false" ht="15" hidden="false" customHeight="false" outlineLevel="0" collapsed="false">
      <c r="A340" s="8" t="n">
        <v>42817</v>
      </c>
      <c r="B340" s="9" t="n">
        <v>15.705048126</v>
      </c>
      <c r="C340" s="9" t="n">
        <v>134</v>
      </c>
      <c r="D340" s="9" t="n">
        <v>135.699997</v>
      </c>
      <c r="E340" s="9" t="n">
        <v>133.639999</v>
      </c>
      <c r="F340" s="9" t="n">
        <v>134.779999</v>
      </c>
      <c r="G340" s="9" t="n">
        <v>128.24649</v>
      </c>
      <c r="H340" s="9" t="n">
        <v>128.24649</v>
      </c>
      <c r="I340" s="2" t="str">
        <f aca="false">IF(COUNT(C340:F340)&lt;4,"",IF(OR(D340&lt;MAX(C340,F340)-0.000001,E340&gt;MIN(C340,F340)+0.000001),"FAIL","OK"))</f>
        <v>OK</v>
      </c>
      <c r="J340" s="10" t="n">
        <f aca="false">IF(COUNT(F340,G340)&lt;2,"",G340/F340)</f>
        <v>0.951524639794663</v>
      </c>
      <c r="K340" s="10" t="n">
        <f aca="false">H340/H339-1</f>
        <v>0.00582094116907972</v>
      </c>
      <c r="L340" s="10" t="n">
        <f aca="false">H345/H340-1</f>
        <v>0.0213329113334797</v>
      </c>
      <c r="M340" s="10" t="n">
        <f aca="false">IF(COUNT(B281:B340)&lt;60,"",(B340-AVERAGE(B281:B340))/STDEV(B281:B340))</f>
        <v>0.0900423523084117</v>
      </c>
      <c r="N340" s="10" t="n">
        <f aca="false">(H340-AVERAGE(H281:H340))/STDEV(H281:H340)</f>
        <v>-1.02118716653396</v>
      </c>
      <c r="O340" s="10" t="n">
        <f aca="false">IF(COUNT(B340)=0,"",B340-('Signal Analysis'!$C$6+'Signal Analysis'!$C$5*H340))</f>
        <v>-0.0403506436183303</v>
      </c>
    </row>
    <row r="341" customFormat="false" ht="15" hidden="false" customHeight="false" outlineLevel="0" collapsed="false">
      <c r="A341" s="8" t="n">
        <v>42818</v>
      </c>
      <c r="B341" s="9" t="n">
        <v>15.1319395884</v>
      </c>
      <c r="C341" s="9" t="n">
        <v>134.949997</v>
      </c>
      <c r="D341" s="9" t="n">
        <v>135.470001</v>
      </c>
      <c r="E341" s="9" t="n">
        <v>133.860001</v>
      </c>
      <c r="F341" s="9" t="n">
        <v>134.490005</v>
      </c>
      <c r="G341" s="9" t="n">
        <v>128.33905</v>
      </c>
      <c r="H341" s="9" t="n">
        <v>128.33905</v>
      </c>
      <c r="I341" s="2" t="str">
        <f aca="false">IF(COUNT(C341:F341)&lt;4,"",IF(OR(D341&lt;MAX(C341,F341)-0.000001,E341&gt;MIN(C341,F341)+0.000001),"FAIL","OK"))</f>
        <v>OK</v>
      </c>
      <c r="J341" s="10" t="n">
        <f aca="false">IF(COUNT(F341,G341)&lt;2,"",G341/F341)</f>
        <v>0.954264593863313</v>
      </c>
      <c r="K341" s="10" t="n">
        <f aca="false">H341/H340-1</f>
        <v>0.000721735152361624</v>
      </c>
      <c r="L341" s="10" t="n">
        <f aca="false">H346/H341-1</f>
        <v>0.0222321810859596</v>
      </c>
      <c r="M341" s="10" t="n">
        <f aca="false">IF(COUNT(B282:B341)&lt;60,"",(B341-AVERAGE(B282:B341))/STDEV(B282:B341))</f>
        <v>-0.702817330645923</v>
      </c>
      <c r="N341" s="10" t="n">
        <f aca="false">(H341-AVERAGE(H282:H341))/STDEV(H282:H341)</f>
        <v>-0.943189692121407</v>
      </c>
      <c r="O341" s="10" t="n">
        <f aca="false">IF(COUNT(B341)=0,"",B341-('Signal Analysis'!$C$6+'Signal Analysis'!$C$5*H341))</f>
        <v>-0.626120688328433</v>
      </c>
    </row>
    <row r="342" customFormat="false" ht="15" hidden="false" customHeight="false" outlineLevel="0" collapsed="false">
      <c r="A342" s="8" t="n">
        <v>42821</v>
      </c>
      <c r="B342" s="9" t="n">
        <v>16.0322409864</v>
      </c>
      <c r="C342" s="9" t="n">
        <v>132.759995</v>
      </c>
      <c r="D342" s="9" t="n">
        <v>135.070007</v>
      </c>
      <c r="E342" s="9" t="n">
        <v>132.399994</v>
      </c>
      <c r="F342" s="9" t="n">
        <v>134.740005</v>
      </c>
      <c r="G342" s="11" t="n">
        <v>128.577638</v>
      </c>
      <c r="H342" s="9" t="n">
        <v>128.577638</v>
      </c>
      <c r="I342" s="2" t="str">
        <f aca="false">IF(COUNT(C342:F342)&lt;4,"",IF(OR(D342&lt;MAX(C342,F342)-0.000001,E342&gt;MIN(C342,F342)+0.000001),"FAIL","OK"))</f>
        <v>OK</v>
      </c>
      <c r="J342" s="10" t="n">
        <f aca="false">IF(COUNT(F342,G342)&lt;2,"",G342/F342)</f>
        <v>0.954264756038862</v>
      </c>
      <c r="K342" s="10" t="n">
        <f aca="false">H342/H341-1</f>
        <v>0.00185904446074692</v>
      </c>
      <c r="L342" s="10" t="n">
        <f aca="false">H347/H342-1</f>
        <v>0.00957399761846611</v>
      </c>
      <c r="M342" s="10" t="n">
        <f aca="false">IF(COUNT(B283:B342)&lt;60,"",(B342-AVERAGE(B283:B342))/STDEV(B283:B342))</f>
        <v>0.543523673534046</v>
      </c>
      <c r="N342" s="10" t="n">
        <f aca="false">(H342-AVERAGE(H283:H342))/STDEV(H283:H342)</f>
        <v>-0.802678917710406</v>
      </c>
      <c r="O342" s="10" t="n">
        <f aca="false">IF(COUNT(B342)=0,"",B342-('Signal Analysis'!$C$6+'Signal Analysis'!$C$5*H342))</f>
        <v>0.241543677925822</v>
      </c>
    </row>
    <row r="343" customFormat="false" ht="15" hidden="false" customHeight="false" outlineLevel="0" collapsed="false">
      <c r="A343" s="8" t="n">
        <v>42822</v>
      </c>
      <c r="B343" s="9" t="n">
        <v>16.2153691452</v>
      </c>
      <c r="C343" s="9" t="n">
        <v>134.279999</v>
      </c>
      <c r="D343" s="9" t="n">
        <v>135.899994</v>
      </c>
      <c r="E343" s="9" t="n">
        <v>134.139999</v>
      </c>
      <c r="F343" s="9" t="n">
        <v>135.789993</v>
      </c>
      <c r="G343" s="9" t="n">
        <v>129.579605</v>
      </c>
      <c r="H343" s="9" t="n">
        <v>129.579605</v>
      </c>
      <c r="I343" s="2" t="str">
        <f aca="false">IF(COUNT(C343:F343)&lt;4,"",IF(OR(D343&lt;MAX(C343,F343)-0.000001,E343&gt;MIN(C343,F343)+0.000001),"FAIL","OK"))</f>
        <v>OK</v>
      </c>
      <c r="J343" s="10" t="n">
        <f aca="false">IF(COUNT(F343,G343)&lt;2,"",G343/F343)</f>
        <v>0.954264759406829</v>
      </c>
      <c r="K343" s="10" t="n">
        <f aca="false">H343/H342-1</f>
        <v>0.00779270031387558</v>
      </c>
      <c r="L343" s="10" t="n">
        <f aca="false">H348/H343-1</f>
        <v>0.000589251680463088</v>
      </c>
      <c r="M343" s="10" t="n">
        <f aca="false">IF(COUNT(B284:B343)&lt;60,"",(B343-AVERAGE(B284:B343))/STDEV(B284:B343))</f>
        <v>0.785892669688105</v>
      </c>
      <c r="N343" s="10" t="n">
        <f aca="false">(H343-AVERAGE(H284:H343))/STDEV(H284:H343)</f>
        <v>-0.229047612354698</v>
      </c>
      <c r="O343" s="10" t="n">
        <f aca="false">IF(COUNT(B343)=0,"",B343-('Signal Analysis'!$C$6+'Signal Analysis'!$C$5*H343))</f>
        <v>0.287610338296791</v>
      </c>
    </row>
    <row r="344" customFormat="false" ht="15" hidden="false" customHeight="false" outlineLevel="0" collapsed="false">
      <c r="A344" s="8" t="n">
        <v>42823</v>
      </c>
      <c r="B344" s="9" t="n">
        <v>15.265496064</v>
      </c>
      <c r="C344" s="9" t="n">
        <v>135.699997</v>
      </c>
      <c r="D344" s="9" t="n">
        <v>136.490005</v>
      </c>
      <c r="E344" s="9" t="n">
        <v>135.300003</v>
      </c>
      <c r="F344" s="9" t="n">
        <v>136.229996</v>
      </c>
      <c r="G344" s="9" t="n">
        <v>129.999481</v>
      </c>
      <c r="H344" s="9" t="n">
        <v>129.999481</v>
      </c>
      <c r="I344" s="2" t="str">
        <f aca="false">IF(COUNT(C344:F344)&lt;4,"",IF(OR(D344&lt;MAX(C344,F344)-0.000001,E344&gt;MIN(C344,F344)+0.000001),"FAIL","OK"))</f>
        <v>OK</v>
      </c>
      <c r="J344" s="10" t="n">
        <f aca="false">IF(COUNT(F344,G344)&lt;2,"",G344/F344)</f>
        <v>0.954264734765169</v>
      </c>
      <c r="K344" s="10" t="n">
        <f aca="false">H344/H343-1</f>
        <v>0.00324029387186364</v>
      </c>
      <c r="L344" s="10" t="n">
        <f aca="false">H349/H344-1</f>
        <v>-0.0139469402958616</v>
      </c>
      <c r="M344" s="10" t="n">
        <f aca="false">IF(COUNT(B285:B344)&lt;60,"",(B344-AVERAGE(B285:B344))/STDEV(B285:B344))</f>
        <v>-0.532890854287194</v>
      </c>
      <c r="N344" s="10" t="n">
        <f aca="false">(H344-AVERAGE(H285:H344))/STDEV(H285:H344)</f>
        <v>-0.000757864131362575</v>
      </c>
      <c r="O344" s="10" t="n">
        <f aca="false">IF(COUNT(B344)=0,"",B344-('Signal Analysis'!$C$6+'Signal Analysis'!$C$5*H344))</f>
        <v>-0.719698600286129</v>
      </c>
    </row>
    <row r="345" customFormat="false" ht="15" hidden="false" customHeight="false" outlineLevel="0" collapsed="false">
      <c r="A345" s="8" t="n">
        <v>42824</v>
      </c>
      <c r="B345" s="9" t="n">
        <v>16.025476656</v>
      </c>
      <c r="C345" s="9" t="n">
        <v>136.320007</v>
      </c>
      <c r="D345" s="9" t="n">
        <v>137.380005</v>
      </c>
      <c r="E345" s="9" t="n">
        <v>136.259995</v>
      </c>
      <c r="F345" s="9" t="n">
        <v>137.259995</v>
      </c>
      <c r="G345" s="9" t="n">
        <v>130.982361</v>
      </c>
      <c r="H345" s="9" t="n">
        <v>130.982361</v>
      </c>
      <c r="I345" s="2" t="str">
        <f aca="false">IF(COUNT(C345:F345)&lt;4,"",IF(OR(D345&lt;MAX(C345,F345)-0.000001,E345&gt;MIN(C345,F345)+0.000001),"FAIL","OK"))</f>
        <v>OK</v>
      </c>
      <c r="J345" s="10" t="n">
        <f aca="false">IF(COUNT(F345,G345)&lt;2,"",G345/F345)</f>
        <v>0.954264649361236</v>
      </c>
      <c r="K345" s="10" t="n">
        <f aca="false">H345/H344-1</f>
        <v>0.0075606455690389</v>
      </c>
      <c r="L345" s="10" t="n">
        <f aca="false">H350/H345-1</f>
        <v>-0.0122391976122647</v>
      </c>
      <c r="M345" s="10" t="n">
        <f aca="false">IF(COUNT(B286:B345)&lt;60,"",(B345-AVERAGE(B286:B345))/STDEV(B286:B345))</f>
        <v>0.504791570256858</v>
      </c>
      <c r="N345" s="10" t="n">
        <f aca="false">(H345-AVERAGE(H286:H345))/STDEV(H286:H345)</f>
        <v>0.557113923257678</v>
      </c>
      <c r="O345" s="10" t="n">
        <f aca="false">IF(COUNT(B345)=0,"",B345-('Signal Analysis'!$C$6+'Signal Analysis'!$C$5*H345))</f>
        <v>-0.094168549647204</v>
      </c>
    </row>
    <row r="346" customFormat="false" ht="15" hidden="false" customHeight="false" outlineLevel="0" collapsed="false">
      <c r="A346" s="8" t="n">
        <v>42825</v>
      </c>
      <c r="B346" s="9" t="n">
        <v>15.6900136464</v>
      </c>
      <c r="C346" s="9" t="n">
        <v>137.419998</v>
      </c>
      <c r="D346" s="9" t="n">
        <v>138.169998</v>
      </c>
      <c r="E346" s="9" t="n">
        <v>136.940002</v>
      </c>
      <c r="F346" s="9" t="n">
        <v>137.479996</v>
      </c>
      <c r="G346" s="9" t="n">
        <v>131.192307</v>
      </c>
      <c r="H346" s="9" t="n">
        <v>131.192307</v>
      </c>
      <c r="I346" s="2" t="str">
        <f aca="false">IF(COUNT(C346:F346)&lt;4,"",IF(OR(D346&lt;MAX(C346,F346)-0.000001,E346&gt;MIN(C346,F346)+0.000001),"FAIL","OK"))</f>
        <v>OK</v>
      </c>
      <c r="J346" s="10" t="n">
        <f aca="false">IF(COUNT(F346,G346)&lt;2,"",G346/F346)</f>
        <v>0.954264698989372</v>
      </c>
      <c r="K346" s="10" t="n">
        <f aca="false">H346/H345-1</f>
        <v>0.00160285704423968</v>
      </c>
      <c r="L346" s="10" t="n">
        <f aca="false">H351/H346-1</f>
        <v>-0.0142565295387329</v>
      </c>
      <c r="M346" s="10" t="n">
        <f aca="false">IF(COUNT(B287:B346)&lt;60,"",(B346-AVERAGE(B287:B346))/STDEV(B287:B346))</f>
        <v>0.0267942788790142</v>
      </c>
      <c r="N346" s="10" t="n">
        <f aca="false">(H346-AVERAGE(H287:H346))/STDEV(H287:H346)</f>
        <v>0.679232136141137</v>
      </c>
      <c r="O346" s="10" t="n">
        <f aca="false">IF(COUNT(B346)=0,"",B346-('Signal Analysis'!$C$6+'Signal Analysis'!$C$5*H346))</f>
        <v>-0.458350582278083</v>
      </c>
    </row>
    <row r="347" customFormat="false" ht="15" hidden="false" customHeight="false" outlineLevel="0" collapsed="false">
      <c r="A347" s="8" t="n">
        <v>42828</v>
      </c>
      <c r="B347" s="9" t="n">
        <v>15.0597437688</v>
      </c>
      <c r="C347" s="9" t="n">
        <v>137.970001</v>
      </c>
      <c r="D347" s="9" t="n">
        <v>138.100006</v>
      </c>
      <c r="E347" s="9" t="n">
        <v>135.600006</v>
      </c>
      <c r="F347" s="9" t="n">
        <v>136.029999</v>
      </c>
      <c r="G347" s="9" t="n">
        <v>129.80864</v>
      </c>
      <c r="H347" s="9" t="n">
        <v>129.80864</v>
      </c>
      <c r="I347" s="2" t="str">
        <f aca="false">IF(COUNT(C347:F347)&lt;4,"",IF(OR(D347&lt;MAX(C347,F347)-0.000001,E347&gt;MIN(C347,F347)+0.000001),"FAIL","OK"))</f>
        <v>OK</v>
      </c>
      <c r="J347" s="10" t="n">
        <f aca="false">IF(COUNT(F347,G347)&lt;2,"",G347/F347)</f>
        <v>0.954264801545724</v>
      </c>
      <c r="K347" s="10" t="n">
        <f aca="false">H347/H346-1</f>
        <v>-0.010546860800306</v>
      </c>
      <c r="L347" s="10" t="n">
        <f aca="false">H352/H347-1</f>
        <v>-0.0015437647293739</v>
      </c>
      <c r="M347" s="10" t="n">
        <f aca="false">IF(COUNT(B288:B347)&lt;60,"",(B347-AVERAGE(B288:B347))/STDEV(B288:B347))</f>
        <v>-0.836462875118843</v>
      </c>
      <c r="N347" s="10" t="n">
        <f aca="false">(H347-AVERAGE(H288:H347))/STDEV(H288:H347)</f>
        <v>-0.135881645382715</v>
      </c>
      <c r="O347" s="10" t="n">
        <f aca="false">IF(COUNT(B347)=0,"",B347-('Signal Analysis'!$C$6+'Signal Analysis'!$C$5*H347))</f>
        <v>-0.899345291786911</v>
      </c>
    </row>
    <row r="348" customFormat="false" ht="15" hidden="false" customHeight="false" outlineLevel="0" collapsed="false">
      <c r="A348" s="8" t="n">
        <v>42829</v>
      </c>
      <c r="B348" s="9" t="n">
        <v>15.673821552</v>
      </c>
      <c r="C348" s="9" t="n">
        <v>135.929993</v>
      </c>
      <c r="D348" s="9" t="n">
        <v>136.550003</v>
      </c>
      <c r="E348" s="9" t="n">
        <v>135.350006</v>
      </c>
      <c r="F348" s="9" t="n">
        <v>135.869995</v>
      </c>
      <c r="G348" s="9" t="n">
        <v>129.65596</v>
      </c>
      <c r="H348" s="9" t="n">
        <v>129.65596</v>
      </c>
      <c r="I348" s="2" t="str">
        <f aca="false">IF(COUNT(C348:F348)&lt;4,"",IF(OR(D348&lt;MAX(C348,F348)-0.000001,E348&gt;MIN(C348,F348)+0.000001),"FAIL","OK"))</f>
        <v>OK</v>
      </c>
      <c r="J348" s="10" t="n">
        <f aca="false">IF(COUNT(F348,G348)&lt;2,"",G348/F348)</f>
        <v>0.954264847069436</v>
      </c>
      <c r="K348" s="10" t="n">
        <f aca="false">H348/H347-1</f>
        <v>-0.00117619289440207</v>
      </c>
      <c r="L348" s="10" t="n">
        <f aca="false">H353/H348-1</f>
        <v>0.00758067735567258</v>
      </c>
      <c r="M348" s="10" t="n">
        <f aca="false">IF(COUNT(B289:B348)&lt;60,"",(B348-AVERAGE(B289:B348))/STDEV(B289:B348))</f>
        <v>0.0384044945466448</v>
      </c>
      <c r="N348" s="10" t="n">
        <f aca="false">(H348-AVERAGE(H289:H348))/STDEV(H289:H348)</f>
        <v>-0.231431045189687</v>
      </c>
      <c r="O348" s="10" t="n">
        <f aca="false">IF(COUNT(B348)=0,"",B348-('Signal Analysis'!$C$6+'Signal Analysis'!$C$5*H348))</f>
        <v>-0.264382040722055</v>
      </c>
    </row>
    <row r="349" customFormat="false" ht="15" hidden="false" customHeight="false" outlineLevel="0" collapsed="false">
      <c r="A349" s="8" t="n">
        <v>42830</v>
      </c>
      <c r="B349" s="9" t="n">
        <v>15.2419297296</v>
      </c>
      <c r="C349" s="9" t="n">
        <v>136.830002</v>
      </c>
      <c r="D349" s="9" t="n">
        <v>137.429993</v>
      </c>
      <c r="E349" s="9" t="n">
        <v>134.080002</v>
      </c>
      <c r="F349" s="9" t="n">
        <v>134.330002</v>
      </c>
      <c r="G349" s="9" t="n">
        <v>128.186386</v>
      </c>
      <c r="H349" s="9" t="n">
        <v>128.186386</v>
      </c>
      <c r="I349" s="2" t="str">
        <f aca="false">IF(COUNT(C349:F349)&lt;4,"",IF(OR(D349&lt;MAX(C349,F349)-0.000001,E349&gt;MIN(C349,F349)+0.000001),"FAIL","OK"))</f>
        <v>OK</v>
      </c>
      <c r="J349" s="10" t="n">
        <f aca="false">IF(COUNT(F349,G349)&lt;2,"",G349/F349)</f>
        <v>0.954264751667316</v>
      </c>
      <c r="K349" s="10" t="n">
        <f aca="false">H349/H348-1</f>
        <v>-0.0113344114686281</v>
      </c>
      <c r="L349" s="10" t="n">
        <f aca="false">H354/H349-1</f>
        <v>0.00528555349083648</v>
      </c>
      <c r="M349" s="10" t="n">
        <f aca="false">IF(COUNT(B290:B349)&lt;60,"",(B349-AVERAGE(B290:B349))/STDEV(B290:B349))</f>
        <v>-0.557416851729767</v>
      </c>
      <c r="N349" s="10" t="n">
        <f aca="false">(H349-AVERAGE(H290:H349))/STDEV(H290:H349)</f>
        <v>-1.09528922707957</v>
      </c>
      <c r="O349" s="10" t="n">
        <f aca="false">IF(COUNT(B349)=0,"",B349-('Signal Analysis'!$C$6+'Signal Analysis'!$C$5*H349))</f>
        <v>-0.495247267942423</v>
      </c>
    </row>
    <row r="350" customFormat="false" ht="15" hidden="false" customHeight="false" outlineLevel="0" collapsed="false">
      <c r="A350" s="8" t="n">
        <v>42831</v>
      </c>
      <c r="B350" s="9" t="n">
        <v>15.990194016</v>
      </c>
      <c r="C350" s="9" t="n">
        <v>134.539993</v>
      </c>
      <c r="D350" s="9" t="n">
        <v>135.630005</v>
      </c>
      <c r="E350" s="9" t="n">
        <v>133.830002</v>
      </c>
      <c r="F350" s="9" t="n">
        <v>135.580002</v>
      </c>
      <c r="G350" s="9" t="n">
        <v>129.379242</v>
      </c>
      <c r="H350" s="9" t="n">
        <v>129.379242</v>
      </c>
      <c r="I350" s="2" t="str">
        <f aca="false">IF(COUNT(C350:F350)&lt;4,"",IF(OR(D350&lt;MAX(C350,F350)-0.000001,E350&gt;MIN(C350,F350)+0.000001),"FAIL","OK"))</f>
        <v>OK</v>
      </c>
      <c r="J350" s="10" t="n">
        <f aca="false">IF(COUNT(F350,G350)&lt;2,"",G350/F350)</f>
        <v>0.954264936505902</v>
      </c>
      <c r="K350" s="10" t="n">
        <f aca="false">H350/H349-1</f>
        <v>0.00930563718365551</v>
      </c>
      <c r="L350" s="10" t="n">
        <f aca="false">H355/H350-1</f>
        <v>-0.013718955008254</v>
      </c>
      <c r="M350" s="10" t="n">
        <f aca="false">IF(COUNT(B291:B350)&lt;60,"",(B350-AVERAGE(B291:B350))/STDEV(B291:B350))</f>
        <v>0.487675637691153</v>
      </c>
      <c r="N350" s="10" t="n">
        <f aca="false">(H350-AVERAGE(H291:H350))/STDEV(H291:H350)</f>
        <v>-0.392029033234597</v>
      </c>
      <c r="O350" s="10" t="n">
        <f aca="false">IF(COUNT(B350)=0,"",B350-('Signal Analysis'!$C$6+'Signal Analysis'!$C$5*H350))</f>
        <v>0.0898433502927922</v>
      </c>
    </row>
    <row r="351" customFormat="false" ht="15" hidden="false" customHeight="false" outlineLevel="0" collapsed="false">
      <c r="A351" s="8" t="n">
        <v>42832</v>
      </c>
      <c r="B351" s="9" t="n">
        <v>14.8451238144</v>
      </c>
      <c r="C351" s="9" t="n">
        <v>135.210007</v>
      </c>
      <c r="D351" s="9" t="n">
        <v>136.029999</v>
      </c>
      <c r="E351" s="9" t="n">
        <v>134.75</v>
      </c>
      <c r="F351" s="9" t="n">
        <v>135.520004</v>
      </c>
      <c r="G351" s="9" t="n">
        <v>129.32196</v>
      </c>
      <c r="H351" s="9" t="n">
        <v>129.32196</v>
      </c>
      <c r="I351" s="2" t="str">
        <f aca="false">IF(COUNT(C351:F351)&lt;4,"",IF(OR(D351&lt;MAX(C351,F351)-0.000001,E351&gt;MIN(C351,F351)+0.000001),"FAIL","OK"))</f>
        <v>OK</v>
      </c>
      <c r="J351" s="10" t="n">
        <f aca="false">IF(COUNT(F351,G351)&lt;2,"",G351/F351)</f>
        <v>0.954264729803284</v>
      </c>
      <c r="K351" s="10" t="n">
        <f aca="false">H351/H350-1</f>
        <v>-0.000442744903390468</v>
      </c>
      <c r="L351" s="10" t="n">
        <f aca="false">H356/H351-1</f>
        <v>-0.00169740699878029</v>
      </c>
      <c r="M351" s="10" t="n">
        <f aca="false">IF(COUNT(B292:B351)&lt;60,"",(B351-AVERAGE(B292:B351))/STDEV(B292:B351))</f>
        <v>-1.1097714282485</v>
      </c>
      <c r="N351" s="10" t="n">
        <f aca="false">(H351-AVERAGE(H292:H351))/STDEV(H292:H351)</f>
        <v>-0.421295730762617</v>
      </c>
      <c r="O351" s="10" t="n">
        <f aca="false">IF(COUNT(B351)=0,"",B351-('Signal Analysis'!$C$6+'Signal Analysis'!$C$5*H351))</f>
        <v>-1.04739110746234</v>
      </c>
    </row>
    <row r="352" customFormat="false" ht="15" hidden="false" customHeight="false" outlineLevel="0" collapsed="false">
      <c r="A352" s="8" t="n">
        <v>42835</v>
      </c>
      <c r="B352" s="9" t="n">
        <v>15.6187655856</v>
      </c>
      <c r="C352" s="9" t="n">
        <v>135.470001</v>
      </c>
      <c r="D352" s="9" t="n">
        <v>136.850006</v>
      </c>
      <c r="E352" s="9" t="n">
        <v>135.160004</v>
      </c>
      <c r="F352" s="9" t="n">
        <v>135.820007</v>
      </c>
      <c r="G352" s="9" t="n">
        <v>129.608246</v>
      </c>
      <c r="H352" s="9" t="n">
        <v>129.608246</v>
      </c>
      <c r="I352" s="2" t="str">
        <f aca="false">IF(COUNT(C352:F352)&lt;4,"",IF(OR(D352&lt;MAX(C352,F352)-0.000001,E352&gt;MIN(C352,F352)+0.000001),"FAIL","OK"))</f>
        <v>OK</v>
      </c>
      <c r="J352" s="10" t="n">
        <f aca="false">IF(COUNT(F352,G352)&lt;2,"",G352/F352)</f>
        <v>0.954264757179699</v>
      </c>
      <c r="K352" s="10" t="n">
        <f aca="false">H352/H351-1</f>
        <v>0.00221374621912651</v>
      </c>
      <c r="L352" s="10" t="n">
        <f aca="false">H357/H352-1</f>
        <v>-0.00368141699873026</v>
      </c>
      <c r="M352" s="10" t="n">
        <f aca="false">IF(COUNT(B293:B352)&lt;60,"",(B352-AVERAGE(B293:B352))/STDEV(B293:B352))</f>
        <v>-0.0235568662314098</v>
      </c>
      <c r="N352" s="10" t="n">
        <f aca="false">(H352-AVERAGE(H293:H352))/STDEV(H293:H352)</f>
        <v>-0.262972647475126</v>
      </c>
      <c r="O352" s="10" t="n">
        <f aca="false">IF(COUNT(B352)=0,"",B352-('Signal Analysis'!$C$6+'Signal Analysis'!$C$5*H352))</f>
        <v>-0.312911093225649</v>
      </c>
    </row>
    <row r="353" customFormat="false" ht="15" hidden="false" customHeight="false" outlineLevel="0" collapsed="false">
      <c r="A353" s="8" t="n">
        <v>42836</v>
      </c>
      <c r="B353" s="9" t="n">
        <v>16.266908448</v>
      </c>
      <c r="C353" s="9" t="n">
        <v>135.270004</v>
      </c>
      <c r="D353" s="9" t="n">
        <v>136.919998</v>
      </c>
      <c r="E353" s="9" t="n">
        <v>135.080002</v>
      </c>
      <c r="F353" s="9" t="n">
        <v>136.899994</v>
      </c>
      <c r="G353" s="9" t="n">
        <v>130.63884</v>
      </c>
      <c r="H353" s="9" t="n">
        <v>130.63884</v>
      </c>
      <c r="I353" s="2" t="str">
        <f aca="false">IF(COUNT(C353:F353)&lt;4,"",IF(OR(D353&lt;MAX(C353,F353)-0.000001,E353&gt;MIN(C353,F353)+0.000001),"FAIL","OK"))</f>
        <v>OK</v>
      </c>
      <c r="J353" s="10" t="n">
        <f aca="false">IF(COUNT(F353,G353)&lt;2,"",G353/F353)</f>
        <v>0.954264760595972</v>
      </c>
      <c r="K353" s="10" t="n">
        <f aca="false">H353/H352-1</f>
        <v>0.00795160826418395</v>
      </c>
      <c r="L353" s="10" t="n">
        <f aca="false">H358/H353-1</f>
        <v>-0.00810811700410075</v>
      </c>
      <c r="M353" s="10" t="n">
        <f aca="false">IF(COUNT(B294:B353)&lt;60,"",(B353-AVERAGE(B294:B353))/STDEV(B294:B353))</f>
        <v>0.856450311970733</v>
      </c>
      <c r="N353" s="10" t="n">
        <f aca="false">(H353-AVERAGE(H294:H353))/STDEV(H294:H353)</f>
        <v>0.335476068019719</v>
      </c>
      <c r="O353" s="10" t="n">
        <f aca="false">IF(COUNT(B353)=0,"",B353-('Signal Analysis'!$C$6+'Signal Analysis'!$C$5*H353))</f>
        <v>0.194254313916872</v>
      </c>
    </row>
    <row r="354" customFormat="false" ht="15" hidden="false" customHeight="false" outlineLevel="0" collapsed="false">
      <c r="A354" s="8" t="n">
        <v>42837</v>
      </c>
      <c r="B354" s="9" t="n">
        <v>15.0308605056</v>
      </c>
      <c r="C354" s="9" t="n">
        <v>136.639999</v>
      </c>
      <c r="D354" s="9" t="n">
        <v>136.699997</v>
      </c>
      <c r="E354" s="9" t="n">
        <v>134.919998</v>
      </c>
      <c r="F354" s="9" t="n">
        <v>135.039993</v>
      </c>
      <c r="G354" s="9" t="n">
        <v>128.863922</v>
      </c>
      <c r="H354" s="9" t="n">
        <v>128.863922</v>
      </c>
      <c r="I354" s="2" t="str">
        <f aca="false">IF(COUNT(C354:F354)&lt;4,"",IF(OR(D354&lt;MAX(C354,F354)-0.000001,E354&gt;MIN(C354,F354)+0.000001),"FAIL","OK"))</f>
        <v>OK</v>
      </c>
      <c r="J354" s="10" t="n">
        <f aca="false">IF(COUNT(F354,G354)&lt;2,"",G354/F354)</f>
        <v>0.954264874702711</v>
      </c>
      <c r="K354" s="10" t="n">
        <f aca="false">H354/H353-1</f>
        <v>-0.0135864494816395</v>
      </c>
      <c r="L354" s="10" t="n">
        <f aca="false">H359/H354-1</f>
        <v>0.0183648143194026</v>
      </c>
      <c r="M354" s="10" t="n">
        <f aca="false">IF(COUNT(B295:B354)&lt;60,"",(B354-AVERAGE(B295:B354))/STDEV(B295:B354))</f>
        <v>-0.886295952008795</v>
      </c>
      <c r="N354" s="10" t="n">
        <f aca="false">(H354-AVERAGE(H295:H354))/STDEV(H295:H354)</f>
        <v>-0.728273973640734</v>
      </c>
      <c r="O354" s="10" t="n">
        <f aca="false">IF(COUNT(B354)=0,"",B354-('Signal Analysis'!$C$6+'Signal Analysis'!$C$5*H354))</f>
        <v>-0.79899828625263</v>
      </c>
    </row>
    <row r="355" customFormat="false" ht="15" hidden="false" customHeight="false" outlineLevel="0" collapsed="false">
      <c r="A355" s="8" t="n">
        <v>42838</v>
      </c>
      <c r="B355" s="9" t="n">
        <v>16.171534704</v>
      </c>
      <c r="C355" s="9" t="n">
        <v>134.880005</v>
      </c>
      <c r="D355" s="9" t="n">
        <v>135.369995</v>
      </c>
      <c r="E355" s="9" t="n">
        <v>133.660004</v>
      </c>
      <c r="F355" s="9" t="n">
        <v>133.720001</v>
      </c>
      <c r="G355" s="9" t="n">
        <v>127.604294</v>
      </c>
      <c r="H355" s="9" t="n">
        <v>127.604294</v>
      </c>
      <c r="I355" s="2" t="str">
        <f aca="false">IF(COUNT(C355:F355)&lt;4,"",IF(OR(D355&lt;MAX(C355,F355)-0.000001,E355&gt;MIN(C355,F355)+0.000001),"FAIL","OK"))</f>
        <v>OK</v>
      </c>
      <c r="J355" s="10" t="n">
        <f aca="false">IF(COUNT(F355,G355)&lt;2,"",G355/F355)</f>
        <v>0.954264829836488</v>
      </c>
      <c r="K355" s="10" t="n">
        <f aca="false">H355/H354-1</f>
        <v>-0.009774869338526</v>
      </c>
      <c r="L355" s="10" t="n">
        <f aca="false">H360/H355-1</f>
        <v>0.0260994195069957</v>
      </c>
      <c r="M355" s="10" t="n">
        <f aca="false">IF(COUNT(B296:B355)&lt;60,"",(B355-AVERAGE(B296:B355))/STDEV(B296:B355))</f>
        <v>0.695248933400054</v>
      </c>
      <c r="N355" s="10" t="n">
        <f aca="false">(H355-AVERAGE(H296:H355))/STDEV(H296:H355)</f>
        <v>-1.4585397884884</v>
      </c>
      <c r="O355" s="10" t="n">
        <f aca="false">IF(COUNT(B355)=0,"",B355-('Signal Analysis'!$C$6+'Signal Analysis'!$C$5*H355))</f>
        <v>0.513983484296123</v>
      </c>
    </row>
    <row r="356" customFormat="false" ht="15" hidden="false" customHeight="false" outlineLevel="0" collapsed="false">
      <c r="A356" s="8" t="n">
        <v>42842</v>
      </c>
      <c r="B356" s="9" t="n">
        <v>14.960275176</v>
      </c>
      <c r="C356" s="9" t="n">
        <v>134.070007</v>
      </c>
      <c r="D356" s="9" t="n">
        <v>135.320007</v>
      </c>
      <c r="E356" s="9" t="n">
        <v>133.679993</v>
      </c>
      <c r="F356" s="9" t="n">
        <v>135.289993</v>
      </c>
      <c r="G356" s="9" t="n">
        <v>129.102448</v>
      </c>
      <c r="H356" s="9" t="n">
        <v>129.102448</v>
      </c>
      <c r="I356" s="2" t="str">
        <f aca="false">IF(COUNT(C356:F356)&lt;4,"",IF(OR(D356&lt;MAX(C356,F356)-0.000001,E356&gt;MIN(C356,F356)+0.000001),"FAIL","OK"))</f>
        <v>OK</v>
      </c>
      <c r="J356" s="10" t="n">
        <f aca="false">IF(COUNT(F356,G356)&lt;2,"",G356/F356)</f>
        <v>0.954264577425176</v>
      </c>
      <c r="K356" s="10" t="n">
        <f aca="false">H356/H355-1</f>
        <v>0.0117406237128668</v>
      </c>
      <c r="L356" s="10" t="n">
        <f aca="false">H361/H356-1</f>
        <v>0.0268313192635976</v>
      </c>
      <c r="M356" s="10" t="n">
        <f aca="false">IF(COUNT(B297:B356)&lt;60,"",(B356-AVERAGE(B297:B356))/STDEV(B297:B356))</f>
        <v>-1.00239143510422</v>
      </c>
      <c r="N356" s="10" t="n">
        <f aca="false">(H356-AVERAGE(H297:H356))/STDEV(H297:H356)</f>
        <v>-0.604659367707289</v>
      </c>
      <c r="O356" s="10" t="n">
        <f aca="false">IF(COUNT(B356)=0,"",B356-('Signal Analysis'!$C$6+'Signal Analysis'!$C$5*H356))</f>
        <v>-0.902212166467855</v>
      </c>
    </row>
    <row r="357" customFormat="false" ht="15" hidden="false" customHeight="false" outlineLevel="0" collapsed="false">
      <c r="A357" s="8" t="n">
        <v>42843</v>
      </c>
      <c r="B357" s="9" t="n">
        <v>16.497771192</v>
      </c>
      <c r="C357" s="9" t="n">
        <v>134.720001</v>
      </c>
      <c r="D357" s="9" t="n">
        <v>135.460007</v>
      </c>
      <c r="E357" s="9" t="n">
        <v>134.160004</v>
      </c>
      <c r="F357" s="9" t="n">
        <v>135.320007</v>
      </c>
      <c r="G357" s="9" t="n">
        <v>129.131104</v>
      </c>
      <c r="H357" s="9" t="n">
        <v>129.131104</v>
      </c>
      <c r="I357" s="2" t="str">
        <f aca="false">IF(COUNT(C357:F357)&lt;4,"",IF(OR(D357&lt;MAX(C357,F357)-0.000001,E357&gt;MIN(C357,F357)+0.000001),"FAIL","OK"))</f>
        <v>OK</v>
      </c>
      <c r="J357" s="10" t="n">
        <f aca="false">IF(COUNT(F357,G357)&lt;2,"",G357/F357)</f>
        <v>0.954264686078534</v>
      </c>
      <c r="K357" s="10" t="n">
        <f aca="false">H357/H356-1</f>
        <v>0.00022196325820234</v>
      </c>
      <c r="L357" s="10" t="n">
        <f aca="false">H362/H357-1</f>
        <v>0.0365800094143083</v>
      </c>
      <c r="M357" s="10" t="n">
        <f aca="false">IF(COUNT(B298:B357)&lt;60,"",(B357-AVERAGE(B298:B357))/STDEV(B298:B357))</f>
        <v>1.17434383292435</v>
      </c>
      <c r="N357" s="10" t="n">
        <f aca="false">(H357-AVERAGE(H298:H357))/STDEV(H298:H357)</f>
        <v>-0.60673932813428</v>
      </c>
      <c r="O357" s="10" t="n">
        <f aca="false">IF(COUNT(B357)=0,"",B357-('Signal Analysis'!$C$6+'Signal Analysis'!$C$5*H357))</f>
        <v>0.631363925723296</v>
      </c>
    </row>
    <row r="358" customFormat="false" ht="15" hidden="false" customHeight="false" outlineLevel="0" collapsed="false">
      <c r="A358" s="8" t="n">
        <v>42844</v>
      </c>
      <c r="B358" s="9" t="n">
        <v>16.703371062</v>
      </c>
      <c r="C358" s="9" t="n">
        <v>135.690002</v>
      </c>
      <c r="D358" s="9" t="n">
        <v>136.960007</v>
      </c>
      <c r="E358" s="9" t="n">
        <v>135.539993</v>
      </c>
      <c r="F358" s="9" t="n">
        <v>135.789993</v>
      </c>
      <c r="G358" s="9" t="n">
        <v>129.579605</v>
      </c>
      <c r="H358" s="9" t="n">
        <v>129.579605</v>
      </c>
      <c r="I358" s="2" t="str">
        <f aca="false">IF(COUNT(C358:F358)&lt;4,"",IF(OR(D358&lt;MAX(C358,F358)-0.000001,E358&gt;MIN(C358,F358)+0.000001),"FAIL","OK"))</f>
        <v>OK</v>
      </c>
      <c r="J358" s="10" t="n">
        <f aca="false">IF(COUNT(F358,G358)&lt;2,"",G358/F358)</f>
        <v>0.954264759406829</v>
      </c>
      <c r="K358" s="10" t="n">
        <f aca="false">H358/H357-1</f>
        <v>0.00347322206739586</v>
      </c>
      <c r="L358" s="10" t="n">
        <f aca="false">H363/H358-1</f>
        <v>0.0382947532522575</v>
      </c>
      <c r="M358" s="10" t="n">
        <f aca="false">IF(COUNT(B299:B358)&lt;60,"",(B358-AVERAGE(B299:B358))/STDEV(B299:B358))</f>
        <v>1.42880039046218</v>
      </c>
      <c r="N358" s="10" t="n">
        <f aca="false">(H358-AVERAGE(H299:H358))/STDEV(H299:H358)</f>
        <v>-0.363725222503059</v>
      </c>
      <c r="O358" s="10" t="n">
        <f aca="false">IF(COUNT(B358)=0,"",B358-('Signal Analysis'!$C$6+'Signal Analysis'!$C$5*H358))</f>
        <v>0.775612255096789</v>
      </c>
    </row>
    <row r="359" customFormat="false" ht="15" hidden="false" customHeight="false" outlineLevel="0" collapsed="false">
      <c r="A359" s="8" t="n">
        <v>42845</v>
      </c>
      <c r="B359" s="9" t="n">
        <v>16.06256652</v>
      </c>
      <c r="C359" s="9" t="n">
        <v>136.339996</v>
      </c>
      <c r="D359" s="9" t="n">
        <v>137.669998</v>
      </c>
      <c r="E359" s="9" t="n">
        <v>136.149994</v>
      </c>
      <c r="F359" s="9" t="n">
        <v>137.520004</v>
      </c>
      <c r="G359" s="9" t="n">
        <v>131.230484</v>
      </c>
      <c r="H359" s="9" t="n">
        <v>131.230484</v>
      </c>
      <c r="I359" s="2" t="str">
        <f aca="false">IF(COUNT(C359:F359)&lt;4,"",IF(OR(D359&lt;MAX(C359,F359)-0.000001,E359&gt;MIN(C359,F359)+0.000001),"FAIL","OK"))</f>
        <v>OK</v>
      </c>
      <c r="J359" s="10" t="n">
        <f aca="false">IF(COUNT(F359,G359)&lt;2,"",G359/F359)</f>
        <v>0.95426469010283</v>
      </c>
      <c r="K359" s="10" t="n">
        <f aca="false">H359/H358-1</f>
        <v>0.0127402688100493</v>
      </c>
      <c r="L359" s="10" t="n">
        <f aca="false">H364/H359-1</f>
        <v>0.0249418572593241</v>
      </c>
      <c r="M359" s="10" t="n">
        <f aca="false">IF(COUNT(B300:B359)&lt;60,"",(B359-AVERAGE(B300:B359))/STDEV(B300:B359))</f>
        <v>0.511193512245748</v>
      </c>
      <c r="N359" s="10" t="n">
        <f aca="false">(H359-AVERAGE(H300:H359))/STDEV(H300:H359)</f>
        <v>0.647184268446945</v>
      </c>
      <c r="O359" s="10" t="n">
        <f aca="false">IF(COUNT(B359)=0,"",B359-('Signal Analysis'!$C$6+'Signal Analysis'!$C$5*H359))</f>
        <v>-0.0910200331912883</v>
      </c>
    </row>
    <row r="360" customFormat="false" ht="15" hidden="false" customHeight="false" outlineLevel="0" collapsed="false">
      <c r="A360" s="8" t="n">
        <v>42846</v>
      </c>
      <c r="B360" s="9" t="n">
        <v>16.4679192576</v>
      </c>
      <c r="C360" s="9" t="n">
        <v>137.240005</v>
      </c>
      <c r="D360" s="9" t="n">
        <v>137.550003</v>
      </c>
      <c r="E360" s="9" t="n">
        <v>136.710007</v>
      </c>
      <c r="F360" s="9" t="n">
        <v>137.210007</v>
      </c>
      <c r="G360" s="9" t="n">
        <v>130.934692</v>
      </c>
      <c r="H360" s="9" t="n">
        <v>130.934692</v>
      </c>
      <c r="I360" s="2" t="str">
        <f aca="false">IF(COUNT(C360:F360)&lt;4,"",IF(OR(D360&lt;MAX(C360,F360)-0.000001,E360&gt;MIN(C360,F360)+0.000001),"FAIL","OK"))</f>
        <v>OK</v>
      </c>
      <c r="J360" s="10" t="n">
        <f aca="false">IF(COUNT(F360,G360)&lt;2,"",G360/F360)</f>
        <v>0.954264888274512</v>
      </c>
      <c r="K360" s="10" t="n">
        <f aca="false">H360/H359-1</f>
        <v>-0.00225398848639447</v>
      </c>
      <c r="L360" s="10" t="n">
        <f aca="false">H365/H360-1</f>
        <v>0.0134825612145633</v>
      </c>
      <c r="M360" s="10" t="n">
        <f aca="false">IF(COUNT(B301:B360)&lt;60,"",(B360-AVERAGE(B301:B360))/STDEV(B301:B360))</f>
        <v>1.04876921573447</v>
      </c>
      <c r="N360" s="10" t="n">
        <f aca="false">(H360-AVERAGE(H301:H360))/STDEV(H301:H360)</f>
        <v>0.458089293182821</v>
      </c>
      <c r="O360" s="10" t="n">
        <f aca="false">IF(COUNT(B360)=0,"",B360-('Signal Analysis'!$C$6+'Signal Analysis'!$C$5*H360))</f>
        <v>0.354794810189954</v>
      </c>
    </row>
    <row r="361" customFormat="false" ht="15" hidden="false" customHeight="false" outlineLevel="0" collapsed="false">
      <c r="A361" s="8" t="n">
        <v>42849</v>
      </c>
      <c r="B361" s="9" t="n">
        <v>16.4632425984</v>
      </c>
      <c r="C361" s="9" t="n">
        <v>139.080002</v>
      </c>
      <c r="D361" s="9" t="n">
        <v>139.339996</v>
      </c>
      <c r="E361" s="9" t="n">
        <v>138.490005</v>
      </c>
      <c r="F361" s="9" t="n">
        <v>138.919998</v>
      </c>
      <c r="G361" s="9" t="n">
        <v>132.566437</v>
      </c>
      <c r="H361" s="9" t="n">
        <v>132.566437</v>
      </c>
      <c r="I361" s="2" t="str">
        <f aca="false">IF(COUNT(C361:F361)&lt;4,"",IF(OR(D361&lt;MAX(C361,F361)-0.000001,E361&gt;MIN(C361,F361)+0.000001),"FAIL","OK"))</f>
        <v>OK</v>
      </c>
      <c r="J361" s="10" t="n">
        <f aca="false">IF(COUNT(F361,G361)&lt;2,"",G361/F361)</f>
        <v>0.95426460486992</v>
      </c>
      <c r="K361" s="10" t="n">
        <f aca="false">H361/H360-1</f>
        <v>0.0124622815777502</v>
      </c>
      <c r="L361" s="10" t="n">
        <f aca="false">H366/H361-1</f>
        <v>0.00676644119204917</v>
      </c>
      <c r="M361" s="10" t="n">
        <f aca="false">IF(COUNT(B302:B361)&lt;60,"",(B361-AVERAGE(B302:B361))/STDEV(B302:B361))</f>
        <v>1.02537192183964</v>
      </c>
      <c r="N361" s="10" t="n">
        <f aca="false">(H361-AVERAGE(H302:H361))/STDEV(H302:H361)</f>
        <v>1.42316743818118</v>
      </c>
      <c r="O361" s="10" t="n">
        <f aca="false">IF(COUNT(B361)=0,"",B361-('Signal Analysis'!$C$6+'Signal Analysis'!$C$5*H361))</f>
        <v>0.126907791013945</v>
      </c>
    </row>
    <row r="362" customFormat="false" ht="15" hidden="false" customHeight="false" outlineLevel="0" collapsed="false">
      <c r="A362" s="8" t="n">
        <v>42850</v>
      </c>
      <c r="B362" s="9" t="n">
        <v>16.720203402</v>
      </c>
      <c r="C362" s="9" t="n">
        <v>140.240005</v>
      </c>
      <c r="D362" s="9" t="n">
        <v>140.880005</v>
      </c>
      <c r="E362" s="9" t="n">
        <v>140.089996</v>
      </c>
      <c r="F362" s="9" t="n">
        <v>140.270004</v>
      </c>
      <c r="G362" s="9" t="n">
        <v>133.854721</v>
      </c>
      <c r="H362" s="9" t="n">
        <v>133.854721</v>
      </c>
      <c r="I362" s="2" t="str">
        <f aca="false">IF(COUNT(C362:F362)&lt;4,"",IF(OR(D362&lt;MAX(C362,F362)-0.000001,E362&gt;MIN(C362,F362)+0.000001),"FAIL","OK"))</f>
        <v>OK</v>
      </c>
      <c r="J362" s="10" t="n">
        <f aca="false">IF(COUNT(F362,G362)&lt;2,"",G362/F362)</f>
        <v>0.95426475499352</v>
      </c>
      <c r="K362" s="10" t="n">
        <f aca="false">H362/H361-1</f>
        <v>0.00971802538526401</v>
      </c>
      <c r="L362" s="10" t="n">
        <f aca="false">H367/H362-1</f>
        <v>-0.00798467915076384</v>
      </c>
      <c r="M362" s="10" t="n">
        <f aca="false">IF(COUNT(B303:B362)&lt;60,"",(B362-AVERAGE(B303:B362))/STDEV(B303:B362))</f>
        <v>1.33639855911293</v>
      </c>
      <c r="N362" s="10" t="n">
        <f aca="false">(H362-AVERAGE(H303:H362))/STDEV(H303:H362)</f>
        <v>2.08811559343363</v>
      </c>
      <c r="O362" s="10" t="n">
        <f aca="false">IF(COUNT(B362)=0,"",B362-('Signal Analysis'!$C$6+'Signal Analysis'!$C$5*H362))</f>
        <v>0.207641098656339</v>
      </c>
    </row>
    <row r="363" customFormat="false" ht="15" hidden="false" customHeight="false" outlineLevel="0" collapsed="false">
      <c r="A363" s="8" t="n">
        <v>42851</v>
      </c>
      <c r="B363" s="9" t="n">
        <v>16.175768928</v>
      </c>
      <c r="C363" s="9" t="n">
        <v>140.169998</v>
      </c>
      <c r="D363" s="9" t="n">
        <v>141.820007</v>
      </c>
      <c r="E363" s="9" t="n">
        <v>140.130005</v>
      </c>
      <c r="F363" s="9" t="n">
        <v>140.990005</v>
      </c>
      <c r="G363" s="9" t="n">
        <v>134.541824</v>
      </c>
      <c r="H363" s="9" t="n">
        <v>134.541824</v>
      </c>
      <c r="I363" s="2" t="str">
        <f aca="false">IF(COUNT(C363:F363)&lt;4,"",IF(OR(D363&lt;MAX(C363,F363)-0.000001,E363&gt;MIN(C363,F363)+0.000001),"FAIL","OK"))</f>
        <v>OK</v>
      </c>
      <c r="J363" s="10" t="n">
        <f aca="false">IF(COUNT(F363,G363)&lt;2,"",G363/F363)</f>
        <v>0.954264977861374</v>
      </c>
      <c r="K363" s="10" t="n">
        <f aca="false">H363/H362-1</f>
        <v>0.00513319959779368</v>
      </c>
      <c r="L363" s="10" t="n">
        <f aca="false">H368/H363-1</f>
        <v>-0.019150342424375</v>
      </c>
      <c r="M363" s="10" t="n">
        <f aca="false">IF(COUNT(B304:B363)&lt;60,"",(B363-AVERAGE(B304:B363))/STDEV(B304:B363))</f>
        <v>0.567972201644564</v>
      </c>
      <c r="N363" s="10" t="n">
        <f aca="false">(H363-AVERAGE(H304:H363))/STDEV(H304:H363)</f>
        <v>2.35365304787257</v>
      </c>
      <c r="O363" s="10" t="n">
        <f aca="false">IF(COUNT(B363)=0,"",B363-('Signal Analysis'!$C$6+'Signal Analysis'!$C$5*H363))</f>
        <v>-0.430783862809896</v>
      </c>
    </row>
    <row r="364" customFormat="false" ht="15" hidden="false" customHeight="false" outlineLevel="0" collapsed="false">
      <c r="A364" s="8" t="n">
        <v>42852</v>
      </c>
      <c r="B364" s="9" t="n">
        <v>16.2529983216</v>
      </c>
      <c r="C364" s="9" t="n">
        <v>141.339996</v>
      </c>
      <c r="D364" s="9" t="n">
        <v>141.800003</v>
      </c>
      <c r="E364" s="9" t="n">
        <v>140.479996</v>
      </c>
      <c r="F364" s="9" t="n">
        <v>140.949997</v>
      </c>
      <c r="G364" s="9" t="n">
        <v>134.503616</v>
      </c>
      <c r="H364" s="9" t="n">
        <v>134.503616</v>
      </c>
      <c r="I364" s="2" t="str">
        <f aca="false">IF(COUNT(C364:F364)&lt;4,"",IF(OR(D364&lt;MAX(C364,F364)-0.000001,E364&gt;MIN(C364,F364)+0.000001),"FAIL","OK"))</f>
        <v>OK</v>
      </c>
      <c r="J364" s="10" t="n">
        <f aca="false">IF(COUNT(F364,G364)&lt;2,"",G364/F364)</f>
        <v>0.954264766674667</v>
      </c>
      <c r="K364" s="10" t="n">
        <f aca="false">H364/H363-1</f>
        <v>-0.000283986041396345</v>
      </c>
      <c r="L364" s="10" t="n">
        <f aca="false">H369/H364-1</f>
        <v>-0.0202201255317923</v>
      </c>
      <c r="M364" s="10" t="n">
        <f aca="false">IF(COUNT(B305:B364)&lt;60,"",(B364-AVERAGE(B305:B364))/STDEV(B305:B364))</f>
        <v>0.658219898624132</v>
      </c>
      <c r="N364" s="10" t="n">
        <f aca="false">(H364-AVERAGE(H305:H364))/STDEV(H305:H364)</f>
        <v>2.19845290528173</v>
      </c>
      <c r="O364" s="10" t="n">
        <f aca="false">IF(COUNT(B364)=0,"",B364-('Signal Analysis'!$C$6+'Signal Analysis'!$C$5*H364))</f>
        <v>-0.34832790413143</v>
      </c>
    </row>
    <row r="365" customFormat="false" ht="15" hidden="false" customHeight="false" outlineLevel="0" collapsed="false">
      <c r="A365" s="8" t="n">
        <v>42853</v>
      </c>
      <c r="B365" s="9" t="n">
        <v>15.9941946024</v>
      </c>
      <c r="C365" s="9" t="n">
        <v>141.029999</v>
      </c>
      <c r="D365" s="9" t="n">
        <v>141.169998</v>
      </c>
      <c r="E365" s="9" t="n">
        <v>139.039993</v>
      </c>
      <c r="F365" s="9" t="n">
        <v>139.059998</v>
      </c>
      <c r="G365" s="9" t="n">
        <v>132.700027</v>
      </c>
      <c r="H365" s="9" t="n">
        <v>132.700027</v>
      </c>
      <c r="I365" s="2" t="str">
        <f aca="false">IF(COUNT(C365:F365)&lt;4,"",IF(OR(D365&lt;MAX(C365,F365)-0.000001,E365&gt;MIN(C365,F365)+0.000001),"FAIL","OK"))</f>
        <v>OK</v>
      </c>
      <c r="J365" s="10" t="n">
        <f aca="false">IF(COUNT(F365,G365)&lt;2,"",G365/F365)</f>
        <v>0.954264554210622</v>
      </c>
      <c r="K365" s="10" t="n">
        <f aca="false">H365/H364-1</f>
        <v>-0.0134092231393986</v>
      </c>
      <c r="L365" s="10" t="n">
        <f aca="false">H370/H365-1</f>
        <v>-0.000503293040023278</v>
      </c>
      <c r="M365" s="10" t="n">
        <f aca="false">IF(COUNT(B306:B365)&lt;60,"",(B365-AVERAGE(B306:B365))/STDEV(B306:B365))</f>
        <v>0.304646775165276</v>
      </c>
      <c r="N365" s="10" t="n">
        <f aca="false">(H365-AVERAGE(H306:H365))/STDEV(H306:H365)</f>
        <v>1.16240967219985</v>
      </c>
      <c r="O365" s="10" t="n">
        <f aca="false">IF(COUNT(B365)=0,"",B365-('Signal Analysis'!$C$6+'Signal Analysis'!$C$5*H365))</f>
        <v>-0.360414305405666</v>
      </c>
    </row>
    <row r="366" customFormat="false" ht="15" hidden="false" customHeight="false" outlineLevel="0" collapsed="false">
      <c r="A366" s="8" t="n">
        <v>42856</v>
      </c>
      <c r="B366" s="9" t="n">
        <v>15.81407232</v>
      </c>
      <c r="C366" s="9" t="n">
        <v>139.639999</v>
      </c>
      <c r="D366" s="9" t="n">
        <v>140.289993</v>
      </c>
      <c r="E366" s="9" t="n">
        <v>138.779999</v>
      </c>
      <c r="F366" s="9" t="n">
        <v>139.860001</v>
      </c>
      <c r="G366" s="9" t="n">
        <v>133.46344</v>
      </c>
      <c r="H366" s="9" t="n">
        <v>133.46344</v>
      </c>
      <c r="I366" s="2" t="str">
        <f aca="false">IF(COUNT(C366:F366)&lt;4,"",IF(OR(D366&lt;MAX(C366,F366)-0.000001,E366&gt;MIN(C366,F366)+0.000001),"FAIL","OK"))</f>
        <v>OK</v>
      </c>
      <c r="J366" s="10" t="n">
        <f aca="false">IF(COUNT(F366,G366)&lt;2,"",G366/F366)</f>
        <v>0.954264543441552</v>
      </c>
      <c r="K366" s="10" t="n">
        <f aca="false">H366/H365-1</f>
        <v>0.00575292271794337</v>
      </c>
      <c r="L366" s="10" t="n">
        <f aca="false">H371/H366-1</f>
        <v>-0.0103672736144069</v>
      </c>
      <c r="M366" s="10" t="n">
        <f aca="false">IF(COUNT(B307:B366)&lt;60,"",(B366-AVERAGE(B307:B366))/STDEV(B307:B366))</f>
        <v>0.0369433871945004</v>
      </c>
      <c r="N366" s="10" t="n">
        <f aca="false">(H366-AVERAGE(H307:H366))/STDEV(H307:H366)</f>
        <v>1.52596379819141</v>
      </c>
      <c r="O366" s="10" t="n">
        <f aca="false">IF(COUNT(B366)=0,"",B366-('Signal Analysis'!$C$6+'Signal Analysis'!$C$5*H366))</f>
        <v>-0.644965705431501</v>
      </c>
    </row>
    <row r="367" customFormat="false" ht="15" hidden="false" customHeight="false" outlineLevel="0" collapsed="false">
      <c r="A367" s="8" t="n">
        <v>42857</v>
      </c>
      <c r="B367" s="9" t="n">
        <v>15.438509136</v>
      </c>
      <c r="C367" s="9" t="n">
        <v>139.979996</v>
      </c>
      <c r="D367" s="9" t="n">
        <v>140.339996</v>
      </c>
      <c r="E367" s="9" t="n">
        <v>138.690002</v>
      </c>
      <c r="F367" s="9" t="n">
        <v>139.149994</v>
      </c>
      <c r="G367" s="9" t="n">
        <v>132.785934</v>
      </c>
      <c r="H367" s="9" t="n">
        <v>132.785934</v>
      </c>
      <c r="I367" s="2" t="str">
        <f aca="false">IF(COUNT(C367:F367)&lt;4,"",IF(OR(D367&lt;MAX(C367,F367)-0.000001,E367&gt;MIN(C367,F367)+0.000001),"FAIL","OK"))</f>
        <v>OK</v>
      </c>
      <c r="J367" s="10" t="n">
        <f aca="false">IF(COUNT(F367,G367)&lt;2,"",G367/F367)</f>
        <v>0.954264748297438</v>
      </c>
      <c r="K367" s="10" t="n">
        <f aca="false">H367/H366-1</f>
        <v>-0.00507634150595848</v>
      </c>
      <c r="L367" s="10" t="n">
        <f aca="false">H372/H367-1</f>
        <v>-0.00574896735673836</v>
      </c>
      <c r="M367" s="10" t="n">
        <f aca="false">IF(COUNT(B308:B367)&lt;60,"",(B367-AVERAGE(B308:B367))/STDEV(B308:B367))</f>
        <v>-0.516200669130807</v>
      </c>
      <c r="N367" s="10" t="n">
        <f aca="false">(H367-AVERAGE(H308:H367))/STDEV(H308:H367)</f>
        <v>1.11985451980562</v>
      </c>
      <c r="O367" s="10" t="n">
        <f aca="false">IF(COUNT(B367)=0,"",B367-('Signal Analysis'!$C$6+'Signal Analysis'!$C$5*H367))</f>
        <v>-0.927851198894125</v>
      </c>
    </row>
    <row r="368" customFormat="false" ht="15" hidden="false" customHeight="false" outlineLevel="0" collapsed="false">
      <c r="A368" s="8" t="n">
        <v>42858</v>
      </c>
      <c r="B368" s="9" t="n">
        <v>15.057095832</v>
      </c>
      <c r="C368" s="9" t="n">
        <v>138.490005</v>
      </c>
      <c r="D368" s="9" t="n">
        <v>138.759995</v>
      </c>
      <c r="E368" s="9" t="n">
        <v>137.690002</v>
      </c>
      <c r="F368" s="9" t="n">
        <v>138.289993</v>
      </c>
      <c r="G368" s="9" t="n">
        <v>131.965302</v>
      </c>
      <c r="H368" s="9" t="n">
        <v>131.965302</v>
      </c>
      <c r="I368" s="2" t="str">
        <f aca="false">IF(COUNT(C368:F368)&lt;4,"",IF(OR(D368&lt;MAX(C368,F368)-0.000001,E368&gt;MIN(C368,F368)+0.000001),"FAIL","OK"))</f>
        <v>OK</v>
      </c>
      <c r="J368" s="10" t="n">
        <f aca="false">IF(COUNT(F368,G368)&lt;2,"",G368/F368)</f>
        <v>0.954265013232013</v>
      </c>
      <c r="K368" s="10" t="n">
        <f aca="false">H368/H367-1</f>
        <v>-0.00618011242064231</v>
      </c>
      <c r="L368" s="10" t="n">
        <f aca="false">H373/H368-1</f>
        <v>0.0066522637897648</v>
      </c>
      <c r="M368" s="10" t="n">
        <f aca="false">IF(COUNT(B309:B368)&lt;60,"",(B368-AVERAGE(B309:B368))/STDEV(B309:B368))</f>
        <v>-1.02477005819142</v>
      </c>
      <c r="N368" s="10" t="n">
        <f aca="false">(H368-AVERAGE(H309:H368))/STDEV(H309:H368)</f>
        <v>0.651706389810006</v>
      </c>
      <c r="O368" s="10" t="n">
        <f aca="false">IF(COUNT(B368)=0,"",B368-('Signal Analysis'!$C$6+'Signal Analysis'!$C$5*H368))</f>
        <v>-1.19700825934637</v>
      </c>
    </row>
    <row r="369" customFormat="false" ht="15" hidden="false" customHeight="false" outlineLevel="0" collapsed="false">
      <c r="A369" s="8" t="n">
        <v>42859</v>
      </c>
      <c r="B369" s="9" t="n">
        <v>16.0011333024</v>
      </c>
      <c r="C369" s="9" t="n">
        <v>138.529999</v>
      </c>
      <c r="D369" s="9" t="n">
        <v>138.729996</v>
      </c>
      <c r="E369" s="9" t="n">
        <v>137.110001</v>
      </c>
      <c r="F369" s="9" t="n">
        <v>138.100006</v>
      </c>
      <c r="G369" s="9" t="n">
        <v>131.783936</v>
      </c>
      <c r="H369" s="9" t="n">
        <v>131.783936</v>
      </c>
      <c r="I369" s="2" t="str">
        <f aca="false">IF(COUNT(C369:F369)&lt;4,"",IF(OR(D369&lt;MAX(C369,F369)-0.000001,E369&gt;MIN(C369,F369)+0.000001),"FAIL","OK"))</f>
        <v>OK</v>
      </c>
      <c r="J369" s="10" t="n">
        <f aca="false">IF(COUNT(F369,G369)&lt;2,"",G369/F369)</f>
        <v>0.95426452045194</v>
      </c>
      <c r="K369" s="10" t="n">
        <f aca="false">H369/H368-1</f>
        <v>-0.00137434611410203</v>
      </c>
      <c r="L369" s="10" t="n">
        <f aca="false">H374/H369-1</f>
        <v>0.00101393996913224</v>
      </c>
      <c r="M369" s="10" t="n">
        <f aca="false">IF(COUNT(B310:B369)&lt;60,"",(B369-AVERAGE(B310:B369))/STDEV(B310:B369))</f>
        <v>0.310524241528131</v>
      </c>
      <c r="N369" s="10" t="n">
        <f aca="false">(H369-AVERAGE(H310:H369))/STDEV(H310:H369)</f>
        <v>0.529756216279725</v>
      </c>
      <c r="O369" s="10" t="n">
        <f aca="false">IF(COUNT(B369)=0,"",B369-('Signal Analysis'!$C$6+'Signal Analysis'!$C$5*H369))</f>
        <v>-0.228161293499834</v>
      </c>
    </row>
    <row r="370" customFormat="false" ht="15" hidden="false" customHeight="false" outlineLevel="0" collapsed="false">
      <c r="A370" s="8" t="n">
        <v>42860</v>
      </c>
      <c r="B370" s="9" t="n">
        <v>15.781768596</v>
      </c>
      <c r="C370" s="9" t="n">
        <v>138.690002</v>
      </c>
      <c r="D370" s="9" t="n">
        <v>138.990005</v>
      </c>
      <c r="E370" s="9" t="n">
        <v>137.529999</v>
      </c>
      <c r="F370" s="9" t="n">
        <v>138.990005</v>
      </c>
      <c r="G370" s="9" t="n">
        <v>132.63324</v>
      </c>
      <c r="H370" s="9" t="n">
        <v>132.63324</v>
      </c>
      <c r="I370" s="2" t="str">
        <f aca="false">IF(COUNT(C370:F370)&lt;4,"",IF(OR(D370&lt;MAX(C370,F370)-0.000001,E370&gt;MIN(C370,F370)+0.000001),"FAIL","OK"))</f>
        <v>OK</v>
      </c>
      <c r="J370" s="10" t="n">
        <f aca="false">IF(COUNT(F370,G370)&lt;2,"",G370/F370)</f>
        <v>0.954264589025664</v>
      </c>
      <c r="K370" s="10" t="n">
        <f aca="false">H370/H369-1</f>
        <v>0.00644467016070904</v>
      </c>
      <c r="L370" s="10" t="n">
        <f aca="false">H375/H370-1</f>
        <v>-0.0106481075181456</v>
      </c>
      <c r="M370" s="10" t="n">
        <f aca="false">IF(COUNT(B311:B370)&lt;60,"",(B370-AVERAGE(B311:B370))/STDEV(B311:B370))</f>
        <v>0.0105436283668824</v>
      </c>
      <c r="N370" s="10" t="n">
        <f aca="false">(H370-AVERAGE(H311:H370))/STDEV(H311:H370)</f>
        <v>0.963150112639638</v>
      </c>
      <c r="O370" s="10" t="n">
        <f aca="false">IF(COUNT(B370)=0,"",B370-('Signal Analysis'!$C$6+'Signal Analysis'!$C$5*H370))</f>
        <v>-0.563704355935283</v>
      </c>
    </row>
    <row r="371" customFormat="false" ht="15" hidden="false" customHeight="false" outlineLevel="0" collapsed="false">
      <c r="A371" s="8" t="n">
        <v>42863</v>
      </c>
      <c r="B371" s="9" t="n">
        <v>15.3552036348</v>
      </c>
      <c r="C371" s="9" t="n">
        <v>138.660004</v>
      </c>
      <c r="D371" s="9" t="n">
        <v>138.979996</v>
      </c>
      <c r="E371" s="9" t="n">
        <v>137.759995</v>
      </c>
      <c r="F371" s="9" t="n">
        <v>138.410004</v>
      </c>
      <c r="G371" s="9" t="n">
        <v>132.079788</v>
      </c>
      <c r="H371" s="9" t="n">
        <v>132.079788</v>
      </c>
      <c r="I371" s="2" t="str">
        <f aca="false">IF(COUNT(C371:F371)&lt;4,"",IF(OR(D371&lt;MAX(C371,F371)-0.000001,E371&gt;MIN(C371,F371)+0.000001),"FAIL","OK"))</f>
        <v>OK</v>
      </c>
      <c r="J371" s="10" t="n">
        <f aca="false">IF(COUNT(F371,G371)&lt;2,"",G371/F371)</f>
        <v>0.954264750978549</v>
      </c>
      <c r="K371" s="10" t="n">
        <f aca="false">H371/H370-1</f>
        <v>-0.00417280012159837</v>
      </c>
      <c r="L371" s="10" t="n">
        <f aca="false">H376/H371-1</f>
        <v>0.00122840142656777</v>
      </c>
      <c r="M371" s="10" t="n">
        <f aca="false">IF(COUNT(B312:B371)&lt;60,"",(B371-AVERAGE(B312:B371))/STDEV(B312:B371))</f>
        <v>-0.588052090360847</v>
      </c>
      <c r="N371" s="10" t="n">
        <f aca="false">(H371-AVERAGE(H312:H371))/STDEV(H312:H371)</f>
        <v>0.639681167580904</v>
      </c>
      <c r="O371" s="10" t="n">
        <f aca="false">IF(COUNT(B371)=0,"",B371-('Signal Analysis'!$C$6+'Signal Analysis'!$C$5*H371))</f>
        <v>-0.914561274426744</v>
      </c>
    </row>
    <row r="372" customFormat="false" ht="15" hidden="false" customHeight="false" outlineLevel="0" collapsed="false">
      <c r="A372" s="8" t="n">
        <v>42864</v>
      </c>
      <c r="B372" s="9" t="n">
        <v>16.3763741856</v>
      </c>
      <c r="C372" s="9" t="n">
        <v>138.589996</v>
      </c>
      <c r="D372" s="9" t="n">
        <v>138.830002</v>
      </c>
      <c r="E372" s="9" t="n">
        <v>137.779999</v>
      </c>
      <c r="F372" s="9" t="n">
        <v>138.350006</v>
      </c>
      <c r="G372" s="9" t="n">
        <v>132.022552</v>
      </c>
      <c r="H372" s="9" t="n">
        <v>132.022552</v>
      </c>
      <c r="I372" s="2" t="str">
        <f aca="false">IF(COUNT(C372:F372)&lt;4,"",IF(OR(D372&lt;MAX(C372,F372)-0.000001,E372&gt;MIN(C372,F372)+0.000001),"FAIL","OK"))</f>
        <v>OK</v>
      </c>
      <c r="J372" s="10" t="n">
        <f aca="false">IF(COUNT(F372,G372)&lt;2,"",G372/F372)</f>
        <v>0.954264880913702</v>
      </c>
      <c r="K372" s="10" t="n">
        <f aca="false">H372/H371-1</f>
        <v>-0.000433344123780821</v>
      </c>
      <c r="L372" s="10" t="n">
        <f aca="false">H377/H372-1</f>
        <v>0.00202364668727206</v>
      </c>
      <c r="M372" s="10" t="n">
        <f aca="false">IF(COUNT(B313:B372)&lt;60,"",(B372-AVERAGE(B313:B372))/STDEV(B313:B372))</f>
        <v>0.880739764085067</v>
      </c>
      <c r="N372" s="10" t="n">
        <f aca="false">(H372-AVERAGE(H313:H372))/STDEV(H313:H372)</f>
        <v>0.599462906670929</v>
      </c>
      <c r="O372" s="10" t="n">
        <f aca="false">IF(COUNT(B372)=0,"",B372-('Signal Analysis'!$C$6+'Signal Analysis'!$C$5*H372))</f>
        <v>0.114438727766451</v>
      </c>
    </row>
    <row r="373" customFormat="false" ht="15" hidden="false" customHeight="false" outlineLevel="0" collapsed="false">
      <c r="A373" s="8" t="n">
        <v>42865</v>
      </c>
      <c r="B373" s="9" t="n">
        <v>15.07559199</v>
      </c>
      <c r="C373" s="9" t="n">
        <v>138.039993</v>
      </c>
      <c r="D373" s="9" t="n">
        <v>139.479996</v>
      </c>
      <c r="E373" s="9" t="n">
        <v>137.860001</v>
      </c>
      <c r="F373" s="9" t="n">
        <v>139.210007</v>
      </c>
      <c r="G373" s="9" t="n">
        <v>132.84317</v>
      </c>
      <c r="H373" s="9" t="n">
        <v>132.84317</v>
      </c>
      <c r="I373" s="2" t="str">
        <f aca="false">IF(COUNT(C373:F373)&lt;4,"",IF(OR(D373&lt;MAX(C373,F373)-0.000001,E373&gt;MIN(C373,F373)+0.000001),"FAIL","OK"))</f>
        <v>OK</v>
      </c>
      <c r="J373" s="10" t="n">
        <f aca="false">IF(COUNT(F373,G373)&lt;2,"",G373/F373)</f>
        <v>0.954264516343283</v>
      </c>
      <c r="K373" s="10" t="n">
        <f aca="false">H373/H372-1</f>
        <v>0.00621574108035716</v>
      </c>
      <c r="L373" s="10" t="n">
        <f aca="false">H378/H373-1</f>
        <v>-0.0310318927198138</v>
      </c>
      <c r="M373" s="10" t="n">
        <f aca="false">IF(COUNT(B314:B373)&lt;60,"",(B373-AVERAGE(B314:B373))/STDEV(B314:B373))</f>
        <v>-0.972545296183913</v>
      </c>
      <c r="N373" s="10" t="n">
        <f aca="false">(H373-AVERAGE(H314:H373))/STDEV(H314:H373)</f>
        <v>1.02978471121299</v>
      </c>
      <c r="O373" s="10" t="n">
        <f aca="false">IF(COUNT(B373)=0,"",B373-('Signal Analysis'!$C$6+'Signal Analysis'!$C$5*H373))</f>
        <v>-1.29859779628732</v>
      </c>
    </row>
    <row r="374" customFormat="false" ht="15" hidden="false" customHeight="false" outlineLevel="0" collapsed="false">
      <c r="A374" s="8" t="n">
        <v>42866</v>
      </c>
      <c r="B374" s="9" t="n">
        <v>16.1922616056</v>
      </c>
      <c r="C374" s="9" t="n">
        <v>138.669998</v>
      </c>
      <c r="D374" s="9" t="n">
        <v>138.830002</v>
      </c>
      <c r="E374" s="9" t="n">
        <v>136.979996</v>
      </c>
      <c r="F374" s="9" t="n">
        <v>138.240005</v>
      </c>
      <c r="G374" s="9" t="n">
        <v>131.917557</v>
      </c>
      <c r="H374" s="9" t="n">
        <v>131.917557</v>
      </c>
      <c r="I374" s="2" t="str">
        <f aca="false">IF(COUNT(C374:F374)&lt;4,"",IF(OR(D374&lt;MAX(C374,F374)-0.000001,E374&gt;MIN(C374,F374)+0.000001),"FAIL","OK"))</f>
        <v>OK</v>
      </c>
      <c r="J374" s="10" t="n">
        <f aca="false">IF(COUNT(F374,G374)&lt;2,"",G374/F374)</f>
        <v>0.954264700728273</v>
      </c>
      <c r="K374" s="10" t="n">
        <f aca="false">H374/H373-1</f>
        <v>-0.00696771237843841</v>
      </c>
      <c r="L374" s="10" t="n">
        <f aca="false">H379/H374-1</f>
        <v>-0.0206887018079025</v>
      </c>
      <c r="M374" s="10" t="n">
        <f aca="false">IF(COUNT(B315:B374)&lt;60,"",(B374-AVERAGE(B315:B374))/STDEV(B315:B374))</f>
        <v>0.626709249270724</v>
      </c>
      <c r="N374" s="10" t="n">
        <f aca="false">(H374-AVERAGE(H315:H374))/STDEV(H315:H374)</f>
        <v>0.527579165128083</v>
      </c>
      <c r="O374" s="10" t="n">
        <f aca="false">IF(COUNT(B374)=0,"",B374-('Signal Analysis'!$C$6+'Signal Analysis'!$C$5*H374))</f>
        <v>-0.0553113312846989</v>
      </c>
    </row>
    <row r="375" customFormat="false" ht="15" hidden="false" customHeight="false" outlineLevel="0" collapsed="false">
      <c r="A375" s="8" t="n">
        <v>42867</v>
      </c>
      <c r="B375" s="9" t="n">
        <v>16.064355216</v>
      </c>
      <c r="C375" s="9" t="n">
        <v>137.710007</v>
      </c>
      <c r="D375" s="9" t="n">
        <v>137.889999</v>
      </c>
      <c r="E375" s="9" t="n">
        <v>137.160004</v>
      </c>
      <c r="F375" s="9" t="n">
        <v>137.509995</v>
      </c>
      <c r="G375" s="9" t="n">
        <v>131.220947</v>
      </c>
      <c r="H375" s="9" t="n">
        <v>131.220947</v>
      </c>
      <c r="I375" s="2" t="str">
        <f aca="false">IF(COUNT(C375:F375)&lt;4,"",IF(OR(D375&lt;MAX(C375,F375)-0.000001,E375&gt;MIN(C375,F375)+0.000001),"FAIL","OK"))</f>
        <v>OK</v>
      </c>
      <c r="J375" s="10" t="n">
        <f aca="false">IF(COUNT(F375,G375)&lt;2,"",G375/F375)</f>
        <v>0.954264793624638</v>
      </c>
      <c r="K375" s="10" t="n">
        <f aca="false">H375/H374-1</f>
        <v>-0.00528064660869965</v>
      </c>
      <c r="L375" s="10" t="n">
        <f aca="false">H380/H375-1</f>
        <v>-0.0107628167018182</v>
      </c>
      <c r="M375" s="10" t="n">
        <f aca="false">IF(COUNT(B316:B375)&lt;60,"",(B375-AVERAGE(B316:B375))/STDEV(B316:B375))</f>
        <v>0.437838854094552</v>
      </c>
      <c r="N375" s="10" t="n">
        <f aca="false">(H375-AVERAGE(H316:H375))/STDEV(H316:H375)</f>
        <v>0.164349846935372</v>
      </c>
      <c r="O375" s="10" t="n">
        <f aca="false">IF(COUNT(B375)=0,"",B375-('Signal Analysis'!$C$6+'Signal Analysis'!$C$5*H375))</f>
        <v>-0.0879267478080905</v>
      </c>
    </row>
    <row r="376" customFormat="false" ht="15" hidden="false" customHeight="false" outlineLevel="0" collapsed="false">
      <c r="A376" s="8" t="n">
        <v>42870</v>
      </c>
      <c r="B376" s="9" t="n">
        <v>15.8126545296</v>
      </c>
      <c r="C376" s="9" t="n">
        <v>137.979996</v>
      </c>
      <c r="D376" s="9" t="n">
        <v>139.25</v>
      </c>
      <c r="E376" s="9" t="n">
        <v>137.979996</v>
      </c>
      <c r="F376" s="9" t="n">
        <v>138.580002</v>
      </c>
      <c r="G376" s="9" t="n">
        <v>132.242035</v>
      </c>
      <c r="H376" s="9" t="n">
        <v>132.242035</v>
      </c>
      <c r="I376" s="2" t="str">
        <f aca="false">IF(COUNT(C376:F376)&lt;4,"",IF(OR(D376&lt;MAX(C376,F376)-0.000001,E376&gt;MIN(C376,F376)+0.000001),"FAIL","OK"))</f>
        <v>OK</v>
      </c>
      <c r="J376" s="10" t="n">
        <f aca="false">IF(COUNT(F376,G376)&lt;2,"",G376/F376)</f>
        <v>0.954264923448334</v>
      </c>
      <c r="K376" s="10" t="n">
        <f aca="false">H376/H375-1</f>
        <v>0.00778144056527808</v>
      </c>
      <c r="L376" s="10" t="n">
        <f aca="false">H381/H376-1</f>
        <v>-0.0117623794884886</v>
      </c>
      <c r="M376" s="10" t="n">
        <f aca="false">IF(COUNT(B317:B376)&lt;60,"",(B376-AVERAGE(B317:B376))/STDEV(B317:B376))</f>
        <v>0.0625566990421449</v>
      </c>
      <c r="N376" s="10" t="n">
        <f aca="false">(H376-AVERAGE(H317:H376))/STDEV(H317:H376)</f>
        <v>0.72816619131735</v>
      </c>
      <c r="O376" s="10" t="n">
        <f aca="false">IF(COUNT(B376)=0,"",B376-('Signal Analysis'!$C$6+'Signal Analysis'!$C$5*H376))</f>
        <v>-0.479304540647629</v>
      </c>
    </row>
    <row r="377" customFormat="false" ht="15" hidden="false" customHeight="false" outlineLevel="0" collapsed="false">
      <c r="A377" s="8" t="n">
        <v>42871</v>
      </c>
      <c r="B377" s="9" t="n">
        <v>16.35588864</v>
      </c>
      <c r="C377" s="9" t="n">
        <v>138.970001</v>
      </c>
      <c r="D377" s="9" t="n">
        <v>139.039993</v>
      </c>
      <c r="E377" s="9" t="n">
        <v>137.619995</v>
      </c>
      <c r="F377" s="9" t="n">
        <v>138.630005</v>
      </c>
      <c r="G377" s="9" t="n">
        <v>132.289719</v>
      </c>
      <c r="H377" s="9" t="n">
        <v>132.289719</v>
      </c>
      <c r="I377" s="2" t="str">
        <f aca="false">IF(COUNT(C377:F377)&lt;4,"",IF(OR(D377&lt;MAX(C377,F377)-0.000001,E377&gt;MIN(C377,F377)+0.000001),"FAIL","OK"))</f>
        <v>OK</v>
      </c>
      <c r="J377" s="10" t="n">
        <f aca="false">IF(COUNT(F377,G377)&lt;2,"",G377/F377)</f>
        <v>0.954264691832046</v>
      </c>
      <c r="K377" s="10" t="n">
        <f aca="false">H377/H376-1</f>
        <v>0.000360581262984994</v>
      </c>
      <c r="L377" s="10" t="n">
        <f aca="false">H382/H377-1</f>
        <v>-0.00887258668982416</v>
      </c>
      <c r="M377" s="10" t="n">
        <f aca="false">IF(COUNT(B318:B377)&lt;60,"",(B377-AVERAGE(B318:B377))/STDEV(B318:B377))</f>
        <v>0.856938394207605</v>
      </c>
      <c r="N377" s="10" t="n">
        <f aca="false">(H377-AVERAGE(H318:H377))/STDEV(H318:H377)</f>
        <v>0.755519127255541</v>
      </c>
      <c r="O377" s="10" t="n">
        <f aca="false">IF(COUNT(B377)=0,"",B377-('Signal Analysis'!$C$6+'Signal Analysis'!$C$5*H377))</f>
        <v>0.0574067596287939</v>
      </c>
    </row>
    <row r="378" customFormat="false" ht="15" hidden="false" customHeight="false" outlineLevel="0" collapsed="false">
      <c r="A378" s="8" t="n">
        <v>42872</v>
      </c>
      <c r="B378" s="9" t="n">
        <v>15.68238648</v>
      </c>
      <c r="C378" s="9" t="n">
        <v>136.330002</v>
      </c>
      <c r="D378" s="9" t="n">
        <v>137.039993</v>
      </c>
      <c r="E378" s="9" t="n">
        <v>134.75</v>
      </c>
      <c r="F378" s="9" t="n">
        <v>134.889999</v>
      </c>
      <c r="G378" s="9" t="n">
        <v>128.720795</v>
      </c>
      <c r="H378" s="9" t="n">
        <v>128.720795</v>
      </c>
      <c r="I378" s="2" t="str">
        <f aca="false">IF(COUNT(C378:F378)&lt;4,"",IF(OR(D378&lt;MAX(C378,F378)-0.000001,E378&gt;MIN(C378,F378)+0.000001),"FAIL","OK"))</f>
        <v>OK</v>
      </c>
      <c r="J378" s="10" t="n">
        <f aca="false">IF(COUNT(F378,G378)&lt;2,"",G378/F378)</f>
        <v>0.954264926638483</v>
      </c>
      <c r="K378" s="10" t="n">
        <f aca="false">H378/H377-1</f>
        <v>-0.0269780904138135</v>
      </c>
      <c r="L378" s="10" t="n">
        <f aca="false">H383/H378-1</f>
        <v>0.0192747721920146</v>
      </c>
      <c r="M378" s="10" t="n">
        <f aca="false">IF(COUNT(B319:B378)&lt;60,"",(B378-AVERAGE(B319:B378))/STDEV(B319:B378))</f>
        <v>-0.104494937485341</v>
      </c>
      <c r="N378" s="10" t="n">
        <f aca="false">(H378-AVERAGE(H319:H378))/STDEV(H319:H378)</f>
        <v>-1.17086383891703</v>
      </c>
      <c r="O378" s="10" t="n">
        <f aca="false">IF(COUNT(B378)=0,"",B378-('Signal Analysis'!$C$6+'Signal Analysis'!$C$5*H378))</f>
        <v>-0.12789362204982</v>
      </c>
    </row>
    <row r="379" customFormat="false" ht="15" hidden="false" customHeight="false" outlineLevel="0" collapsed="false">
      <c r="A379" s="8" t="n">
        <v>42873</v>
      </c>
      <c r="B379" s="9" t="n">
        <v>15.8912552004</v>
      </c>
      <c r="C379" s="9" t="n">
        <v>134.570007</v>
      </c>
      <c r="D379" s="9" t="n">
        <v>135.899994</v>
      </c>
      <c r="E379" s="9" t="n">
        <v>134.229996</v>
      </c>
      <c r="F379" s="9" t="n">
        <v>135.380005</v>
      </c>
      <c r="G379" s="9" t="n">
        <v>129.188354</v>
      </c>
      <c r="H379" s="9" t="n">
        <v>129.188354</v>
      </c>
      <c r="I379" s="2" t="str">
        <f aca="false">IF(COUNT(C379:F379)&lt;4,"",IF(OR(D379&lt;MAX(C379,F379)-0.000001,E379&gt;MIN(C379,F379)+0.000001),"FAIL","OK"))</f>
        <v>OK</v>
      </c>
      <c r="J379" s="10" t="n">
        <f aca="false">IF(COUNT(F379,G379)&lt;2,"",G379/F379)</f>
        <v>0.954264656734205</v>
      </c>
      <c r="K379" s="10" t="n">
        <f aca="false">H379/H378-1</f>
        <v>0.00363235015756391</v>
      </c>
      <c r="L379" s="10" t="n">
        <f aca="false">H384/H379-1</f>
        <v>0.0162506598698515</v>
      </c>
      <c r="M379" s="10" t="n">
        <f aca="false">IF(COUNT(B320:B379)&lt;60,"",(B379-AVERAGE(B320:B379))/STDEV(B320:B379))</f>
        <v>0.1836834762578</v>
      </c>
      <c r="N379" s="10" t="n">
        <f aca="false">(H379-AVERAGE(H320:H379))/STDEV(H320:H379)</f>
        <v>-0.882188453423247</v>
      </c>
      <c r="O379" s="10" t="n">
        <f aca="false">IF(COUNT(B379)=0,"",B379-('Signal Analysis'!$C$6+'Signal Analysis'!$C$5*H379))</f>
        <v>0.0170165676361123</v>
      </c>
    </row>
    <row r="380" customFormat="false" ht="15" hidden="false" customHeight="false" outlineLevel="0" collapsed="false">
      <c r="A380" s="8" t="n">
        <v>42874</v>
      </c>
      <c r="B380" s="9" t="n">
        <v>16.3739920032</v>
      </c>
      <c r="C380" s="9" t="n">
        <v>135.639999</v>
      </c>
      <c r="D380" s="9" t="n">
        <v>136.759995</v>
      </c>
      <c r="E380" s="9" t="n">
        <v>135.419998</v>
      </c>
      <c r="F380" s="9" t="n">
        <v>136.029999</v>
      </c>
      <c r="G380" s="9" t="n">
        <v>129.80864</v>
      </c>
      <c r="H380" s="9" t="n">
        <v>129.80864</v>
      </c>
      <c r="I380" s="2" t="str">
        <f aca="false">IF(COUNT(C380:F380)&lt;4,"",IF(OR(D380&lt;MAX(C380,F380)-0.000001,E380&gt;MIN(C380,F380)+0.000001),"FAIL","OK"))</f>
        <v>OK</v>
      </c>
      <c r="J380" s="10" t="n">
        <f aca="false">IF(COUNT(F380,G380)&lt;2,"",G380/F380)</f>
        <v>0.954264801545724</v>
      </c>
      <c r="K380" s="10" t="n">
        <f aca="false">H380/H379-1</f>
        <v>0.00480140802784734</v>
      </c>
      <c r="L380" s="10" t="n">
        <f aca="false">H385/H380-1</f>
        <v>0.0111002010343841</v>
      </c>
      <c r="M380" s="10" t="n">
        <f aca="false">IF(COUNT(B321:B380)&lt;60,"",(B380-AVERAGE(B321:B380))/STDEV(B321:B380))</f>
        <v>0.873676065753609</v>
      </c>
      <c r="N380" s="10" t="n">
        <f aca="false">(H380-AVERAGE(H321:H380))/STDEV(H321:H380)</f>
        <v>-0.518501003364749</v>
      </c>
      <c r="O380" s="10" t="n">
        <f aca="false">IF(COUNT(B380)=0,"",B380-('Signal Analysis'!$C$6+'Signal Analysis'!$C$5*H380))</f>
        <v>0.414902942613089</v>
      </c>
    </row>
    <row r="381" customFormat="false" ht="15" hidden="false" customHeight="false" outlineLevel="0" collapsed="false">
      <c r="A381" s="8" t="n">
        <v>42877</v>
      </c>
      <c r="B381" s="9" t="n">
        <v>15.2818941</v>
      </c>
      <c r="C381" s="9" t="n">
        <v>136.259995</v>
      </c>
      <c r="D381" s="9" t="n">
        <v>137.199997</v>
      </c>
      <c r="E381" s="9" t="n">
        <v>136.160004</v>
      </c>
      <c r="F381" s="9" t="n">
        <v>136.949997</v>
      </c>
      <c r="G381" s="9" t="n">
        <v>130.686554</v>
      </c>
      <c r="H381" s="9" t="n">
        <v>130.686554</v>
      </c>
      <c r="I381" s="2" t="str">
        <f aca="false">IF(COUNT(C381:F381)&lt;4,"",IF(OR(D381&lt;MAX(C381,F381)-0.000001,E381&gt;MIN(C381,F381)+0.000001),"FAIL","OK"))</f>
        <v>OK</v>
      </c>
      <c r="J381" s="10" t="n">
        <f aca="false">IF(COUNT(F381,G381)&lt;2,"",G381/F381)</f>
        <v>0.954264745255891</v>
      </c>
      <c r="K381" s="10" t="n">
        <f aca="false">H381/H380-1</f>
        <v>0.00676313995740197</v>
      </c>
      <c r="L381" s="10" t="n">
        <f aca="false">H386/H381-1</f>
        <v>-0.00357772078067031</v>
      </c>
      <c r="M381" s="10" t="n">
        <f aca="false">IF(COUNT(B322:B381)&lt;60,"",(B381-AVERAGE(B322:B381))/STDEV(B322:B381))</f>
        <v>-0.6959485902525</v>
      </c>
      <c r="N381" s="10" t="n">
        <f aca="false">(H381-AVERAGE(H322:H381))/STDEV(H322:H381)</f>
        <v>-0.0191071607025802</v>
      </c>
      <c r="O381" s="10" t="n">
        <f aca="false">IF(COUNT(B381)=0,"",B381-('Signal Analysis'!$C$6+'Signal Analysis'!$C$5*H381))</f>
        <v>-0.797286947979538</v>
      </c>
    </row>
    <row r="382" customFormat="false" ht="15" hidden="false" customHeight="false" outlineLevel="0" collapsed="false">
      <c r="A382" s="8" t="n">
        <v>42878</v>
      </c>
      <c r="B382" s="9" t="n">
        <v>16.0649439408</v>
      </c>
      <c r="C382" s="9" t="n">
        <v>137.289993</v>
      </c>
      <c r="D382" s="9" t="n">
        <v>137.690002</v>
      </c>
      <c r="E382" s="9" t="n">
        <v>136.350006</v>
      </c>
      <c r="F382" s="9" t="n">
        <v>137.399994</v>
      </c>
      <c r="G382" s="9" t="n">
        <v>131.115967</v>
      </c>
      <c r="H382" s="9" t="n">
        <v>131.115967</v>
      </c>
      <c r="I382" s="2" t="str">
        <f aca="false">IF(COUNT(C382:F382)&lt;4,"",IF(OR(D382&lt;MAX(C382,F382)-0.000001,E382&gt;MIN(C382,F382)+0.000001),"FAIL","OK"))</f>
        <v>OK</v>
      </c>
      <c r="J382" s="10" t="n">
        <f aca="false">IF(COUNT(F382,G382)&lt;2,"",G382/F382)</f>
        <v>0.954264721438052</v>
      </c>
      <c r="K382" s="10" t="n">
        <f aca="false">H382/H381-1</f>
        <v>0.00328582388055021</v>
      </c>
      <c r="L382" s="10" t="n">
        <f aca="false">H387/H382-1</f>
        <v>-0.00786017159908536</v>
      </c>
      <c r="M382" s="10" t="n">
        <f aca="false">IF(COUNT(B323:B382)&lt;60,"",(B382-AVERAGE(B323:B382))/STDEV(B323:B382))</f>
        <v>0.419220815486448</v>
      </c>
      <c r="N382" s="10" t="n">
        <f aca="false">(H382-AVERAGE(H323:H382))/STDEV(H323:H382)</f>
        <v>0.243947131020298</v>
      </c>
      <c r="O382" s="10" t="n">
        <f aca="false">IF(COUNT(B382)=0,"",B382-('Signal Analysis'!$C$6+'Signal Analysis'!$C$5*H382))</f>
        <v>-0.072977553945659</v>
      </c>
    </row>
    <row r="383" customFormat="false" ht="15" hidden="false" customHeight="false" outlineLevel="0" collapsed="false">
      <c r="A383" s="8" t="n">
        <v>42879</v>
      </c>
      <c r="B383" s="9" t="n">
        <v>15.1574909016</v>
      </c>
      <c r="C383" s="9" t="n">
        <v>137.509995</v>
      </c>
      <c r="D383" s="9" t="n">
        <v>138.029999</v>
      </c>
      <c r="E383" s="9" t="n">
        <v>136.830002</v>
      </c>
      <c r="F383" s="9" t="n">
        <v>137.490005</v>
      </c>
      <c r="G383" s="9" t="n">
        <v>131.201859</v>
      </c>
      <c r="H383" s="9" t="n">
        <v>131.201859</v>
      </c>
      <c r="I383" s="2" t="str">
        <f aca="false">IF(COUNT(C383:F383)&lt;4,"",IF(OR(D383&lt;MAX(C383,F383)-0.000001,E383&gt;MIN(C383,F383)+0.000001),"FAIL","OK"))</f>
        <v>OK</v>
      </c>
      <c r="J383" s="10" t="n">
        <f aca="false">IF(COUNT(F383,G383)&lt;2,"",G383/F383)</f>
        <v>0.954264704550705</v>
      </c>
      <c r="K383" s="10" t="n">
        <f aca="false">H383/H382-1</f>
        <v>0.000655084212588752</v>
      </c>
      <c r="L383" s="10" t="n">
        <f aca="false">H388/H383-1</f>
        <v>0.0106190111223956</v>
      </c>
      <c r="M383" s="10" t="n">
        <f aca="false">IF(COUNT(B324:B383)&lt;60,"",(B383-AVERAGE(B324:B383))/STDEV(B324:B383))</f>
        <v>-0.889514249331568</v>
      </c>
      <c r="N383" s="10" t="n">
        <f aca="false">(H383-AVERAGE(H324:H383))/STDEV(H324:H383)</f>
        <v>0.29221391541934</v>
      </c>
      <c r="O383" s="10" t="n">
        <f aca="false">IF(COUNT(B383)=0,"",B383-('Signal Analysis'!$C$6+'Signal Analysis'!$C$5*H383))</f>
        <v>-0.992179968347703</v>
      </c>
    </row>
    <row r="384" customFormat="false" ht="15" hidden="false" customHeight="false" outlineLevel="0" collapsed="false">
      <c r="A384" s="8" t="n">
        <v>42880</v>
      </c>
      <c r="B384" s="9" t="n">
        <v>15.1419374172</v>
      </c>
      <c r="C384" s="9" t="n">
        <v>138.139999</v>
      </c>
      <c r="D384" s="9" t="n">
        <v>138.610001</v>
      </c>
      <c r="E384" s="9" t="n">
        <v>137.199997</v>
      </c>
      <c r="F384" s="9" t="n">
        <v>137.580002</v>
      </c>
      <c r="G384" s="9" t="n">
        <v>131.28775</v>
      </c>
      <c r="H384" s="9" t="n">
        <v>131.28775</v>
      </c>
      <c r="I384" s="2" t="str">
        <f aca="false">IF(COUNT(C384:F384)&lt;4,"",IF(OR(D384&lt;MAX(C384,F384)-0.000001,E384&gt;MIN(C384,F384)+0.000001),"FAIL","OK"))</f>
        <v>OK</v>
      </c>
      <c r="J384" s="10" t="n">
        <f aca="false">IF(COUNT(F384,G384)&lt;2,"",G384/F384)</f>
        <v>0.954264777521954</v>
      </c>
      <c r="K384" s="10" t="n">
        <f aca="false">H384/H383-1</f>
        <v>0.000654647736355374</v>
      </c>
      <c r="L384" s="10" t="n">
        <f aca="false">H389/H384-1</f>
        <v>0.0164993916035578</v>
      </c>
      <c r="M384" s="10" t="n">
        <f aca="false">IF(COUNT(B325:B384)&lt;60,"",(B384-AVERAGE(B325:B384))/STDEV(B325:B384))</f>
        <v>-0.891899056123648</v>
      </c>
      <c r="N384" s="10" t="n">
        <f aca="false">(H384-AVERAGE(H325:H384))/STDEV(H325:H384)</f>
        <v>0.370484481564425</v>
      </c>
      <c r="O384" s="10" t="n">
        <f aca="false">IF(COUNT(B384)=0,"",B384-('Signal Analysis'!$C$6+'Signal Analysis'!$C$5*H384))</f>
        <v>-1.01948269115732</v>
      </c>
    </row>
    <row r="385" customFormat="false" ht="15" hidden="false" customHeight="false" outlineLevel="0" collapsed="false">
      <c r="A385" s="8" t="n">
        <v>42881</v>
      </c>
      <c r="B385" s="9" t="n">
        <v>15.7522970484</v>
      </c>
      <c r="C385" s="9" t="n">
        <v>137.380005</v>
      </c>
      <c r="D385" s="9" t="n">
        <v>137.789993</v>
      </c>
      <c r="E385" s="9" t="n">
        <v>136.779999</v>
      </c>
      <c r="F385" s="9" t="n">
        <v>137.539993</v>
      </c>
      <c r="G385" s="9" t="n">
        <v>131.249542</v>
      </c>
      <c r="H385" s="9" t="n">
        <v>131.249542</v>
      </c>
      <c r="I385" s="2" t="str">
        <f aca="false">IF(COUNT(C385:F385)&lt;4,"",IF(OR(D385&lt;MAX(C385,F385)-0.000001,E385&gt;MIN(C385,F385)+0.000001),"FAIL","OK"))</f>
        <v>OK</v>
      </c>
      <c r="J385" s="10" t="n">
        <f aca="false">IF(COUNT(F385,G385)&lt;2,"",G385/F385)</f>
        <v>0.954264567979148</v>
      </c>
      <c r="K385" s="10" t="n">
        <f aca="false">H385/H384-1</f>
        <v>-0.000291024867133394</v>
      </c>
      <c r="L385" s="10" t="n">
        <f aca="false">H390/H385-1</f>
        <v>0.0104699489160884</v>
      </c>
      <c r="M385" s="10" t="n">
        <f aca="false">IF(COUNT(B326:B385)&lt;60,"",(B385-AVERAGE(B326:B385))/STDEV(B326:B385))</f>
        <v>-0.0181343625432001</v>
      </c>
      <c r="N385" s="10" t="n">
        <f aca="false">(H385-AVERAGE(H326:H385))/STDEV(H326:H385)</f>
        <v>0.357387773058701</v>
      </c>
      <c r="O385" s="10" t="n">
        <f aca="false">IF(COUNT(B385)=0,"",B385-('Signal Analysis'!$C$6+'Signal Analysis'!$C$5*H385))</f>
        <v>-0.40389649487885</v>
      </c>
    </row>
    <row r="386" customFormat="false" ht="15" hidden="false" customHeight="false" outlineLevel="0" collapsed="false">
      <c r="A386" s="8" t="n">
        <v>42885</v>
      </c>
      <c r="B386" s="9" t="n">
        <v>15.8543254584</v>
      </c>
      <c r="C386" s="9" t="n">
        <v>137.119995</v>
      </c>
      <c r="D386" s="9" t="n">
        <v>137.440002</v>
      </c>
      <c r="E386" s="9" t="n">
        <v>136.220001</v>
      </c>
      <c r="F386" s="9" t="n">
        <v>136.460007</v>
      </c>
      <c r="G386" s="9" t="n">
        <v>130.218994</v>
      </c>
      <c r="H386" s="9" t="n">
        <v>130.218994</v>
      </c>
      <c r="I386" s="2" t="str">
        <f aca="false">IF(COUNT(C386:F386)&lt;4,"",IF(OR(D386&lt;MAX(C386,F386)-0.000001,E386&gt;MIN(C386,F386)+0.000001),"FAIL","OK"))</f>
        <v>OK</v>
      </c>
      <c r="J386" s="10" t="n">
        <f aca="false">IF(COUNT(F386,G386)&lt;2,"",G386/F386)</f>
        <v>0.954264893156572</v>
      </c>
      <c r="K386" s="10" t="n">
        <f aca="false">H386/H385-1</f>
        <v>-0.00785182168483289</v>
      </c>
      <c r="L386" s="10" t="n">
        <f aca="false">H391/H386-1</f>
        <v>0.0175141116510238</v>
      </c>
      <c r="M386" s="10" t="n">
        <f aca="false">IF(COUNT(B327:B386)&lt;60,"",(B386-AVERAGE(B327:B386))/STDEV(B327:B386))</f>
        <v>0.136478165533723</v>
      </c>
      <c r="N386" s="10" t="n">
        <f aca="false">(H386-AVERAGE(H327:H386))/STDEV(H327:H386)</f>
        <v>-0.227184220401751</v>
      </c>
      <c r="O386" s="10" t="n">
        <f aca="false">IF(COUNT(B386)=0,"",B386-('Signal Analysis'!$C$6+'Signal Analysis'!$C$5*H386))</f>
        <v>-0.160896922073045</v>
      </c>
    </row>
    <row r="387" customFormat="false" ht="15" hidden="false" customHeight="false" outlineLevel="0" collapsed="false">
      <c r="A387" s="8" t="n">
        <v>42886</v>
      </c>
      <c r="B387" s="9" t="n">
        <v>16.3922915448</v>
      </c>
      <c r="C387" s="9" t="n">
        <v>136.839996</v>
      </c>
      <c r="D387" s="9" t="n">
        <v>136.919998</v>
      </c>
      <c r="E387" s="9" t="n">
        <v>134.639999</v>
      </c>
      <c r="F387" s="9" t="n">
        <v>136.320007</v>
      </c>
      <c r="G387" s="9" t="n">
        <v>130.085373</v>
      </c>
      <c r="H387" s="9" t="n">
        <v>130.085373</v>
      </c>
      <c r="I387" s="2" t="str">
        <f aca="false">IF(COUNT(C387:F387)&lt;4,"",IF(OR(D387&lt;MAX(C387,F387)-0.000001,E387&gt;MIN(C387,F387)+0.000001),"FAIL","OK"))</f>
        <v>OK</v>
      </c>
      <c r="J387" s="10" t="n">
        <f aca="false">IF(COUNT(F387,G387)&lt;2,"",G387/F387)</f>
        <v>0.954264717724083</v>
      </c>
      <c r="K387" s="10" t="n">
        <f aca="false">H387/H386-1</f>
        <v>-0.001026125267102</v>
      </c>
      <c r="L387" s="10" t="n">
        <f aca="false">H392/H387-1</f>
        <v>0.0195129163368735</v>
      </c>
      <c r="M387" s="10" t="n">
        <f aca="false">IF(COUNT(B328:B387)&lt;60,"",(B387-AVERAGE(B328:B387))/STDEV(B328:B387))</f>
        <v>0.888577101369531</v>
      </c>
      <c r="N387" s="10" t="n">
        <f aca="false">(H387-AVERAGE(H328:H387))/STDEV(H328:H387)</f>
        <v>-0.296116594586211</v>
      </c>
      <c r="O387" s="10" t="n">
        <f aca="false">IF(COUNT(B387)=0,"",B387-('Signal Analysis'!$C$6+'Signal Analysis'!$C$5*H387))</f>
        <v>0.395347505311825</v>
      </c>
    </row>
    <row r="388" customFormat="false" ht="15" hidden="false" customHeight="false" outlineLevel="0" collapsed="false">
      <c r="A388" s="8" t="n">
        <v>42887</v>
      </c>
      <c r="B388" s="9" t="n">
        <v>16.2179588736</v>
      </c>
      <c r="C388" s="9" t="n">
        <v>136.720001</v>
      </c>
      <c r="D388" s="9" t="n">
        <v>139</v>
      </c>
      <c r="E388" s="9" t="n">
        <v>136.270004</v>
      </c>
      <c r="F388" s="9" t="n">
        <v>138.949997</v>
      </c>
      <c r="G388" s="9" t="n">
        <v>132.595093</v>
      </c>
      <c r="H388" s="9" t="n">
        <v>132.595093</v>
      </c>
      <c r="I388" s="2" t="str">
        <f aca="false">IF(COUNT(C388:F388)&lt;4,"",IF(OR(D388&lt;MAX(C388,F388)-0.000001,E388&gt;MIN(C388,F388)+0.000001),"FAIL","OK"))</f>
        <v>OK</v>
      </c>
      <c r="J388" s="10" t="n">
        <f aca="false">IF(COUNT(F388,G388)&lt;2,"",G388/F388)</f>
        <v>0.954264813694095</v>
      </c>
      <c r="K388" s="10" t="n">
        <f aca="false">H388/H387-1</f>
        <v>0.0192928685379561</v>
      </c>
      <c r="L388" s="10" t="n">
        <f aca="false">H393/H388-1</f>
        <v>0.0138899257757601</v>
      </c>
      <c r="M388" s="10" t="n">
        <f aca="false">IF(COUNT(B329:B388)&lt;60,"",(B388-AVERAGE(B329:B388))/STDEV(B329:B388))</f>
        <v>0.614700273881722</v>
      </c>
      <c r="N388" s="10" t="n">
        <f aca="false">(H388-AVERAGE(H329:H388))/STDEV(H329:H388)</f>
        <v>1.13576093451419</v>
      </c>
      <c r="O388" s="10" t="n">
        <f aca="false">IF(COUNT(B388)=0,"",B388-('Signal Analysis'!$C$6+'Signal Analysis'!$C$5*H388))</f>
        <v>-0.122295857594906</v>
      </c>
    </row>
    <row r="389" customFormat="false" ht="15" hidden="false" customHeight="false" outlineLevel="0" collapsed="false">
      <c r="A389" s="8" t="n">
        <v>42888</v>
      </c>
      <c r="B389" s="9" t="n">
        <v>16.0739946216</v>
      </c>
      <c r="C389" s="9" t="n">
        <v>139.449997</v>
      </c>
      <c r="D389" s="9" t="n">
        <v>141.020004</v>
      </c>
      <c r="E389" s="9" t="n">
        <v>139.050003</v>
      </c>
      <c r="F389" s="9" t="n">
        <v>139.850006</v>
      </c>
      <c r="G389" s="9" t="n">
        <v>133.453918</v>
      </c>
      <c r="H389" s="9" t="n">
        <v>133.453918</v>
      </c>
      <c r="I389" s="2" t="str">
        <f aca="false">IF(COUNT(C389:F389)&lt;4,"",IF(OR(D389&lt;MAX(C389,F389)-0.000001,E389&gt;MIN(C389,F389)+0.000001),"FAIL","OK"))</f>
        <v>OK</v>
      </c>
      <c r="J389" s="10" t="n">
        <f aca="false">IF(COUNT(F389,G389)&lt;2,"",G389/F389)</f>
        <v>0.954264656949675</v>
      </c>
      <c r="K389" s="10" t="n">
        <f aca="false">H389/H388-1</f>
        <v>0.00647704964466511</v>
      </c>
      <c r="L389" s="10" t="n">
        <f aca="false">H394/H389-1</f>
        <v>0.0125847935015293</v>
      </c>
      <c r="M389" s="10" t="n">
        <f aca="false">IF(COUNT(B330:B389)&lt;60,"",(B389-AVERAGE(B330:B389))/STDEV(B330:B389))</f>
        <v>0.394219078624456</v>
      </c>
      <c r="N389" s="10" t="n">
        <f aca="false">(H389-AVERAGE(H330:H389))/STDEV(H330:H389)</f>
        <v>1.56657957626141</v>
      </c>
      <c r="O389" s="10" t="n">
        <f aca="false">IF(COUNT(B389)=0,"",B389-('Signal Analysis'!$C$6+'Signal Analysis'!$C$5*H389))</f>
        <v>-0.383740866334712</v>
      </c>
    </row>
    <row r="390" customFormat="false" ht="15" hidden="false" customHeight="false" outlineLevel="0" collapsed="false">
      <c r="A390" s="8" t="n">
        <v>42891</v>
      </c>
      <c r="B390" s="9" t="n">
        <v>15.325798506</v>
      </c>
      <c r="C390" s="9" t="n">
        <v>139.960007</v>
      </c>
      <c r="D390" s="9" t="n">
        <v>140.110001</v>
      </c>
      <c r="E390" s="9" t="n">
        <v>138.949997</v>
      </c>
      <c r="F390" s="9" t="n">
        <v>138.979996</v>
      </c>
      <c r="G390" s="9" t="n">
        <v>132.623718</v>
      </c>
      <c r="H390" s="9" t="n">
        <v>132.623718</v>
      </c>
      <c r="I390" s="2" t="str">
        <f aca="false">IF(COUNT(C390:F390)&lt;4,"",IF(OR(D390&lt;MAX(C390,F390)-0.000001,E390&gt;MIN(C390,F390)+0.000001),"FAIL","OK"))</f>
        <v>OK</v>
      </c>
      <c r="J390" s="10" t="n">
        <f aca="false">IF(COUNT(F390,G390)&lt;2,"",G390/F390)</f>
        <v>0.954264799374437</v>
      </c>
      <c r="K390" s="10" t="n">
        <f aca="false">H390/H389-1</f>
        <v>-0.00622087393492632</v>
      </c>
      <c r="L390" s="10" t="n">
        <f aca="false">H395/H390-1</f>
        <v>0.0172688040611257</v>
      </c>
      <c r="M390" s="10" t="n">
        <f aca="false">IF(COUNT(B331:B390)&lt;60,"",(B390-AVERAGE(B331:B390))/STDEV(B331:B390))</f>
        <v>-0.71330256278867</v>
      </c>
      <c r="N390" s="10" t="n">
        <f aca="false">(H390-AVERAGE(H331:H390))/STDEV(H331:H390)</f>
        <v>1.05832122696088</v>
      </c>
      <c r="O390" s="10" t="n">
        <f aca="false">IF(COUNT(B390)=0,"",B390-('Signal Analysis'!$C$6+'Signal Analysis'!$C$5*H390))</f>
        <v>-1.0183719084385</v>
      </c>
    </row>
    <row r="391" customFormat="false" ht="15" hidden="false" customHeight="false" outlineLevel="0" collapsed="false">
      <c r="A391" s="8" t="n">
        <v>42892</v>
      </c>
      <c r="B391" s="9" t="n">
        <v>16.7024892288</v>
      </c>
      <c r="C391" s="9" t="n">
        <v>138.110001</v>
      </c>
      <c r="D391" s="9" t="n">
        <v>139.660004</v>
      </c>
      <c r="E391" s="9" t="n">
        <v>137.809998</v>
      </c>
      <c r="F391" s="9" t="n">
        <v>138.850006</v>
      </c>
      <c r="G391" s="9" t="n">
        <v>132.499664</v>
      </c>
      <c r="H391" s="9" t="n">
        <v>132.499664</v>
      </c>
      <c r="I391" s="2" t="str">
        <f aca="false">IF(COUNT(C391:F391)&lt;4,"",IF(OR(D391&lt;MAX(C391,F391)-0.000001,E391&gt;MIN(C391,F391)+0.000001),"FAIL","OK"))</f>
        <v>OK</v>
      </c>
      <c r="J391" s="10" t="n">
        <f aca="false">IF(COUNT(F391,G391)&lt;2,"",G391/F391)</f>
        <v>0.9542647337012</v>
      </c>
      <c r="K391" s="10" t="n">
        <f aca="false">H391/H390-1</f>
        <v>-0.000935383217050223</v>
      </c>
      <c r="L391" s="10" t="n">
        <f aca="false">H396/H391-1</f>
        <v>0.0234063536946025</v>
      </c>
      <c r="M391" s="10" t="n">
        <f aca="false">IF(COUNT(B332:B391)&lt;60,"",(B391-AVERAGE(B332:B391))/STDEV(B332:B391))</f>
        <v>1.26380068967755</v>
      </c>
      <c r="N391" s="10" t="n">
        <f aca="false">(H391-AVERAGE(H332:H391))/STDEV(H332:H391)</f>
        <v>0.955629625232197</v>
      </c>
      <c r="O391" s="10" t="n">
        <f aca="false">IF(COUNT(B391)=0,"",B391-('Signal Analysis'!$C$6+'Signal Analysis'!$C$5*H391))</f>
        <v>0.375288462190341</v>
      </c>
    </row>
    <row r="392" customFormat="false" ht="15" hidden="false" customHeight="false" outlineLevel="0" collapsed="false">
      <c r="A392" s="8" t="n">
        <v>42893</v>
      </c>
      <c r="B392" s="9" t="n">
        <v>16.3515732852</v>
      </c>
      <c r="C392" s="9" t="n">
        <v>138.860001</v>
      </c>
      <c r="D392" s="9" t="n">
        <v>139.529999</v>
      </c>
      <c r="E392" s="9" t="n">
        <v>138.490005</v>
      </c>
      <c r="F392" s="9" t="n">
        <v>138.979996</v>
      </c>
      <c r="G392" s="9" t="n">
        <v>132.623718</v>
      </c>
      <c r="H392" s="9" t="n">
        <v>132.623718</v>
      </c>
      <c r="I392" s="2" t="str">
        <f aca="false">IF(COUNT(C392:F392)&lt;4,"",IF(OR(D392&lt;MAX(C392,F392)-0.000001,E392&gt;MIN(C392,F392)+0.000001),"FAIL","OK"))</f>
        <v>OK</v>
      </c>
      <c r="J392" s="10" t="n">
        <f aca="false">IF(COUNT(F392,G392)&lt;2,"",G392/F392)</f>
        <v>0.954264799374437</v>
      </c>
      <c r="K392" s="10" t="n">
        <f aca="false">H392/H391-1</f>
        <v>0.000936258977985105</v>
      </c>
      <c r="L392" s="10" t="n">
        <f aca="false">H397/H392-1</f>
        <v>0.0164053310585064</v>
      </c>
      <c r="M392" s="10" t="n">
        <f aca="false">IF(COUNT(B333:B392)&lt;60,"",(B392-AVERAGE(B333:B392))/STDEV(B333:B392))</f>
        <v>0.725533299821219</v>
      </c>
      <c r="N392" s="10" t="n">
        <f aca="false">(H392-AVERAGE(H333:H392))/STDEV(H333:H392)</f>
        <v>0.993256103323091</v>
      </c>
      <c r="O392" s="10" t="n">
        <f aca="false">IF(COUNT(B392)=0,"",B392-('Signal Analysis'!$C$6+'Signal Analysis'!$C$5*H392))</f>
        <v>0.00740287076150281</v>
      </c>
    </row>
    <row r="393" customFormat="false" ht="15" hidden="false" customHeight="false" outlineLevel="0" collapsed="false">
      <c r="A393" s="8" t="n">
        <v>42894</v>
      </c>
      <c r="B393" s="9" t="n">
        <v>16.1093985624</v>
      </c>
      <c r="C393" s="9" t="n">
        <v>138.979996</v>
      </c>
      <c r="D393" s="9" t="n">
        <v>141.460007</v>
      </c>
      <c r="E393" s="9" t="n">
        <v>138.740005</v>
      </c>
      <c r="F393" s="9" t="n">
        <v>140.880005</v>
      </c>
      <c r="G393" s="9" t="n">
        <v>134.436829</v>
      </c>
      <c r="H393" s="9" t="n">
        <v>134.436829</v>
      </c>
      <c r="I393" s="2" t="str">
        <f aca="false">IF(COUNT(C393:F393)&lt;4,"",IF(OR(D393&lt;MAX(C393,F393)-0.000001,E393&gt;MIN(C393,F393)+0.000001),"FAIL","OK"))</f>
        <v>OK</v>
      </c>
      <c r="J393" s="10" t="n">
        <f aca="false">IF(COUNT(F393,G393)&lt;2,"",G393/F393)</f>
        <v>0.9542647943546</v>
      </c>
      <c r="K393" s="10" t="n">
        <f aca="false">H393/H392-1</f>
        <v>0.0136710916217866</v>
      </c>
      <c r="L393" s="10" t="n">
        <f aca="false">H398/H393-1</f>
        <v>-0.00241361688172514</v>
      </c>
      <c r="M393" s="10" t="n">
        <f aca="false">IF(COUNT(B334:B393)&lt;60,"",(B393-AVERAGE(B334:B393))/STDEV(B334:B393))</f>
        <v>0.379250609881474</v>
      </c>
      <c r="N393" s="10" t="n">
        <f aca="false">(H393-AVERAGE(H334:H393))/STDEV(H334:H393)</f>
        <v>1.92109950108524</v>
      </c>
      <c r="O393" s="10" t="n">
        <f aca="false">IF(COUNT(B393)=0,"",B393-('Signal Analysis'!$C$6+'Signal Analysis'!$C$5*H393))</f>
        <v>-0.482791707461047</v>
      </c>
    </row>
    <row r="394" customFormat="false" ht="15" hidden="false" customHeight="false" outlineLevel="0" collapsed="false">
      <c r="A394" s="8" t="n">
        <v>42895</v>
      </c>
      <c r="B394" s="9" t="n">
        <v>16.0141751352</v>
      </c>
      <c r="C394" s="9" t="n">
        <v>141.460007</v>
      </c>
      <c r="D394" s="9" t="n">
        <v>142.899994</v>
      </c>
      <c r="E394" s="9" t="n">
        <v>140.699997</v>
      </c>
      <c r="F394" s="9" t="n">
        <v>141.610001</v>
      </c>
      <c r="G394" s="9" t="n">
        <v>135.133408</v>
      </c>
      <c r="H394" s="9" t="n">
        <v>135.133408</v>
      </c>
      <c r="I394" s="2" t="str">
        <f aca="false">IF(COUNT(C394:F394)&lt;4,"",IF(OR(D394&lt;MAX(C394,F394)-0.000001,E394&gt;MIN(C394,F394)+0.000001),"FAIL","OK"))</f>
        <v>OK</v>
      </c>
      <c r="J394" s="10" t="n">
        <f aca="false">IF(COUNT(F394,G394)&lt;2,"",G394/F394)</f>
        <v>0.954264579095653</v>
      </c>
      <c r="K394" s="10" t="n">
        <f aca="false">H394/H393-1</f>
        <v>0.0051814596132731</v>
      </c>
      <c r="L394" s="10" t="n">
        <f aca="false">H399/H394-1</f>
        <v>-0.0100273279572732</v>
      </c>
      <c r="M394" s="10" t="n">
        <f aca="false">IF(COUNT(B335:B394)&lt;60,"",(B394-AVERAGE(B335:B394))/STDEV(B335:B394))</f>
        <v>0.218325170959554</v>
      </c>
      <c r="N394" s="10" t="n">
        <f aca="false">(H394-AVERAGE(H335:H394))/STDEV(H335:H394)</f>
        <v>2.1737479329028</v>
      </c>
      <c r="O394" s="10" t="n">
        <f aca="false">IF(COUNT(B394)=0,"",B394-('Signal Analysis'!$C$6+'Signal Analysis'!$C$5*H394))</f>
        <v>-0.673301867172398</v>
      </c>
    </row>
    <row r="395" customFormat="false" ht="15" hidden="false" customHeight="false" outlineLevel="0" collapsed="false">
      <c r="A395" s="8" t="n">
        <v>42898</v>
      </c>
      <c r="B395" s="9" t="n">
        <v>16.57628646</v>
      </c>
      <c r="C395" s="9" t="n">
        <v>141.660004</v>
      </c>
      <c r="D395" s="9" t="n">
        <v>141.990005</v>
      </c>
      <c r="E395" s="9" t="n">
        <v>140.889999</v>
      </c>
      <c r="F395" s="9" t="n">
        <v>141.380005</v>
      </c>
      <c r="G395" s="9" t="n">
        <v>134.913971</v>
      </c>
      <c r="H395" s="9" t="n">
        <v>134.913971</v>
      </c>
      <c r="I395" s="2" t="str">
        <f aca="false">IF(COUNT(C395:F395)&lt;4,"",IF(OR(D395&lt;MAX(C395,F395)-0.000001,E395&gt;MIN(C395,F395)+0.000001),"FAIL","OK"))</f>
        <v>OK</v>
      </c>
      <c r="J395" s="10" t="n">
        <f aca="false">IF(COUNT(F395,G395)&lt;2,"",G395/F395)</f>
        <v>0.954264862276671</v>
      </c>
      <c r="K395" s="10" t="n">
        <f aca="false">H395/H394-1</f>
        <v>-0.00162385455416025</v>
      </c>
      <c r="L395" s="10" t="n">
        <f aca="false">H400/H395-1</f>
        <v>-0.00106110582127927</v>
      </c>
      <c r="M395" s="10" t="n">
        <f aca="false">IF(COUNT(B336:B395)&lt;60,"",(B395-AVERAGE(B336:B395))/STDEV(B336:B395))</f>
        <v>1.03205024922473</v>
      </c>
      <c r="N395" s="10" t="n">
        <f aca="false">(H395-AVERAGE(H336:H395))/STDEV(H336:H395)</f>
        <v>1.95733237032515</v>
      </c>
      <c r="O395" s="10" t="n">
        <f aca="false">IF(COUNT(B395)=0,"",B395-('Signal Analysis'!$C$6+'Signal Analysis'!$C$5*H395))</f>
        <v>-0.0811732224099941</v>
      </c>
    </row>
    <row r="396" customFormat="false" ht="15" hidden="false" customHeight="false" outlineLevel="0" collapsed="false">
      <c r="A396" s="8" t="n">
        <v>42899</v>
      </c>
      <c r="B396" s="9" t="n">
        <v>15.250735434</v>
      </c>
      <c r="C396" s="9" t="n">
        <v>141.800003</v>
      </c>
      <c r="D396" s="9" t="n">
        <v>142.309998</v>
      </c>
      <c r="E396" s="9" t="n">
        <v>141.470001</v>
      </c>
      <c r="F396" s="9" t="n">
        <v>142.100006</v>
      </c>
      <c r="G396" s="9" t="n">
        <v>135.600998</v>
      </c>
      <c r="H396" s="9" t="n">
        <v>135.600998</v>
      </c>
      <c r="I396" s="2" t="str">
        <f aca="false">IF(COUNT(C396:F396)&lt;4,"",IF(OR(D396&lt;MAX(C396,F396)-0.000001,E396&gt;MIN(C396,F396)+0.000001),"FAIL","OK"))</f>
        <v>OK</v>
      </c>
      <c r="J396" s="10" t="n">
        <f aca="false">IF(COUNT(F396,G396)&lt;2,"",G396/F396)</f>
        <v>0.954264548025424</v>
      </c>
      <c r="K396" s="10" t="n">
        <f aca="false">H396/H395-1</f>
        <v>0.00509233398815301</v>
      </c>
      <c r="L396" s="10" t="n">
        <f aca="false">H401/H396-1</f>
        <v>-0.0161857879541565</v>
      </c>
      <c r="M396" s="10" t="n">
        <f aca="false">IF(COUNT(B337:B396)&lt;60,"",(B396-AVERAGE(B337:B396))/STDEV(B337:B396))</f>
        <v>-0.952699134991866</v>
      </c>
      <c r="N396" s="10" t="n">
        <f aca="false">(H396-AVERAGE(H337:H396))/STDEV(H337:H396)</f>
        <v>2.18248406194259</v>
      </c>
      <c r="O396" s="10" t="n">
        <f aca="false">IF(COUNT(B396)=0,"",B396-('Signal Analysis'!$C$6+'Signal Analysis'!$C$5*H396))</f>
        <v>-1.50070433965173</v>
      </c>
    </row>
    <row r="397" customFormat="false" ht="15" hidden="false" customHeight="false" outlineLevel="0" collapsed="false">
      <c r="A397" s="8" t="n">
        <v>42900</v>
      </c>
      <c r="B397" s="9" t="n">
        <v>16.6576724868</v>
      </c>
      <c r="C397" s="9" t="n">
        <v>142.029999</v>
      </c>
      <c r="D397" s="9" t="n">
        <v>142.039993</v>
      </c>
      <c r="E397" s="9" t="n">
        <v>140.449997</v>
      </c>
      <c r="F397" s="9" t="n">
        <v>141.259995</v>
      </c>
      <c r="G397" s="9" t="n">
        <v>134.799454</v>
      </c>
      <c r="H397" s="9" t="n">
        <v>134.799454</v>
      </c>
      <c r="I397" s="2" t="str">
        <f aca="false">IF(COUNT(C397:F397)&lt;4,"",IF(OR(D397&lt;MAX(C397,F397)-0.000001,E397&gt;MIN(C397,F397)+0.000001),"FAIL","OK"))</f>
        <v>OK</v>
      </c>
      <c r="J397" s="10" t="n">
        <f aca="false">IF(COUNT(F397,G397)&lt;2,"",G397/F397)</f>
        <v>0.954264892901915</v>
      </c>
      <c r="K397" s="10" t="n">
        <f aca="false">H397/H396-1</f>
        <v>-0.00591104794081243</v>
      </c>
      <c r="L397" s="10" t="n">
        <f aca="false">H402/H397-1</f>
        <v>-0.0128132492287394</v>
      </c>
      <c r="M397" s="10" t="n">
        <f aca="false">IF(COUNT(B338:B397)&lt;60,"",(B397-AVERAGE(B338:B397))/STDEV(B338:B397))</f>
        <v>1.12167105608341</v>
      </c>
      <c r="N397" s="10" t="n">
        <f aca="false">(H397-AVERAGE(H338:H397))/STDEV(H338:H397)</f>
        <v>1.71471655324092</v>
      </c>
      <c r="O397" s="10" t="n">
        <f aca="false">IF(COUNT(B397)=0,"",B397-('Signal Analysis'!$C$6+'Signal Analysis'!$C$5*H397))</f>
        <v>0.0158778628356444</v>
      </c>
    </row>
    <row r="398" customFormat="false" ht="15" hidden="false" customHeight="false" outlineLevel="0" collapsed="false">
      <c r="A398" s="8" t="n">
        <v>42901</v>
      </c>
      <c r="B398" s="9" t="n">
        <v>16.6490923872</v>
      </c>
      <c r="C398" s="9" t="n">
        <v>139.690002</v>
      </c>
      <c r="D398" s="9" t="n">
        <v>140.979996</v>
      </c>
      <c r="E398" s="9" t="n">
        <v>139.690002</v>
      </c>
      <c r="F398" s="9" t="n">
        <v>140.539993</v>
      </c>
      <c r="G398" s="9" t="n">
        <v>134.11235</v>
      </c>
      <c r="H398" s="9" t="n">
        <v>134.11235</v>
      </c>
      <c r="I398" s="2" t="str">
        <f aca="false">IF(COUNT(C398:F398)&lt;4,"",IF(OR(D398&lt;MAX(C398,F398)-0.000001,E398&gt;MIN(C398,F398)+0.000001),"FAIL","OK"))</f>
        <v>OK</v>
      </c>
      <c r="J398" s="10" t="n">
        <f aca="false">IF(COUNT(F398,G398)&lt;2,"",G398/F398)</f>
        <v>0.954264669701528</v>
      </c>
      <c r="K398" s="10" t="n">
        <f aca="false">H398/H397-1</f>
        <v>-0.00509723132854834</v>
      </c>
      <c r="L398" s="10" t="n">
        <f aca="false">H403/H398-1</f>
        <v>-0.0039844354378995</v>
      </c>
      <c r="M398" s="10" t="n">
        <f aca="false">IF(COUNT(B339:B398)&lt;60,"",(B398-AVERAGE(B339:B398))/STDEV(B339:B398))</f>
        <v>1.08199595738094</v>
      </c>
      <c r="N398" s="10" t="n">
        <f aca="false">(H398-AVERAGE(H339:H398))/STDEV(H339:H398)</f>
        <v>1.35007098470881</v>
      </c>
      <c r="O398" s="10" t="n">
        <f aca="false">IF(COUNT(B398)=0,"",B398-('Signal Analysis'!$C$6+'Signal Analysis'!$C$5*H398))</f>
        <v>0.101288387494311</v>
      </c>
    </row>
    <row r="399" customFormat="false" ht="15" hidden="false" customHeight="false" outlineLevel="0" collapsed="false">
      <c r="A399" s="8" t="n">
        <v>42902</v>
      </c>
      <c r="B399" s="9" t="n">
        <v>16.447728246</v>
      </c>
      <c r="C399" s="9" t="n">
        <v>140.029999</v>
      </c>
      <c r="D399" s="9" t="n">
        <v>140.220001</v>
      </c>
      <c r="E399" s="9" t="n">
        <v>139.279999</v>
      </c>
      <c r="F399" s="9" t="n">
        <v>140.190002</v>
      </c>
      <c r="G399" s="9" t="n">
        <v>133.778381</v>
      </c>
      <c r="H399" s="9" t="n">
        <v>133.778381</v>
      </c>
      <c r="I399" s="2" t="str">
        <f aca="false">IF(COUNT(C399:F399)&lt;4,"",IF(OR(D399&lt;MAX(C399,F399)-0.000001,E399&gt;MIN(C399,F399)+0.000001),"FAIL","OK"))</f>
        <v>OK</v>
      </c>
      <c r="J399" s="10" t="n">
        <f aca="false">IF(COUNT(F399,G399)&lt;2,"",G399/F399)</f>
        <v>0.954264777027395</v>
      </c>
      <c r="K399" s="10" t="n">
        <f aca="false">H399/H398-1</f>
        <v>-0.00249021808953465</v>
      </c>
      <c r="L399" s="10" t="n">
        <f aca="false">H404/H399-1</f>
        <v>0.00513579245663021</v>
      </c>
      <c r="M399" s="10" t="n">
        <f aca="false">IF(COUNT(B340:B399)&lt;60,"",(B399-AVERAGE(B340:B399))/STDEV(B340:B399))</f>
        <v>1.05830777139816</v>
      </c>
      <c r="N399" s="10" t="n">
        <f aca="false">(H399-AVERAGE(H340:H399))/STDEV(H340:H399)</f>
        <v>1.1592823590467</v>
      </c>
      <c r="O399" s="10" t="n">
        <f aca="false">IF(COUNT(B399)=0,"",B399-('Signal Analysis'!$C$6+'Signal Analysis'!$C$5*H399))</f>
        <v>-0.054391323411231</v>
      </c>
    </row>
    <row r="400" customFormat="false" ht="15" hidden="false" customHeight="false" outlineLevel="0" collapsed="false">
      <c r="A400" s="8" t="n">
        <v>42905</v>
      </c>
      <c r="B400" s="9" t="n">
        <v>15.3881842176</v>
      </c>
      <c r="C400" s="9" t="n">
        <v>140.559998</v>
      </c>
      <c r="D400" s="9" t="n">
        <v>141.580002</v>
      </c>
      <c r="E400" s="9" t="n">
        <v>140.509995</v>
      </c>
      <c r="F400" s="9" t="n">
        <v>141.229996</v>
      </c>
      <c r="G400" s="9" t="n">
        <v>134.770813</v>
      </c>
      <c r="H400" s="9" t="n">
        <v>134.770813</v>
      </c>
      <c r="I400" s="2" t="str">
        <f aca="false">IF(COUNT(C400:F400)&lt;4,"",IF(OR(D400&lt;MAX(C400,F400)-0.000001,E400&gt;MIN(C400,F400)+0.000001),"FAIL","OK"))</f>
        <v>OK</v>
      </c>
      <c r="J400" s="10" t="n">
        <f aca="false">IF(COUNT(F400,G400)&lt;2,"",G400/F400)</f>
        <v>0.954264793719884</v>
      </c>
      <c r="K400" s="10" t="n">
        <f aca="false">H400/H399-1</f>
        <v>0.00741847817697838</v>
      </c>
      <c r="L400" s="10" t="n">
        <f aca="false">H405/H400-1</f>
        <v>-0.00106200294272907</v>
      </c>
      <c r="M400" s="10" t="n">
        <f aca="false">IF(COUNT(B341:B400)&lt;60,"",(B400-AVERAGE(B341:B400))/STDEV(B341:B400))</f>
        <v>-0.945330062349343</v>
      </c>
      <c r="N400" s="10" t="n">
        <f aca="false">(H400-AVERAGE(H341:H400))/STDEV(H341:H400)</f>
        <v>1.59338733023776</v>
      </c>
      <c r="O400" s="10" t="n">
        <f aca="false">IF(COUNT(B400)=0,"",B400-('Signal Analysis'!$C$6+'Signal Analysis'!$C$5*H400))</f>
        <v>-1.24969253444192</v>
      </c>
    </row>
    <row r="401" customFormat="false" ht="15" hidden="false" customHeight="false" outlineLevel="0" collapsed="false">
      <c r="A401" s="8" t="n">
        <v>42906</v>
      </c>
      <c r="B401" s="9" t="n">
        <v>16.2972112068</v>
      </c>
      <c r="C401" s="9" t="n">
        <v>140.880005</v>
      </c>
      <c r="D401" s="9" t="n">
        <v>140.970001</v>
      </c>
      <c r="E401" s="9" t="n">
        <v>139.699997</v>
      </c>
      <c r="F401" s="9" t="n">
        <v>139.800003</v>
      </c>
      <c r="G401" s="9" t="n">
        <v>133.406189</v>
      </c>
      <c r="H401" s="9" t="n">
        <v>133.406189</v>
      </c>
      <c r="I401" s="2" t="str">
        <f aca="false">IF(COUNT(C401:F401)&lt;4,"",IF(OR(D401&lt;MAX(C401,F401)-0.000001,E401&gt;MIN(C401,F401)+0.000001),"FAIL","OK"))</f>
        <v>OK</v>
      </c>
      <c r="J401" s="10" t="n">
        <f aca="false">IF(COUNT(F401,G401)&lt;2,"",G401/F401)</f>
        <v>0.954264564643822</v>
      </c>
      <c r="K401" s="10" t="n">
        <f aca="false">H401/H400-1</f>
        <v>-0.0101255158266352</v>
      </c>
      <c r="L401" s="10" t="n">
        <f aca="false">H406/H401-1</f>
        <v>0.000286291065551447</v>
      </c>
      <c r="M401" s="10" t="n">
        <f aca="false">IF(COUNT(B342:B401)&lt;60,"",(B401-AVERAGE(B342:B401))/STDEV(B342:B401))</f>
        <v>0.749196708731711</v>
      </c>
      <c r="N401" s="10" t="n">
        <f aca="false">(H401-AVERAGE(H342:H401))/STDEV(H342:H401)</f>
        <v>0.893238123888841</v>
      </c>
      <c r="O401" s="10" t="n">
        <f aca="false">IF(COUNT(B401)=0,"",B401-('Signal Analysis'!$C$6+'Signal Analysis'!$C$5*H401))</f>
        <v>-0.153995315351892</v>
      </c>
    </row>
    <row r="402" customFormat="false" ht="15" hidden="false" customHeight="false" outlineLevel="0" collapsed="false">
      <c r="A402" s="8" t="n">
        <v>42907</v>
      </c>
      <c r="B402" s="9" t="n">
        <v>15.347556204</v>
      </c>
      <c r="C402" s="9" t="n">
        <v>140.050003</v>
      </c>
      <c r="D402" s="9" t="n">
        <v>140.800003</v>
      </c>
      <c r="E402" s="9" t="n">
        <v>139.220001</v>
      </c>
      <c r="F402" s="9" t="n">
        <v>139.449997</v>
      </c>
      <c r="G402" s="9" t="n">
        <v>133.072235</v>
      </c>
      <c r="H402" s="9" t="n">
        <v>133.072235</v>
      </c>
      <c r="I402" s="2" t="str">
        <f aca="false">IF(COUNT(C402:F402)&lt;4,"",IF(OR(D402&lt;MAX(C402,F402)-0.000001,E402&gt;MIN(C402,F402)+0.000001),"FAIL","OK"))</f>
        <v>OK</v>
      </c>
      <c r="J402" s="10" t="n">
        <f aca="false">IF(COUNT(F402,G402)&lt;2,"",G402/F402)</f>
        <v>0.954264882486875</v>
      </c>
      <c r="K402" s="10" t="n">
        <f aca="false">H402/H401-1</f>
        <v>-0.0025032871600883</v>
      </c>
      <c r="L402" s="10" t="n">
        <f aca="false">H407/H402-1</f>
        <v>0.0181424847940668</v>
      </c>
      <c r="M402" s="10" t="n">
        <f aca="false">IF(COUNT(B343:B402)&lt;60,"",(B402-AVERAGE(B343:B402))/STDEV(B343:B402))</f>
        <v>-1.04176176386142</v>
      </c>
      <c r="N402" s="10" t="n">
        <f aca="false">(H402-AVERAGE(H343:H402))/STDEV(H343:H402)</f>
        <v>0.700108160048871</v>
      </c>
      <c r="O402" s="10" t="n">
        <f aca="false">IF(COUNT(B402)=0,"",B402-('Signal Analysis'!$C$6+'Signal Analysis'!$C$5*H402))</f>
        <v>-1.05796793974385</v>
      </c>
    </row>
    <row r="403" customFormat="false" ht="15" hidden="false" customHeight="false" outlineLevel="0" collapsed="false">
      <c r="A403" s="8" t="n">
        <v>42908</v>
      </c>
      <c r="B403" s="9" t="n">
        <v>16.3335923568</v>
      </c>
      <c r="C403" s="9" t="n">
        <v>139.369995</v>
      </c>
      <c r="D403" s="9" t="n">
        <v>140.389999</v>
      </c>
      <c r="E403" s="9" t="n">
        <v>139.009995</v>
      </c>
      <c r="F403" s="9" t="n">
        <v>139.979996</v>
      </c>
      <c r="G403" s="9" t="n">
        <v>133.577988</v>
      </c>
      <c r="H403" s="9" t="n">
        <v>133.577988</v>
      </c>
      <c r="I403" s="2" t="str">
        <f aca="false">IF(COUNT(C403:F403)&lt;4,"",IF(OR(D403&lt;MAX(C403,F403)-0.000001,E403&gt;MIN(C403,F403)+0.000001),"FAIL","OK"))</f>
        <v>OK</v>
      </c>
      <c r="J403" s="10" t="n">
        <f aca="false">IF(COUNT(F403,G403)&lt;2,"",G403/F403)</f>
        <v>0.954264836527071</v>
      </c>
      <c r="K403" s="10" t="n">
        <f aca="false">H403/H402-1</f>
        <v>0.00380058995777732</v>
      </c>
      <c r="L403" s="10" t="n">
        <f aca="false">H408/H403-1</f>
        <v>0.00828679198252336</v>
      </c>
      <c r="M403" s="10" t="n">
        <f aca="false">IF(COUNT(B344:B403)&lt;60,"",(B403-AVERAGE(B344:B403))/STDEV(B344:B403))</f>
        <v>0.827404673580736</v>
      </c>
      <c r="N403" s="10" t="n">
        <f aca="false">(H403-AVERAGE(H344:H403))/STDEV(H344:H403)</f>
        <v>0.925447369054225</v>
      </c>
      <c r="O403" s="10" t="n">
        <f aca="false">IF(COUNT(B403)=0,"",B403-('Signal Analysis'!$C$6+'Signal Analysis'!$C$5*H403))</f>
        <v>-0.141114967642395</v>
      </c>
    </row>
    <row r="404" customFormat="false" ht="15" hidden="false" customHeight="false" outlineLevel="0" collapsed="false">
      <c r="A404" s="8" t="n">
        <v>42909</v>
      </c>
      <c r="B404" s="9" t="n">
        <v>16.5835471104</v>
      </c>
      <c r="C404" s="9" t="n">
        <v>140.139999</v>
      </c>
      <c r="D404" s="9" t="n">
        <v>141.080002</v>
      </c>
      <c r="E404" s="9" t="n">
        <v>139.550003</v>
      </c>
      <c r="F404" s="9" t="n">
        <v>140.910004</v>
      </c>
      <c r="G404" s="9" t="n">
        <v>134.465439</v>
      </c>
      <c r="H404" s="9" t="n">
        <v>134.465439</v>
      </c>
      <c r="I404" s="2" t="str">
        <f aca="false">IF(COUNT(C404:F404)&lt;4,"",IF(OR(D404&lt;MAX(C404,F404)-0.000001,E404&gt;MIN(C404,F404)+0.000001),"FAIL","OK"))</f>
        <v>OK</v>
      </c>
      <c r="J404" s="10" t="n">
        <f aca="false">IF(COUNT(F404,G404)&lt;2,"",G404/F404)</f>
        <v>0.954264673784269</v>
      </c>
      <c r="K404" s="10" t="n">
        <f aca="false">H404/H403-1</f>
        <v>0.00664369192325309</v>
      </c>
      <c r="L404" s="10" t="n">
        <f aca="false">H409/H404-1</f>
        <v>7.06947455844098E-005</v>
      </c>
      <c r="M404" s="10" t="n">
        <f aca="false">IF(COUNT(B345:B404)&lt;60,"",(B404-AVERAGE(B345:B404))/STDEV(B345:B404))</f>
        <v>1.25815407645136</v>
      </c>
      <c r="N404" s="10" t="n">
        <f aca="false">(H404-AVERAGE(H345:H404))/STDEV(H345:H404)</f>
        <v>1.32801210927817</v>
      </c>
      <c r="O404" s="10" t="n">
        <f aca="false">IF(COUNT(B404)=0,"",B404-('Signal Analysis'!$C$6+'Signal Analysis'!$C$5*H404))</f>
        <v>-0.0125567908182234</v>
      </c>
    </row>
    <row r="405" customFormat="false" ht="15" hidden="false" customHeight="false" outlineLevel="0" collapsed="false">
      <c r="A405" s="8" t="n">
        <v>42912</v>
      </c>
      <c r="B405" s="9" t="n">
        <v>16.0005686148</v>
      </c>
      <c r="C405" s="9" t="n">
        <v>141.089996</v>
      </c>
      <c r="D405" s="9" t="n">
        <v>141.529999</v>
      </c>
      <c r="E405" s="9" t="n">
        <v>140.199997</v>
      </c>
      <c r="F405" s="9" t="n">
        <v>141.080002</v>
      </c>
      <c r="G405" s="9" t="n">
        <v>134.627686</v>
      </c>
      <c r="H405" s="9" t="n">
        <v>134.627686</v>
      </c>
      <c r="I405" s="2" t="str">
        <f aca="false">IF(COUNT(C405:F405)&lt;4,"",IF(OR(D405&lt;MAX(C405,F405)-0.000001,E405&gt;MIN(C405,F405)+0.000001),"FAIL","OK"))</f>
        <v>OK</v>
      </c>
      <c r="J405" s="10" t="n">
        <f aca="false">IF(COUNT(F405,G405)&lt;2,"",G405/F405)</f>
        <v>0.95426484329083</v>
      </c>
      <c r="K405" s="10" t="n">
        <f aca="false">H405/H404-1</f>
        <v>0.00120660744654244</v>
      </c>
      <c r="L405" s="10" t="n">
        <f aca="false">H410/H405-1</f>
        <v>0.00722965705583012</v>
      </c>
      <c r="M405" s="10" t="n">
        <f aca="false">IF(COUNT(B346:B405)&lt;60,"",(B405-AVERAGE(B346:B405))/STDEV(B346:B405))</f>
        <v>0.154756241068294</v>
      </c>
      <c r="N405" s="10" t="n">
        <f aca="false">(H405-AVERAGE(H346:H405))/STDEV(H346:H405)</f>
        <v>1.35926818218931</v>
      </c>
      <c r="O405" s="10" t="n">
        <f aca="false">IF(COUNT(B405)=0,"",B405-('Signal Analysis'!$C$6+'Signal Analysis'!$C$5*H405))</f>
        <v>-0.617729447439114</v>
      </c>
    </row>
    <row r="406" customFormat="false" ht="15" hidden="false" customHeight="false" outlineLevel="0" collapsed="false">
      <c r="A406" s="8" t="n">
        <v>42913</v>
      </c>
      <c r="B406" s="9" t="n">
        <v>15.33014373</v>
      </c>
      <c r="C406" s="9" t="n">
        <v>141.100006</v>
      </c>
      <c r="D406" s="9" t="n">
        <v>141.619995</v>
      </c>
      <c r="E406" s="9" t="n">
        <v>139.75</v>
      </c>
      <c r="F406" s="9" t="n">
        <v>139.839996</v>
      </c>
      <c r="G406" s="9" t="n">
        <v>133.444382</v>
      </c>
      <c r="H406" s="9" t="n">
        <v>133.444382</v>
      </c>
      <c r="I406" s="2" t="str">
        <f aca="false">IF(COUNT(C406:F406)&lt;4,"",IF(OR(D406&lt;MAX(C406,F406)-0.000001,E406&gt;MIN(C406,F406)+0.000001),"FAIL","OK"))</f>
        <v>OK</v>
      </c>
      <c r="J406" s="10" t="n">
        <f aca="false">IF(COUNT(F406,G406)&lt;2,"",G406/F406)</f>
        <v>0.954264772719244</v>
      </c>
      <c r="K406" s="10" t="n">
        <f aca="false">H406/H405-1</f>
        <v>-0.00878945509024065</v>
      </c>
      <c r="L406" s="10" t="n">
        <f aca="false">H411/H406-1</f>
        <v>0.0125145620592706</v>
      </c>
      <c r="M406" s="10" t="n">
        <f aca="false">IF(COUNT(B347:B406)&lt;60,"",(B406-AVERAGE(B347:B406))/STDEV(B347:B406))</f>
        <v>-1.09422249774704</v>
      </c>
      <c r="N406" s="10" t="n">
        <f aca="false">(H406-AVERAGE(H347:H406))/STDEV(H347:H406)</f>
        <v>0.749123563948698</v>
      </c>
      <c r="O406" s="10" t="n">
        <f aca="false">IF(COUNT(B406)=0,"",B406-('Signal Analysis'!$C$6+'Signal Analysis'!$C$5*H406))</f>
        <v>-1.12628730534394</v>
      </c>
    </row>
    <row r="407" customFormat="false" ht="15" hidden="false" customHeight="false" outlineLevel="0" collapsed="false">
      <c r="A407" s="8" t="n">
        <v>42914</v>
      </c>
      <c r="B407" s="9" t="n">
        <v>16.4348409576</v>
      </c>
      <c r="C407" s="9" t="n">
        <v>140.669998</v>
      </c>
      <c r="D407" s="9" t="n">
        <v>142.259995</v>
      </c>
      <c r="E407" s="9" t="n">
        <v>140.399994</v>
      </c>
      <c r="F407" s="9" t="n">
        <v>141.979996</v>
      </c>
      <c r="G407" s="9" t="n">
        <v>135.486496</v>
      </c>
      <c r="H407" s="9" t="n">
        <v>135.486496</v>
      </c>
      <c r="I407" s="2" t="str">
        <f aca="false">IF(COUNT(C407:F407)&lt;4,"",IF(OR(D407&lt;MAX(C407,F407)-0.000001,E407&gt;MIN(C407,F407)+0.000001),"FAIL","OK"))</f>
        <v>OK</v>
      </c>
      <c r="J407" s="10" t="n">
        <f aca="false">IF(COUNT(F407,G407)&lt;2,"",G407/F407)</f>
        <v>0.954264683878425</v>
      </c>
      <c r="K407" s="10" t="n">
        <f aca="false">H407/H406-1</f>
        <v>0.0153031095756433</v>
      </c>
      <c r="L407" s="10" t="n">
        <f aca="false">H412/H407-1</f>
        <v>-0.0157694756531308</v>
      </c>
      <c r="M407" s="10" t="n">
        <f aca="false">IF(COUNT(B348:B407)&lt;60,"",(B407-AVERAGE(B348:B407))/STDEV(B348:B407))</f>
        <v>0.9510171546309</v>
      </c>
      <c r="N407" s="10" t="n">
        <f aca="false">(H407-AVERAGE(H348:H407))/STDEV(H348:H407)</f>
        <v>1.68777114116003</v>
      </c>
      <c r="O407" s="10" t="n">
        <f aca="false">IF(COUNT(B407)=0,"",B407-('Signal Analysis'!$C$6+'Signal Analysis'!$C$5*H407))</f>
        <v>-0.300935809492504</v>
      </c>
    </row>
    <row r="408" customFormat="false" ht="15" hidden="false" customHeight="false" outlineLevel="0" collapsed="false">
      <c r="A408" s="8" t="n">
        <v>42915</v>
      </c>
      <c r="B408" s="9" t="n">
        <v>16.538000112</v>
      </c>
      <c r="C408" s="9" t="n">
        <v>142.240005</v>
      </c>
      <c r="D408" s="9" t="n">
        <v>142.350006</v>
      </c>
      <c r="E408" s="9" t="n">
        <v>139.649994</v>
      </c>
      <c r="F408" s="9" t="n">
        <v>141.139999</v>
      </c>
      <c r="G408" s="9" t="n">
        <v>134.684921</v>
      </c>
      <c r="H408" s="9" t="n">
        <v>134.684921</v>
      </c>
      <c r="I408" s="2" t="str">
        <f aca="false">IF(COUNT(C408:F408)&lt;4,"",IF(OR(D408&lt;MAX(C408,F408)-0.000001,E408&gt;MIN(C408,F408)+0.000001),"FAIL","OK"))</f>
        <v>OK</v>
      </c>
      <c r="J408" s="10" t="n">
        <f aca="false">IF(COUNT(F408,G408)&lt;2,"",G408/F408)</f>
        <v>0.954264715560895</v>
      </c>
      <c r="K408" s="10" t="n">
        <f aca="false">H408/H407-1</f>
        <v>-0.00591627227557778</v>
      </c>
      <c r="L408" s="10" t="n">
        <f aca="false">H413/H408-1</f>
        <v>-0.000305661537270407</v>
      </c>
      <c r="M408" s="10" t="n">
        <f aca="false">IF(COUNT(B349:B408)&lt;60,"",(B408-AVERAGE(B349:B408))/STDEV(B349:B408))</f>
        <v>1.11057467878057</v>
      </c>
      <c r="N408" s="10" t="n">
        <f aca="false">(H408-AVERAGE(H349:H408))/STDEV(H349:H408)</f>
        <v>1.25320977153373</v>
      </c>
      <c r="O408" s="10" t="n">
        <f aca="false">IF(COUNT(B408)=0,"",B408-('Signal Analysis'!$C$6+'Signal Analysis'!$C$5*H408))</f>
        <v>-0.0881272648398799</v>
      </c>
    </row>
    <row r="409" customFormat="false" ht="15" hidden="false" customHeight="false" outlineLevel="0" collapsed="false">
      <c r="A409" s="8" t="n">
        <v>42916</v>
      </c>
      <c r="B409" s="9" t="n">
        <v>16.482053202</v>
      </c>
      <c r="C409" s="9" t="n">
        <v>141.25</v>
      </c>
      <c r="D409" s="9" t="n">
        <v>141.669998</v>
      </c>
      <c r="E409" s="9" t="n">
        <v>140.770004</v>
      </c>
      <c r="F409" s="9" t="n">
        <v>140.919998</v>
      </c>
      <c r="G409" s="9" t="n">
        <v>134.474945</v>
      </c>
      <c r="H409" s="9" t="n">
        <v>134.474945</v>
      </c>
      <c r="I409" s="2" t="str">
        <f aca="false">IF(COUNT(C409:F409)&lt;4,"",IF(OR(D409&lt;MAX(C409,F409)-0.000001,E409&gt;MIN(C409,F409)+0.000001),"FAIL","OK"))</f>
        <v>OK</v>
      </c>
      <c r="J409" s="10" t="n">
        <f aca="false">IF(COUNT(F409,G409)&lt;2,"",G409/F409)</f>
        <v>0.954264454360835</v>
      </c>
      <c r="K409" s="10" t="n">
        <f aca="false">H409/H408-1</f>
        <v>-0.00155901639501288</v>
      </c>
      <c r="L409" s="10" t="n">
        <f aca="false">H414/H409-1</f>
        <v>-0.00309169860601166</v>
      </c>
      <c r="M409" s="10" t="n">
        <f aca="false">IF(COUNT(B350:B409)&lt;60,"",(B409-AVERAGE(B350:B409))/STDEV(B350:B409))</f>
        <v>0.973040661193396</v>
      </c>
      <c r="N409" s="10" t="n">
        <f aca="false">(H409-AVERAGE(H350:H409))/STDEV(H350:H409)</f>
        <v>1.12384429437629</v>
      </c>
      <c r="O409" s="10" t="n">
        <f aca="false">IF(COUNT(B409)=0,"",B409-('Signal Analysis'!$C$6+'Signal Analysis'!$C$5*H409))</f>
        <v>-0.115351048036164</v>
      </c>
    </row>
    <row r="410" customFormat="false" ht="15" hidden="false" customHeight="false" outlineLevel="0" collapsed="false">
      <c r="A410" s="8" t="n">
        <v>42919</v>
      </c>
      <c r="B410" s="9" t="n">
        <v>16.8035403744</v>
      </c>
      <c r="C410" s="9" t="n">
        <v>141.339996</v>
      </c>
      <c r="D410" s="9" t="n">
        <v>142.5</v>
      </c>
      <c r="E410" s="9" t="n">
        <v>141.300003</v>
      </c>
      <c r="F410" s="9" t="n">
        <v>142.100006</v>
      </c>
      <c r="G410" s="9" t="n">
        <v>135.600998</v>
      </c>
      <c r="H410" s="9" t="n">
        <v>135.600998</v>
      </c>
      <c r="I410" s="2" t="str">
        <f aca="false">IF(COUNT(C410:F410)&lt;4,"",IF(OR(D410&lt;MAX(C410,F410)-0.000001,E410&gt;MIN(C410,F410)+0.000001),"FAIL","OK"))</f>
        <v>OK</v>
      </c>
      <c r="J410" s="10" t="n">
        <f aca="false">IF(COUNT(F410,G410)&lt;2,"",G410/F410)</f>
        <v>0.954264548025424</v>
      </c>
      <c r="K410" s="10" t="n">
        <f aca="false">H410/H409-1</f>
        <v>0.00837370113815639</v>
      </c>
      <c r="L410" s="10" t="n">
        <f aca="false">H415/H410-1</f>
        <v>-0.00847295386424818</v>
      </c>
      <c r="M410" s="10" t="n">
        <f aca="false">IF(COUNT(B351:B410)&lt;60,"",(B410-AVERAGE(B351:B410))/STDEV(B351:B410))</f>
        <v>1.52752872629323</v>
      </c>
      <c r="N410" s="10" t="n">
        <f aca="false">(H410-AVERAGE(H351:H410))/STDEV(H351:H410)</f>
        <v>1.62306700132989</v>
      </c>
      <c r="O410" s="10" t="n">
        <f aca="false">IF(COUNT(B410)=0,"",B410-('Signal Analysis'!$C$6+'Signal Analysis'!$C$5*H410))</f>
        <v>0.0521006007482754</v>
      </c>
    </row>
    <row r="411" customFormat="false" ht="15" hidden="false" customHeight="false" outlineLevel="0" collapsed="false">
      <c r="A411" s="8" t="n">
        <v>42921</v>
      </c>
      <c r="B411" s="9" t="n">
        <v>15.282747546</v>
      </c>
      <c r="C411" s="9" t="n">
        <v>141.699997</v>
      </c>
      <c r="D411" s="9" t="n">
        <v>141.850006</v>
      </c>
      <c r="E411" s="9" t="n">
        <v>140.699997</v>
      </c>
      <c r="F411" s="9" t="n">
        <v>141.589996</v>
      </c>
      <c r="G411" s="9" t="n">
        <v>135.11438</v>
      </c>
      <c r="H411" s="9" t="n">
        <v>135.11438</v>
      </c>
      <c r="I411" s="2" t="str">
        <f aca="false">IF(COUNT(C411:F411)&lt;4,"",IF(OR(D411&lt;MAX(C411,F411)-0.000001,E411&gt;MIN(C411,F411)+0.000001),"FAIL","OK"))</f>
        <v>OK</v>
      </c>
      <c r="J411" s="10" t="n">
        <f aca="false">IF(COUNT(F411,G411)&lt;2,"",G411/F411)</f>
        <v>0.954265017423971</v>
      </c>
      <c r="K411" s="10" t="n">
        <f aca="false">H411/H410-1</f>
        <v>-0.00358860190689747</v>
      </c>
      <c r="L411" s="10" t="n">
        <f aca="false">H416/H411-1</f>
        <v>0.00275871450544329</v>
      </c>
      <c r="M411" s="10" t="n">
        <f aca="false">IF(COUNT(B352:B411)&lt;60,"",(B411-AVERAGE(B352:B411))/STDEV(B352:B411))</f>
        <v>-1.35480886487024</v>
      </c>
      <c r="N411" s="10" t="n">
        <f aca="false">(H411-AVERAGE(H352:H411))/STDEV(H352:H411)</f>
        <v>1.33944517753491</v>
      </c>
      <c r="O411" s="10" t="n">
        <f aca="false">IF(COUNT(B411)=0,"",B411-('Signal Analysis'!$C$6+'Signal Analysis'!$C$5*H411))</f>
        <v>-1.40212657005767</v>
      </c>
    </row>
    <row r="412" customFormat="false" ht="15" hidden="false" customHeight="false" outlineLevel="0" collapsed="false">
      <c r="A412" s="8" t="n">
        <v>42922</v>
      </c>
      <c r="B412" s="9" t="n">
        <v>15.8115619032</v>
      </c>
      <c r="C412" s="9" t="n">
        <v>139.929993</v>
      </c>
      <c r="D412" s="9" t="n">
        <v>140.470001</v>
      </c>
      <c r="E412" s="9" t="n">
        <v>138.830002</v>
      </c>
      <c r="F412" s="9" t="n">
        <v>139.139999</v>
      </c>
      <c r="G412" s="9" t="n">
        <v>133.349945</v>
      </c>
      <c r="H412" s="9" t="n">
        <v>133.349945</v>
      </c>
      <c r="I412" s="2" t="str">
        <f aca="false">IF(COUNT(C412:F412)&lt;4,"",IF(OR(D412&lt;MAX(C412,F412)-0.000001,E412&gt;MIN(C412,F412)+0.000001),"FAIL","OK"))</f>
        <v>OK</v>
      </c>
      <c r="J412" s="10" t="n">
        <f aca="false">IF(COUNT(F412,G412)&lt;2,"",G412/F412)</f>
        <v>0.958386847480141</v>
      </c>
      <c r="K412" s="10" t="n">
        <f aca="false">H412/H411-1</f>
        <v>-0.013058824678765</v>
      </c>
      <c r="L412" s="10" t="n">
        <f aca="false">H417/H412-1</f>
        <v>0.0168896057662415</v>
      </c>
      <c r="M412" s="10" t="n">
        <f aca="false">IF(COUNT(B353:B412)&lt;60,"",(B412-AVERAGE(B353:B412))/STDEV(B353:B412))</f>
        <v>-0.351577003370058</v>
      </c>
      <c r="N412" s="10" t="n">
        <f aca="false">(H412-AVERAGE(H353:H412))/STDEV(H353:H412)</f>
        <v>0.439288254715511</v>
      </c>
      <c r="O412" s="10" t="n">
        <f aca="false">IF(COUNT(B412)=0,"",B412-('Signal Analysis'!$C$6+'Signal Analysis'!$C$5*H412))</f>
        <v>-0.631950865646997</v>
      </c>
    </row>
    <row r="413" customFormat="false" ht="15" hidden="false" customHeight="false" outlineLevel="0" collapsed="false">
      <c r="A413" s="8" t="n">
        <v>42923</v>
      </c>
      <c r="B413" s="9" t="n">
        <v>15.7707010008</v>
      </c>
      <c r="C413" s="9" t="n">
        <v>139.429993</v>
      </c>
      <c r="D413" s="9" t="n">
        <v>140.679993</v>
      </c>
      <c r="E413" s="9" t="n">
        <v>139.179993</v>
      </c>
      <c r="F413" s="9" t="n">
        <v>140.490005</v>
      </c>
      <c r="G413" s="9" t="n">
        <v>134.643753</v>
      </c>
      <c r="H413" s="9" t="n">
        <v>134.643753</v>
      </c>
      <c r="I413" s="2" t="str">
        <f aca="false">IF(COUNT(C413:F413)&lt;4,"",IF(OR(D413&lt;MAX(C413,F413)-0.000001,E413&gt;MIN(C413,F413)+0.000001),"FAIL","OK"))</f>
        <v>OK</v>
      </c>
      <c r="J413" s="10" t="n">
        <f aca="false">IF(COUNT(F413,G413)&lt;2,"",G413/F413)</f>
        <v>0.958386705160983</v>
      </c>
      <c r="K413" s="10" t="n">
        <f aca="false">H413/H412-1</f>
        <v>0.00970235120831897</v>
      </c>
      <c r="L413" s="10" t="n">
        <f aca="false">H418/H413-1</f>
        <v>0.00882637310325118</v>
      </c>
      <c r="M413" s="10" t="n">
        <f aca="false">IF(COUNT(B354:B413)&lt;60,"",(B413-AVERAGE(B354:B413))/STDEV(B354:B413))</f>
        <v>-0.414423365143477</v>
      </c>
      <c r="N413" s="10" t="n">
        <f aca="false">(H413-AVERAGE(H354:H413))/STDEV(H354:H413)</f>
        <v>1.05550179695689</v>
      </c>
      <c r="O413" s="10" t="n">
        <f aca="false">IF(COUNT(B413)=0,"",B413-('Signal Analysis'!$C$6+'Signal Analysis'!$C$5*H413))</f>
        <v>-0.849794905375349</v>
      </c>
    </row>
    <row r="414" customFormat="false" ht="15" hidden="false" customHeight="false" outlineLevel="0" collapsed="false">
      <c r="A414" s="8" t="n">
        <v>42926</v>
      </c>
      <c r="B414" s="9" t="n">
        <v>15.458647722</v>
      </c>
      <c r="C414" s="9" t="n">
        <v>139.919998</v>
      </c>
      <c r="D414" s="9" t="n">
        <v>140.889999</v>
      </c>
      <c r="E414" s="9" t="n">
        <v>139.369995</v>
      </c>
      <c r="F414" s="9" t="n">
        <v>139.880005</v>
      </c>
      <c r="G414" s="9" t="n">
        <v>134.059189</v>
      </c>
      <c r="H414" s="9" t="n">
        <v>134.059189</v>
      </c>
      <c r="I414" s="2" t="str">
        <f aca="false">IF(COUNT(C414:F414)&lt;4,"",IF(OR(D414&lt;MAX(C414,F414)-0.000001,E414&gt;MIN(C414,F414)+0.000001),"FAIL","OK"))</f>
        <v>OK</v>
      </c>
      <c r="J414" s="10" t="n">
        <f aca="false">IF(COUNT(F414,G414)&lt;2,"",G414/F414)</f>
        <v>0.958387076122853</v>
      </c>
      <c r="K414" s="10" t="n">
        <f aca="false">H414/H413-1</f>
        <v>-0.00434156050299639</v>
      </c>
      <c r="L414" s="10" t="n">
        <f aca="false">H419/H414-1</f>
        <v>0.015584407272522</v>
      </c>
      <c r="M414" s="10" t="n">
        <f aca="false">IF(COUNT(B355:B414)&lt;60,"",(B414-AVERAGE(B355:B414))/STDEV(B355:B414))</f>
        <v>-1.0480056450433</v>
      </c>
      <c r="N414" s="10" t="n">
        <f aca="false">(H414-AVERAGE(H355:H414))/STDEV(H355:H414)</f>
        <v>0.736656726217626</v>
      </c>
      <c r="O414" s="10" t="n">
        <f aca="false">IF(COUNT(B414)=0,"",B414-('Signal Analysis'!$C$6+'Signal Analysis'!$C$5*H414))</f>
        <v>-1.08188425545547</v>
      </c>
    </row>
    <row r="415" customFormat="false" ht="15" hidden="false" customHeight="false" outlineLevel="0" collapsed="false">
      <c r="A415" s="8" t="n">
        <v>42927</v>
      </c>
      <c r="B415" s="9" t="n">
        <v>16.9518546912</v>
      </c>
      <c r="C415" s="9" t="n">
        <v>139.779999</v>
      </c>
      <c r="D415" s="9" t="n">
        <v>140.380005</v>
      </c>
      <c r="E415" s="9" t="n">
        <v>138.979996</v>
      </c>
      <c r="F415" s="9" t="n">
        <v>140.289993</v>
      </c>
      <c r="G415" s="9" t="n">
        <v>134.452057</v>
      </c>
      <c r="H415" s="9" t="n">
        <v>134.452057</v>
      </c>
      <c r="I415" s="2" t="str">
        <f aca="false">IF(COUNT(C415:F415)&lt;4,"",IF(OR(D415&lt;MAX(C415,F415)-0.000001,E415&gt;MIN(C415,F415)+0.000001),"FAIL","OK"))</f>
        <v>OK</v>
      </c>
      <c r="J415" s="10" t="n">
        <f aca="false">IF(COUNT(F415,G415)&lt;2,"",G415/F415)</f>
        <v>0.958386654135766</v>
      </c>
      <c r="K415" s="10" t="n">
        <f aca="false">H415/H414-1</f>
        <v>0.00293055629330996</v>
      </c>
      <c r="L415" s="10" t="n">
        <f aca="false">H420/H415-1</f>
        <v>0.00997985475224072</v>
      </c>
      <c r="M415" s="10" t="n">
        <f aca="false">IF(COUNT(B356:B415)&lt;60,"",(B415-AVERAGE(B356:B415))/STDEV(B356:B415))</f>
        <v>1.80022310259284</v>
      </c>
      <c r="N415" s="10" t="n">
        <f aca="false">(H415-AVERAGE(H356:H415))/STDEV(H356:H415)</f>
        <v>0.92953365093152</v>
      </c>
      <c r="O415" s="10" t="n">
        <f aca="false">IF(COUNT(B415)=0,"",B415-('Signal Analysis'!$C$6+'Signal Analysis'!$C$5*H415))</f>
        <v>0.357581346249578</v>
      </c>
    </row>
    <row r="416" customFormat="false" ht="15" hidden="false" customHeight="false" outlineLevel="0" collapsed="false">
      <c r="A416" s="8" t="n">
        <v>42928</v>
      </c>
      <c r="B416" s="9" t="n">
        <v>16.0110544272</v>
      </c>
      <c r="C416" s="9" t="n">
        <v>141.050003</v>
      </c>
      <c r="D416" s="9" t="n">
        <v>142.220001</v>
      </c>
      <c r="E416" s="9" t="n">
        <v>141.009995</v>
      </c>
      <c r="F416" s="9" t="n">
        <v>141.369995</v>
      </c>
      <c r="G416" s="9" t="n">
        <v>135.487122</v>
      </c>
      <c r="H416" s="9" t="n">
        <v>135.487122</v>
      </c>
      <c r="I416" s="2" t="str">
        <f aca="false">IF(COUNT(C416:F416)&lt;4,"",IF(OR(D416&lt;MAX(C416,F416)-0.000001,E416&gt;MIN(C416,F416)+0.000001),"FAIL","OK"))</f>
        <v>OK</v>
      </c>
      <c r="J416" s="10" t="n">
        <f aca="false">IF(COUNT(F416,G416)&lt;2,"",G416/F416)</f>
        <v>0.95838669301785</v>
      </c>
      <c r="K416" s="10" t="n">
        <f aca="false">H416/H415-1</f>
        <v>0.00769839467759126</v>
      </c>
      <c r="L416" s="10" t="n">
        <f aca="false">H421/H416-1</f>
        <v>0.0122379232470522</v>
      </c>
      <c r="M416" s="10" t="n">
        <f aca="false">IF(COUNT(B357:B416)&lt;60,"",(B416-AVERAGE(B357:B416))/STDEV(B357:B416))</f>
        <v>-0.0261576457684112</v>
      </c>
      <c r="N416" s="10" t="n">
        <f aca="false">(H416-AVERAGE(H357:H416))/STDEV(H357:H416)</f>
        <v>1.4593421617754</v>
      </c>
      <c r="O416" s="10" t="n">
        <f aca="false">IF(COUNT(B416)=0,"",B416-('Signal Analysis'!$C$6+'Signal Analysis'!$C$5*H416))</f>
        <v>-0.724807971952259</v>
      </c>
    </row>
    <row r="417" customFormat="false" ht="15" hidden="false" customHeight="false" outlineLevel="0" collapsed="false">
      <c r="A417" s="8" t="n">
        <v>42929</v>
      </c>
      <c r="B417" s="9" t="n">
        <v>16.7841222084</v>
      </c>
      <c r="C417" s="9" t="n">
        <v>141.199997</v>
      </c>
      <c r="D417" s="9" t="n">
        <v>141.559998</v>
      </c>
      <c r="E417" s="9" t="n">
        <v>140.380005</v>
      </c>
      <c r="F417" s="9" t="n">
        <v>141.490005</v>
      </c>
      <c r="G417" s="9" t="n">
        <v>135.602173</v>
      </c>
      <c r="H417" s="9" t="n">
        <v>135.602173</v>
      </c>
      <c r="I417" s="2" t="str">
        <f aca="false">IF(COUNT(C417:F417)&lt;4,"",IF(OR(D417&lt;MAX(C417,F417)-0.000001,E417&gt;MIN(C417,F417)+0.000001),"FAIL","OK"))</f>
        <v>OK</v>
      </c>
      <c r="J417" s="10" t="n">
        <f aca="false">IF(COUNT(F417,G417)&lt;2,"",G417/F417)</f>
        <v>0.95838694047682</v>
      </c>
      <c r="K417" s="10" t="n">
        <f aca="false">H417/H416-1</f>
        <v>0.000849165576046307</v>
      </c>
      <c r="L417" s="10" t="n">
        <f aca="false">H422/H417-1</f>
        <v>0.0120854184246739</v>
      </c>
      <c r="M417" s="10" t="n">
        <f aca="false">IF(COUNT(B358:B417)&lt;60,"",(B417-AVERAGE(B358:B417))/STDEV(B358:B417))</f>
        <v>1.47318676341279</v>
      </c>
      <c r="N417" s="10" t="n">
        <f aca="false">(H417-AVERAGE(H358:H417))/STDEV(H358:H417)</f>
        <v>1.4906503216829</v>
      </c>
      <c r="O417" s="10" t="n">
        <f aca="false">IF(COUNT(B417)=0,"",B417-('Signal Analysis'!$C$6+'Signal Analysis'!$C$5*H417))</f>
        <v>0.0325217036457026</v>
      </c>
    </row>
    <row r="418" customFormat="false" ht="15" hidden="false" customHeight="false" outlineLevel="0" collapsed="false">
      <c r="A418" s="8" t="n">
        <v>42930</v>
      </c>
      <c r="B418" s="9" t="n">
        <v>15.634553142</v>
      </c>
      <c r="C418" s="9" t="n">
        <v>141.100006</v>
      </c>
      <c r="D418" s="9" t="n">
        <v>142.300003</v>
      </c>
      <c r="E418" s="9" t="n">
        <v>141.100006</v>
      </c>
      <c r="F418" s="9" t="n">
        <v>141.729996</v>
      </c>
      <c r="G418" s="9" t="n">
        <v>135.832169</v>
      </c>
      <c r="H418" s="9" t="n">
        <v>135.832169</v>
      </c>
      <c r="I418" s="2" t="str">
        <f aca="false">IF(COUNT(C418:F418)&lt;4,"",IF(OR(D418&lt;MAX(C418,F418)-0.000001,E418&gt;MIN(C418,F418)+0.000001),"FAIL","OK"))</f>
        <v>OK</v>
      </c>
      <c r="J418" s="10" t="n">
        <f aca="false">IF(COUNT(F418,G418)&lt;2,"",G418/F418)</f>
        <v>0.958386882336467</v>
      </c>
      <c r="K418" s="10" t="n">
        <f aca="false">H418/H417-1</f>
        <v>0.00169610851295143</v>
      </c>
      <c r="L418" s="10" t="n">
        <f aca="false">H423/H418-1</f>
        <v>0.00578572812159095</v>
      </c>
      <c r="M418" s="10" t="n">
        <f aca="false">IF(COUNT(B359:B418)&lt;60,"",(B418-AVERAGE(B359:B418))/STDEV(B359:B418))</f>
        <v>-0.742678228821773</v>
      </c>
      <c r="N418" s="10" t="n">
        <f aca="false">(H418-AVERAGE(H359:H418))/STDEV(H359:H418)</f>
        <v>1.57802422026286</v>
      </c>
      <c r="O418" s="10" t="n">
        <f aca="false">IF(COUNT(B418)=0,"",B418-('Signal Analysis'!$C$6+'Signal Analysis'!$C$5*H418))</f>
        <v>-1.14850907396104</v>
      </c>
    </row>
    <row r="419" customFormat="false" ht="15" hidden="false" customHeight="false" outlineLevel="0" collapsed="false">
      <c r="A419" s="8" t="n">
        <v>42933</v>
      </c>
      <c r="B419" s="9" t="n">
        <v>16.46891784</v>
      </c>
      <c r="C419" s="9" t="n">
        <v>141.600006</v>
      </c>
      <c r="D419" s="9" t="n">
        <v>142.460007</v>
      </c>
      <c r="E419" s="9" t="n">
        <v>141.259995</v>
      </c>
      <c r="F419" s="9" t="n">
        <v>142.059998</v>
      </c>
      <c r="G419" s="9" t="n">
        <v>136.148422</v>
      </c>
      <c r="H419" s="9" t="n">
        <v>136.148422</v>
      </c>
      <c r="I419" s="2" t="str">
        <f aca="false">IF(COUNT(C419:F419)&lt;4,"",IF(OR(D419&lt;MAX(C419,F419)-0.000001,E419&gt;MIN(C419,F419)+0.000001),"FAIL","OK"))</f>
        <v>OK</v>
      </c>
      <c r="J419" s="10" t="n">
        <f aca="false">IF(COUNT(F419,G419)&lt;2,"",G419/F419)</f>
        <v>0.958386765569291</v>
      </c>
      <c r="K419" s="10" t="n">
        <f aca="false">H419/H418-1</f>
        <v>0.00232826290214083</v>
      </c>
      <c r="L419" s="10" t="n">
        <f aca="false">H424/H419-1</f>
        <v>0.00485709632389275</v>
      </c>
      <c r="M419" s="10" t="n">
        <f aca="false">IF(COUNT(B360:B419)&lt;60,"",(B419-AVERAGE(B360:B419))/STDEV(B360:B419))</f>
        <v>0.882977279970056</v>
      </c>
      <c r="N419" s="10" t="n">
        <f aca="false">(H419-AVERAGE(H360:H419))/STDEV(H360:H419)</f>
        <v>1.68514512437145</v>
      </c>
      <c r="O419" s="10" t="n">
        <f aca="false">IF(COUNT(B419)=0,"",B419-('Signal Analysis'!$C$6+'Signal Analysis'!$C$5*H419))</f>
        <v>-0.357405391605948</v>
      </c>
    </row>
    <row r="420" customFormat="false" ht="15" hidden="false" customHeight="false" outlineLevel="0" collapsed="false">
      <c r="A420" s="8" t="n">
        <v>42934</v>
      </c>
      <c r="B420" s="9" t="n">
        <v>16.7220501768</v>
      </c>
      <c r="C420" s="9" t="n">
        <v>141.539993</v>
      </c>
      <c r="D420" s="9" t="n">
        <v>141.869995</v>
      </c>
      <c r="E420" s="9" t="n">
        <v>141.039993</v>
      </c>
      <c r="F420" s="9" t="n">
        <v>141.690002</v>
      </c>
      <c r="G420" s="9" t="n">
        <v>135.793869</v>
      </c>
      <c r="H420" s="9" t="n">
        <v>135.793869</v>
      </c>
      <c r="I420" s="2" t="str">
        <f aca="false">IF(COUNT(C420:F420)&lt;4,"",IF(OR(D420&lt;MAX(C420,F420)-0.000001,E420&gt;MIN(C420,F420)+0.000001),"FAIL","OK"))</f>
        <v>OK</v>
      </c>
      <c r="J420" s="10" t="n">
        <f aca="false">IF(COUNT(F420,G420)&lt;2,"",G420/F420)</f>
        <v>0.958387092125244</v>
      </c>
      <c r="K420" s="10" t="n">
        <f aca="false">H420/H419-1</f>
        <v>-0.0026041653277481</v>
      </c>
      <c r="L420" s="10" t="n">
        <f aca="false">H425/H420-1</f>
        <v>0.0166556415002801</v>
      </c>
      <c r="M420" s="10" t="n">
        <f aca="false">IF(COUNT(B361:B420)&lt;60,"",(B420-AVERAGE(B361:B420))/STDEV(B361:B420))</f>
        <v>1.3575735088657</v>
      </c>
      <c r="N420" s="10" t="n">
        <f aca="false">(H420-AVERAGE(H361:H420))/STDEV(H361:H420)</f>
        <v>1.43407315451776</v>
      </c>
      <c r="O420" s="10" t="n">
        <f aca="false">IF(COUNT(B420)=0,"",B420-('Signal Analysis'!$C$6+'Signal Analysis'!$C$5*H420))</f>
        <v>-0.0557728891792237</v>
      </c>
    </row>
    <row r="421" customFormat="false" ht="15" hidden="false" customHeight="false" outlineLevel="0" collapsed="false">
      <c r="A421" s="8" t="n">
        <v>42935</v>
      </c>
      <c r="B421" s="9" t="n">
        <v>16.2529933104</v>
      </c>
      <c r="C421" s="9" t="n">
        <v>141.880005</v>
      </c>
      <c r="D421" s="9" t="n">
        <v>143.139999</v>
      </c>
      <c r="E421" s="9" t="n">
        <v>141.880005</v>
      </c>
      <c r="F421" s="9" t="n">
        <v>143.100006</v>
      </c>
      <c r="G421" s="9" t="n">
        <v>137.145203</v>
      </c>
      <c r="H421" s="9" t="n">
        <v>137.145203</v>
      </c>
      <c r="I421" s="2" t="str">
        <f aca="false">IF(COUNT(C421:F421)&lt;4,"",IF(OR(D421&lt;MAX(C421,F421)-0.000001,E421&gt;MIN(C421,F421)+0.000001),"FAIL","OK"))</f>
        <v>OK</v>
      </c>
      <c r="J421" s="10" t="n">
        <f aca="false">IF(COUNT(F421,G421)&lt;2,"",G421/F421)</f>
        <v>0.958387122639254</v>
      </c>
      <c r="K421" s="10" t="n">
        <f aca="false">H421/H420-1</f>
        <v>0.00995136238440941</v>
      </c>
      <c r="L421" s="10" t="n">
        <f aca="false">H426/H421-1</f>
        <v>0.00104806436430738</v>
      </c>
      <c r="M421" s="10" t="n">
        <f aca="false">IF(COUNT(B362:B421)&lt;60,"",(B421-AVERAGE(B362:B421))/STDEV(B362:B421))</f>
        <v>0.456466680357843</v>
      </c>
      <c r="N421" s="10" t="n">
        <f aca="false">(H421-AVERAGE(H362:H421))/STDEV(H362:H421)</f>
        <v>2.06830417803789</v>
      </c>
      <c r="O421" s="10" t="n">
        <f aca="false">IF(COUNT(B421)=0,"",B421-('Signal Analysis'!$C$6+'Signal Analysis'!$C$5*H421))</f>
        <v>-0.709682014104804</v>
      </c>
    </row>
    <row r="422" customFormat="false" ht="15" hidden="false" customHeight="false" outlineLevel="0" collapsed="false">
      <c r="A422" s="8" t="n">
        <v>42936</v>
      </c>
      <c r="B422" s="9" t="n">
        <v>16.2353389128</v>
      </c>
      <c r="C422" s="9" t="n">
        <v>143.119995</v>
      </c>
      <c r="D422" s="9" t="n">
        <v>143.520004</v>
      </c>
      <c r="E422" s="9" t="n">
        <v>142.800003</v>
      </c>
      <c r="F422" s="9" t="n">
        <v>143.199997</v>
      </c>
      <c r="G422" s="9" t="n">
        <v>137.240982</v>
      </c>
      <c r="H422" s="9" t="n">
        <v>137.240982</v>
      </c>
      <c r="I422" s="2" t="str">
        <f aca="false">IF(COUNT(C422:F422)&lt;4,"",IF(OR(D422&lt;MAX(C422,F422)-0.000001,E422&gt;MIN(C422,F422)+0.000001),"FAIL","OK"))</f>
        <v>OK</v>
      </c>
      <c r="J422" s="10" t="n">
        <f aca="false">IF(COUNT(F422,G422)&lt;2,"",G422/F422)</f>
        <v>0.958386765887991</v>
      </c>
      <c r="K422" s="10" t="n">
        <f aca="false">H422/H421-1</f>
        <v>0.000698376595789529</v>
      </c>
      <c r="L422" s="10" t="n">
        <f aca="false">H427/H422-1</f>
        <v>-0.00600551663205096</v>
      </c>
      <c r="M422" s="10" t="n">
        <f aca="false">IF(COUNT(B363:B422)&lt;60,"",(B422-AVERAGE(B363:B422))/STDEV(B363:B422))</f>
        <v>0.444277722401538</v>
      </c>
      <c r="N422" s="10" t="n">
        <f aca="false">(H422-AVERAGE(H363:H422))/STDEV(H363:H422)</f>
        <v>2.01646475391667</v>
      </c>
      <c r="O422" s="10" t="n">
        <f aca="false">IF(COUNT(B422)=0,"",B422-('Signal Analysis'!$C$6+'Signal Analysis'!$C$5*H422))</f>
        <v>-0.740438253639756</v>
      </c>
    </row>
    <row r="423" customFormat="false" ht="15" hidden="false" customHeight="false" outlineLevel="0" collapsed="false">
      <c r="A423" s="8" t="n">
        <v>42937</v>
      </c>
      <c r="B423" s="9" t="n">
        <v>15.980432616</v>
      </c>
      <c r="C423" s="9" t="n">
        <v>143.009995</v>
      </c>
      <c r="D423" s="9" t="n">
        <v>143.330002</v>
      </c>
      <c r="E423" s="9" t="n">
        <v>142.25</v>
      </c>
      <c r="F423" s="9" t="n">
        <v>142.550003</v>
      </c>
      <c r="G423" s="9" t="n">
        <v>136.618057</v>
      </c>
      <c r="H423" s="9" t="n">
        <v>136.618057</v>
      </c>
      <c r="I423" s="2" t="str">
        <f aca="false">IF(COUNT(C423:F423)&lt;4,"",IF(OR(D423&lt;MAX(C423,F423)-0.000001,E423&gt;MIN(C423,F423)+0.000001),"FAIL","OK"))</f>
        <v>OK</v>
      </c>
      <c r="J423" s="10" t="n">
        <f aca="false">IF(COUNT(F423,G423)&lt;2,"",G423/F423)</f>
        <v>0.958386910731949</v>
      </c>
      <c r="K423" s="10" t="n">
        <f aca="false">H423/H422-1</f>
        <v>-0.00453891389381056</v>
      </c>
      <c r="L423" s="10" t="n">
        <f aca="false">H428/H423-1</f>
        <v>-0.00413864764596972</v>
      </c>
      <c r="M423" s="10" t="n">
        <f aca="false">IF(COUNT(B364:B423)&lt;60,"",(B423-AVERAGE(B364:B423))/STDEV(B364:B423))</f>
        <v>-0.053446825559079</v>
      </c>
      <c r="N423" s="10" t="n">
        <f aca="false">(H423-AVERAGE(H364:H423))/STDEV(H364:H423)</f>
        <v>1.64083142218314</v>
      </c>
      <c r="O423" s="10" t="n">
        <f aca="false">IF(COUNT(B423)=0,"",B423-('Signal Analysis'!$C$6+'Signal Analysis'!$C$5*H423))</f>
        <v>-0.910133127399964</v>
      </c>
    </row>
    <row r="424" customFormat="false" ht="15" hidden="false" customHeight="false" outlineLevel="0" collapsed="false">
      <c r="A424" s="8" t="n">
        <v>42940</v>
      </c>
      <c r="B424" s="9" t="n">
        <v>16.8611138844</v>
      </c>
      <c r="C424" s="9" t="n">
        <v>142.309998</v>
      </c>
      <c r="D424" s="9" t="n">
        <v>142.820007</v>
      </c>
      <c r="E424" s="9" t="n">
        <v>141.970001</v>
      </c>
      <c r="F424" s="9" t="n">
        <v>142.75</v>
      </c>
      <c r="G424" s="9" t="n">
        <v>136.809708</v>
      </c>
      <c r="H424" s="9" t="n">
        <v>136.809708</v>
      </c>
      <c r="I424" s="2" t="str">
        <f aca="false">IF(COUNT(C424:F424)&lt;4,"",IF(OR(D424&lt;MAX(C424,F424)-0.000001,E424&gt;MIN(C424,F424)+0.000001),"FAIL","OK"))</f>
        <v>OK</v>
      </c>
      <c r="J424" s="10" t="n">
        <f aca="false">IF(COUNT(F424,G424)&lt;2,"",G424/F424)</f>
        <v>0.958386746059545</v>
      </c>
      <c r="K424" s="10" t="n">
        <f aca="false">H424/H423-1</f>
        <v>0.00140282334713637</v>
      </c>
      <c r="L424" s="10" t="n">
        <f aca="false">H429/H424-1</f>
        <v>-0.00868629878224714</v>
      </c>
      <c r="M424" s="10" t="n">
        <f aca="false">IF(COUNT(B365:B424)&lt;60,"",(B424-AVERAGE(B365:B424))/STDEV(B365:B424))</f>
        <v>1.63417779290761</v>
      </c>
      <c r="N424" s="10" t="n">
        <f aca="false">(H424-AVERAGE(H365:H424))/STDEV(H365:H424)</f>
        <v>1.68106487838561</v>
      </c>
      <c r="O424" s="10" t="n">
        <f aca="false">IF(COUNT(B424)=0,"",B424-('Signal Analysis'!$C$6+'Signal Analysis'!$C$5*H424))</f>
        <v>-0.0556682645656395</v>
      </c>
    </row>
    <row r="425" customFormat="false" ht="15" hidden="false" customHeight="false" outlineLevel="0" collapsed="false">
      <c r="A425" s="8" t="n">
        <v>42941</v>
      </c>
      <c r="B425" s="9" t="n">
        <v>15.510001302</v>
      </c>
      <c r="C425" s="9" t="n">
        <v>143.619995</v>
      </c>
      <c r="D425" s="9" t="n">
        <v>144.25</v>
      </c>
      <c r="E425" s="9" t="n">
        <v>143.210007</v>
      </c>
      <c r="F425" s="9" t="n">
        <v>144.050003</v>
      </c>
      <c r="G425" s="9" t="n">
        <v>138.055603</v>
      </c>
      <c r="H425" s="9" t="n">
        <v>138.055603</v>
      </c>
      <c r="I425" s="2" t="str">
        <f aca="false">IF(COUNT(C425:F425)&lt;4,"",IF(OR(D425&lt;MAX(C425,F425)-0.000001,E425&gt;MIN(C425,F425)+0.000001),"FAIL","OK"))</f>
        <v>OK</v>
      </c>
      <c r="J425" s="10" t="n">
        <f aca="false">IF(COUNT(F425,G425)&lt;2,"",G425/F425)</f>
        <v>0.958386672161333</v>
      </c>
      <c r="K425" s="10" t="n">
        <f aca="false">H425/H424-1</f>
        <v>0.00910677332927268</v>
      </c>
      <c r="L425" s="10" t="n">
        <f aca="false">H430/H425-1</f>
        <v>-0.0157581941820933</v>
      </c>
      <c r="M425" s="10" t="n">
        <f aca="false">IF(COUNT(B366:B425)&lt;60,"",(B425-AVERAGE(B366:B425))/STDEV(B366:B425))</f>
        <v>-0.959965711689325</v>
      </c>
      <c r="N425" s="10" t="n">
        <f aca="false">(H425-AVERAGE(H366:H425))/STDEV(H366:H425)</f>
        <v>2.16621331973677</v>
      </c>
      <c r="O425" s="10" t="n">
        <f aca="false">IF(COUNT(B425)=0,"",B425-('Signal Analysis'!$C$6+'Signal Analysis'!$C$5*H425))</f>
        <v>-1.57720984870446</v>
      </c>
    </row>
    <row r="426" customFormat="false" ht="15" hidden="false" customHeight="false" outlineLevel="0" collapsed="false">
      <c r="A426" s="8" t="n">
        <v>42942</v>
      </c>
      <c r="B426" s="9" t="n">
        <v>16.4373061656</v>
      </c>
      <c r="C426" s="9" t="n">
        <v>144.149994</v>
      </c>
      <c r="D426" s="9" t="n">
        <v>144.149994</v>
      </c>
      <c r="E426" s="9" t="n">
        <v>143.050003</v>
      </c>
      <c r="F426" s="9" t="n">
        <v>143.25</v>
      </c>
      <c r="G426" s="9" t="n">
        <v>137.28894</v>
      </c>
      <c r="H426" s="9" t="n">
        <v>137.28894</v>
      </c>
      <c r="I426" s="2" t="str">
        <f aca="false">IF(COUNT(C426:F426)&lt;4,"",IF(OR(D426&lt;MAX(C426,F426)-0.000001,E426&gt;MIN(C426,F426)+0.000001),"FAIL","OK"))</f>
        <v>OK</v>
      </c>
      <c r="J426" s="10" t="n">
        <f aca="false">IF(COUNT(F426,G426)&lt;2,"",G426/F426)</f>
        <v>0.958387015706806</v>
      </c>
      <c r="K426" s="10" t="n">
        <f aca="false">H426/H425-1</f>
        <v>-0.0055532914517058</v>
      </c>
      <c r="L426" s="10" t="n">
        <f aca="false">H431/H426-1</f>
        <v>-0.0210821643753678</v>
      </c>
      <c r="M426" s="10" t="n">
        <f aca="false">IF(COUNT(B367:B426)&lt;60,"",(B426-AVERAGE(B367:B426))/STDEV(B367:B426))</f>
        <v>0.798770950486076</v>
      </c>
      <c r="N426" s="10" t="n">
        <f aca="false">(H426-AVERAGE(H367:H426))/STDEV(H367:H426)</f>
        <v>1.72350706141822</v>
      </c>
      <c r="O426" s="10" t="n">
        <f aca="false">IF(COUNT(B426)=0,"",B426-('Signal Analysis'!$C$6+'Signal Analysis'!$C$5*H426))</f>
        <v>-0.545031292088527</v>
      </c>
    </row>
    <row r="427" customFormat="false" ht="15" hidden="false" customHeight="false" outlineLevel="0" collapsed="false">
      <c r="A427" s="8" t="n">
        <v>42943</v>
      </c>
      <c r="B427" s="9" t="n">
        <v>16.30561152</v>
      </c>
      <c r="C427" s="9" t="n">
        <v>143.479996</v>
      </c>
      <c r="D427" s="9" t="n">
        <v>143.679993</v>
      </c>
      <c r="E427" s="9" t="n">
        <v>141.550003</v>
      </c>
      <c r="F427" s="9" t="n">
        <v>142.339996</v>
      </c>
      <c r="G427" s="9" t="n">
        <v>136.416779</v>
      </c>
      <c r="H427" s="9" t="n">
        <v>136.416779</v>
      </c>
      <c r="I427" s="2" t="str">
        <f aca="false">IF(COUNT(C427:F427)&lt;4,"",IF(OR(D427&lt;MAX(C427,F427)-0.000001,E427&gt;MIN(C427,F427)+0.000001),"FAIL","OK"))</f>
        <v>OK</v>
      </c>
      <c r="J427" s="10" t="n">
        <f aca="false">IF(COUNT(F427,G427)&lt;2,"",G427/F427)</f>
        <v>0.958386840196342</v>
      </c>
      <c r="K427" s="10" t="n">
        <f aca="false">H427/H426-1</f>
        <v>-0.00635274043196787</v>
      </c>
      <c r="L427" s="10" t="n">
        <f aca="false">H432/H427-1</f>
        <v>-0.0197414864926548</v>
      </c>
      <c r="M427" s="10" t="n">
        <f aca="false">IF(COUNT(B368:B427)&lt;60,"",(B427-AVERAGE(B368:B427))/STDEV(B368:B427))</f>
        <v>0.523493073829978</v>
      </c>
      <c r="N427" s="10" t="n">
        <f aca="false">(H427-AVERAGE(H368:H427))/STDEV(H368:H427)</f>
        <v>1.27276895533796</v>
      </c>
      <c r="O427" s="10" t="n">
        <f aca="false">IF(COUNT(B427)=0,"",B427-('Signal Analysis'!$C$6+'Signal Analysis'!$C$5*H427))</f>
        <v>-0.557420917132593</v>
      </c>
    </row>
    <row r="428" customFormat="false" ht="15" hidden="false" customHeight="false" outlineLevel="0" collapsed="false">
      <c r="A428" s="8" t="n">
        <v>42944</v>
      </c>
      <c r="B428" s="9" t="n">
        <v>16.2886245504</v>
      </c>
      <c r="C428" s="9" t="n">
        <v>142.020004</v>
      </c>
      <c r="D428" s="9" t="n">
        <v>142.360001</v>
      </c>
      <c r="E428" s="9" t="n">
        <v>141.470001</v>
      </c>
      <c r="F428" s="9" t="n">
        <v>141.960007</v>
      </c>
      <c r="G428" s="9" t="n">
        <v>136.052643</v>
      </c>
      <c r="H428" s="9" t="n">
        <v>136.052643</v>
      </c>
      <c r="I428" s="2" t="str">
        <f aca="false">IF(COUNT(C428:F428)&lt;4,"",IF(OR(D428&lt;MAX(C428,F428)-0.000001,E428&gt;MIN(C428,F428)+0.000001),"FAIL","OK"))</f>
        <v>OK</v>
      </c>
      <c r="J428" s="10" t="n">
        <f aca="false">IF(COUNT(F428,G428)&lt;2,"",G428/F428)</f>
        <v>0.958387125185194</v>
      </c>
      <c r="K428" s="10" t="n">
        <f aca="false">H428/H427-1</f>
        <v>-0.00266929041038277</v>
      </c>
      <c r="L428" s="10" t="n">
        <f aca="false">H433/H428-1</f>
        <v>-0.0123278090231587</v>
      </c>
      <c r="M428" s="10" t="n">
        <f aca="false">IF(COUNT(B369:B428)&lt;60,"",(B428-AVERAGE(B369:B428))/STDEV(B369:B428))</f>
        <v>0.464731773279584</v>
      </c>
      <c r="N428" s="10" t="n">
        <f aca="false">(H428-AVERAGE(H369:H428))/STDEV(H369:H428)</f>
        <v>1.06903776682612</v>
      </c>
      <c r="O428" s="10" t="n">
        <f aca="false">IF(COUNT(B428)=0,"",B428-('Signal Analysis'!$C$6+'Signal Analysis'!$C$5*H428))</f>
        <v>-0.524596839270991</v>
      </c>
    </row>
    <row r="429" customFormat="false" ht="15" hidden="false" customHeight="false" outlineLevel="0" collapsed="false">
      <c r="A429" s="8" t="n">
        <v>42947</v>
      </c>
      <c r="B429" s="9" t="n">
        <v>15.5654397276</v>
      </c>
      <c r="C429" s="9" t="n">
        <v>142.220001</v>
      </c>
      <c r="D429" s="9" t="n">
        <v>142.380005</v>
      </c>
      <c r="E429" s="9" t="n">
        <v>140.970001</v>
      </c>
      <c r="F429" s="9" t="n">
        <v>141.509995</v>
      </c>
      <c r="G429" s="9" t="n">
        <v>135.621338</v>
      </c>
      <c r="H429" s="9" t="n">
        <v>135.621338</v>
      </c>
      <c r="I429" s="2" t="str">
        <f aca="false">IF(COUNT(C429:F429)&lt;4,"",IF(OR(D429&lt;MAX(C429,F429)-0.000001,E429&gt;MIN(C429,F429)+0.000001),"FAIL","OK"))</f>
        <v>OK</v>
      </c>
      <c r="J429" s="10" t="n">
        <f aca="false">IF(COUNT(F429,G429)&lt;2,"",G429/F429)</f>
        <v>0.958386988848385</v>
      </c>
      <c r="K429" s="10" t="n">
        <f aca="false">H429/H428-1</f>
        <v>-0.00317013319616277</v>
      </c>
      <c r="L429" s="10" t="n">
        <f aca="false">H434/H429-1</f>
        <v>-0.00756125116535877</v>
      </c>
      <c r="M429" s="10" t="n">
        <f aca="false">IF(COUNT(B370:B429)&lt;60,"",(B429-AVERAGE(B370:B429))/STDEV(B370:B429))</f>
        <v>-0.951160285858295</v>
      </c>
      <c r="N429" s="10" t="n">
        <f aca="false">(H429-AVERAGE(H370:H429))/STDEV(H370:H429)</f>
        <v>0.843068352635502</v>
      </c>
      <c r="O429" s="10" t="n">
        <f aca="false">IF(COUNT(B429)=0,"",B429-('Signal Analysis'!$C$6+'Signal Analysis'!$C$5*H429))</f>
        <v>-1.18878240403163</v>
      </c>
    </row>
    <row r="430" customFormat="false" ht="15" hidden="false" customHeight="false" outlineLevel="0" collapsed="false">
      <c r="A430" s="8" t="n">
        <v>42948</v>
      </c>
      <c r="B430" s="9" t="n">
        <v>16.6088009232</v>
      </c>
      <c r="C430" s="9" t="n">
        <v>142.169998</v>
      </c>
      <c r="D430" s="9" t="n">
        <v>142.199997</v>
      </c>
      <c r="E430" s="9" t="n">
        <v>140.970001</v>
      </c>
      <c r="F430" s="9" t="n">
        <v>141.779999</v>
      </c>
      <c r="G430" s="9" t="n">
        <v>135.880096</v>
      </c>
      <c r="H430" s="9" t="n">
        <v>135.880096</v>
      </c>
      <c r="I430" s="2" t="str">
        <f aca="false">IF(COUNT(C430:F430)&lt;4,"",IF(OR(D430&lt;MAX(C430,F430)-0.000001,E430&gt;MIN(C430,F430)+0.000001),"FAIL","OK"))</f>
        <v>OK</v>
      </c>
      <c r="J430" s="10" t="n">
        <f aca="false">IF(COUNT(F430,G430)&lt;2,"",G430/F430)</f>
        <v>0.958386916055769</v>
      </c>
      <c r="K430" s="10" t="n">
        <f aca="false">H430/H429-1</f>
        <v>0.00190794460382038</v>
      </c>
      <c r="L430" s="10" t="n">
        <f aca="false">H435/H430-1</f>
        <v>-0.0125546864494416</v>
      </c>
      <c r="M430" s="10" t="n">
        <f aca="false">IF(COUNT(B371:B430)&lt;60,"",(B430-AVERAGE(B371:B430))/STDEV(B371:B430))</f>
        <v>1.07168457428791</v>
      </c>
      <c r="N430" s="10" t="n">
        <f aca="false">(H430-AVERAGE(H371:H430))/STDEV(H371:H430)</f>
        <v>0.931877858129216</v>
      </c>
      <c r="O430" s="10" t="n">
        <f aca="false">IF(COUNT(B430)=0,"",B430-('Signal Analysis'!$C$6+'Signal Analysis'!$C$5*H430))</f>
        <v>-0.180817343444556</v>
      </c>
    </row>
    <row r="431" customFormat="false" ht="15" hidden="false" customHeight="false" outlineLevel="0" collapsed="false">
      <c r="A431" s="8" t="n">
        <v>42949</v>
      </c>
      <c r="B431" s="9" t="n">
        <v>15.6669593844</v>
      </c>
      <c r="C431" s="9" t="n">
        <v>141.589996</v>
      </c>
      <c r="D431" s="9" t="n">
        <v>141.820007</v>
      </c>
      <c r="E431" s="9" t="n">
        <v>139.729996</v>
      </c>
      <c r="F431" s="9" t="n">
        <v>140.229996</v>
      </c>
      <c r="G431" s="9" t="n">
        <v>134.394592</v>
      </c>
      <c r="H431" s="9" t="n">
        <v>134.394592</v>
      </c>
      <c r="I431" s="2" t="str">
        <f aca="false">IF(COUNT(C431:F431)&lt;4,"",IF(OR(D431&lt;MAX(C431,F431)-0.000001,E431&gt;MIN(C431,F431)+0.000001),"FAIL","OK"))</f>
        <v>OK</v>
      </c>
      <c r="J431" s="10" t="n">
        <f aca="false">IF(COUNT(F431,G431)&lt;2,"",G431/F431)</f>
        <v>0.958386906036851</v>
      </c>
      <c r="K431" s="10" t="n">
        <f aca="false">H431/H430-1</f>
        <v>-0.0109324621024702</v>
      </c>
      <c r="L431" s="10" t="n">
        <f aca="false">H436/H431-1</f>
        <v>-0.0102689846329529</v>
      </c>
      <c r="M431" s="10" t="n">
        <f aca="false">IF(COUNT(B372:B431)&lt;60,"",(B431-AVERAGE(B372:B431))/STDEV(B372:B431))</f>
        <v>-0.791258656773942</v>
      </c>
      <c r="N431" s="10" t="n">
        <f aca="false">(H431-AVERAGE(H372:H431))/STDEV(H372:H431)</f>
        <v>0.2393094867589</v>
      </c>
      <c r="O431" s="10" t="n">
        <f aca="false">IF(COUNT(B431)=0,"",B431-('Signal Analysis'!$C$6+'Signal Analysis'!$C$5*H431))</f>
        <v>-0.91945318369128</v>
      </c>
    </row>
    <row r="432" customFormat="false" ht="15" hidden="false" customHeight="false" outlineLevel="0" collapsed="false">
      <c r="A432" s="8" t="n">
        <v>42950</v>
      </c>
      <c r="B432" s="9" t="n">
        <v>15.295854696</v>
      </c>
      <c r="C432" s="9" t="n">
        <v>140.440002</v>
      </c>
      <c r="D432" s="9" t="n">
        <v>140.539993</v>
      </c>
      <c r="E432" s="9" t="n">
        <v>139.160004</v>
      </c>
      <c r="F432" s="9" t="n">
        <v>139.529999</v>
      </c>
      <c r="G432" s="9" t="n">
        <v>133.723709</v>
      </c>
      <c r="H432" s="9" t="n">
        <v>133.723709</v>
      </c>
      <c r="I432" s="2" t="str">
        <f aca="false">IF(COUNT(C432:F432)&lt;4,"",IF(OR(D432&lt;MAX(C432,F432)-0.000001,E432&gt;MIN(C432,F432)+0.000001),"FAIL","OK"))</f>
        <v>OK</v>
      </c>
      <c r="J432" s="10" t="n">
        <f aca="false">IF(COUNT(F432,G432)&lt;2,"",G432/F432)</f>
        <v>0.958386798239711</v>
      </c>
      <c r="K432" s="10" t="n">
        <f aca="false">H432/H431-1</f>
        <v>-0.00499188985223431</v>
      </c>
      <c r="L432" s="10" t="n">
        <f aca="false">H437/H432-1</f>
        <v>-0.0233639421413296</v>
      </c>
      <c r="M432" s="10" t="n">
        <f aca="false">IF(COUNT(B373:B432)&lt;60,"",(B432-AVERAGE(B373:B432))/STDEV(B373:B432))</f>
        <v>-1.46724634759624</v>
      </c>
      <c r="N432" s="10" t="n">
        <f aca="false">(H432-AVERAGE(H373:H432))/STDEV(H373:H432)</f>
        <v>-0.0810852921899553</v>
      </c>
      <c r="O432" s="10" t="n">
        <f aca="false">IF(COUNT(B432)=0,"",B432-('Signal Analysis'!$C$6+'Signal Analysis'!$C$5*H432))</f>
        <v>-1.19878615780273</v>
      </c>
    </row>
    <row r="433" customFormat="false" ht="15" hidden="false" customHeight="false" outlineLevel="0" collapsed="false">
      <c r="A433" s="8" t="n">
        <v>42951</v>
      </c>
      <c r="B433" s="9" t="n">
        <v>16.759826496</v>
      </c>
      <c r="C433" s="9" t="n">
        <v>139.910004</v>
      </c>
      <c r="D433" s="9" t="n">
        <v>140.320007</v>
      </c>
      <c r="E433" s="9" t="n">
        <v>139.490005</v>
      </c>
      <c r="F433" s="9" t="n">
        <v>140.210007</v>
      </c>
      <c r="G433" s="9" t="n">
        <v>134.375412</v>
      </c>
      <c r="H433" s="9" t="n">
        <v>134.375412</v>
      </c>
      <c r="I433" s="2" t="str">
        <f aca="false">IF(COUNT(C433:F433)&lt;4,"",IF(OR(D433&lt;MAX(C433,F433)-0.000001,E433&gt;MIN(C433,F433)+0.000001),"FAIL","OK"))</f>
        <v>OK</v>
      </c>
      <c r="J433" s="10" t="n">
        <f aca="false">IF(COUNT(F433,G433)&lt;2,"",G433/F433)</f>
        <v>0.958386743394143</v>
      </c>
      <c r="K433" s="10" t="n">
        <f aca="false">H433/H432-1</f>
        <v>0.00487350377037465</v>
      </c>
      <c r="L433" s="10" t="n">
        <f aca="false">H438/H433-1</f>
        <v>-0.0266741582157902</v>
      </c>
      <c r="M433" s="10" t="n">
        <f aca="false">IF(COUNT(B374:B433)&lt;60,"",(B433-AVERAGE(B374:B433))/STDEV(B374:B433))</f>
        <v>1.35313912744742</v>
      </c>
      <c r="N433" s="10" t="n">
        <f aca="false">(H433-AVERAGE(H374:H433))/STDEV(H374:H433)</f>
        <v>0.207496588718322</v>
      </c>
      <c r="O433" s="10" t="n">
        <f aca="false">IF(COUNT(B433)=0,"",B433-('Signal Analysis'!$C$6+'Signal Analysis'!$C$5*H433))</f>
        <v>0.176037606672455</v>
      </c>
    </row>
    <row r="434" customFormat="false" ht="15" hidden="false" customHeight="false" outlineLevel="0" collapsed="false">
      <c r="A434" s="8" t="n">
        <v>42954</v>
      </c>
      <c r="B434" s="9" t="n">
        <v>16.2988046208</v>
      </c>
      <c r="C434" s="9" t="n">
        <v>140.440002</v>
      </c>
      <c r="D434" s="11" t="n">
        <v>140.440002</v>
      </c>
      <c r="E434" s="9" t="n">
        <v>139.710007</v>
      </c>
      <c r="F434" s="9" t="n">
        <v>140.440002</v>
      </c>
      <c r="G434" s="9" t="n">
        <v>134.595871</v>
      </c>
      <c r="H434" s="9" t="n">
        <v>134.595871</v>
      </c>
      <c r="I434" s="2" t="str">
        <f aca="false">IF(COUNT(C434:F434)&lt;4,"",IF(OR(D434&lt;MAX(C434,F434)-0.000001,E434&gt;MIN(C434,F434)+0.000001),"FAIL","OK"))</f>
        <v>OK</v>
      </c>
      <c r="J434" s="10" t="n">
        <f aca="false">IF(COUNT(F434,G434)&lt;2,"",G434/F434)</f>
        <v>0.958386991478397</v>
      </c>
      <c r="K434" s="10" t="n">
        <f aca="false">H434/H433-1</f>
        <v>0.00164062008606147</v>
      </c>
      <c r="L434" s="10" t="n">
        <f aca="false">H439/H434-1</f>
        <v>-0.0135290405751004</v>
      </c>
      <c r="M434" s="10" t="n">
        <f aca="false">IF(COUNT(B375:B434)&lt;60,"",(B434-AVERAGE(B375:B434))/STDEV(B375:B434))</f>
        <v>0.435984993040571</v>
      </c>
      <c r="N434" s="10" t="n">
        <f aca="false">(H434-AVERAGE(H375:H434))/STDEV(H375:H434)</f>
        <v>0.290509204651616</v>
      </c>
      <c r="O434" s="10" t="n">
        <f aca="false">IF(COUNT(B434)=0,"",B434-('Signal Analysis'!$C$6+'Signal Analysis'!$C$5*H434))</f>
        <v>-0.31514139035108</v>
      </c>
    </row>
    <row r="435" customFormat="false" ht="15" hidden="false" customHeight="false" outlineLevel="0" collapsed="false">
      <c r="A435" s="8" t="n">
        <v>42955</v>
      </c>
      <c r="B435" s="9" t="n">
        <v>15.69492732</v>
      </c>
      <c r="C435" s="9" t="n">
        <v>140.410004</v>
      </c>
      <c r="D435" s="9" t="n">
        <v>141.789993</v>
      </c>
      <c r="E435" s="9" t="n">
        <v>139.690002</v>
      </c>
      <c r="F435" s="9" t="n">
        <v>140</v>
      </c>
      <c r="G435" s="9" t="n">
        <v>134.174164</v>
      </c>
      <c r="H435" s="9" t="n">
        <v>134.174164</v>
      </c>
      <c r="I435" s="2" t="str">
        <f aca="false">IF(COUNT(C435:F435)&lt;4,"",IF(OR(D435&lt;MAX(C435,F435)-0.000001,E435&gt;MIN(C435,F435)+0.000001),"FAIL","OK"))</f>
        <v>OK</v>
      </c>
      <c r="J435" s="10" t="n">
        <f aca="false">IF(COUNT(F435,G435)&lt;2,"",G435/F435)</f>
        <v>0.958386885714286</v>
      </c>
      <c r="K435" s="10" t="n">
        <f aca="false">H435/H434-1</f>
        <v>-0.00313313474527011</v>
      </c>
      <c r="L435" s="10" t="n">
        <f aca="false">H440/H435-1</f>
        <v>-0.0185713175004391</v>
      </c>
      <c r="M435" s="10" t="n">
        <f aca="false">IF(COUNT(B376:B435)&lt;60,"",(B435-AVERAGE(B376:B435))/STDEV(B376:B435))</f>
        <v>-0.74292291606825</v>
      </c>
      <c r="N435" s="10" t="n">
        <f aca="false">(H435-AVERAGE(H376:H435))/STDEV(H376:H435)</f>
        <v>0.072935054839385</v>
      </c>
      <c r="O435" s="10" t="n">
        <f aca="false">IF(COUNT(B435)=0,"",B435-('Signal Analysis'!$C$6+'Signal Analysis'!$C$5*H435))</f>
        <v>-0.861332366833002</v>
      </c>
    </row>
    <row r="436" customFormat="false" ht="15" hidden="false" customHeight="false" outlineLevel="0" collapsed="false">
      <c r="A436" s="8" t="n">
        <v>42956</v>
      </c>
      <c r="B436" s="9" t="n">
        <v>15.7736602584</v>
      </c>
      <c r="C436" s="9" t="n">
        <v>139.119995</v>
      </c>
      <c r="D436" s="9" t="n">
        <v>139.389999</v>
      </c>
      <c r="E436" s="9" t="n">
        <v>138.279999</v>
      </c>
      <c r="F436" s="9" t="n">
        <v>138.789993</v>
      </c>
      <c r="G436" s="9" t="n">
        <v>133.014496</v>
      </c>
      <c r="H436" s="9" t="n">
        <v>133.014496</v>
      </c>
      <c r="I436" s="2" t="str">
        <f aca="false">IF(COUNT(C436:F436)&lt;4,"",IF(OR(D436&lt;MAX(C436,F436)-0.000001,E436&gt;MIN(C436,F436)+0.000001),"FAIL","OK"))</f>
        <v>OK</v>
      </c>
      <c r="J436" s="10" t="n">
        <f aca="false">IF(COUNT(F436,G436)&lt;2,"",G436/F436)</f>
        <v>0.958386790897814</v>
      </c>
      <c r="K436" s="10" t="n">
        <f aca="false">H436/H435-1</f>
        <v>-0.00864300522118389</v>
      </c>
      <c r="L436" s="10" t="n">
        <f aca="false">H441/H436-1</f>
        <v>-0.00972670677938758</v>
      </c>
      <c r="M436" s="10" t="n">
        <f aca="false">IF(COUNT(B377:B436)&lt;60,"",(B436-AVERAGE(B377:B436))/STDEV(B377:B436))</f>
        <v>-0.586210046900664</v>
      </c>
      <c r="N436" s="10" t="n">
        <f aca="false">(H436-AVERAGE(H377:H436))/STDEV(H377:H436)</f>
        <v>-0.481085641185232</v>
      </c>
      <c r="O436" s="10" t="n">
        <f aca="false">IF(COUNT(B436)=0,"",B436-('Signal Analysis'!$C$6+'Signal Analysis'!$C$5*H436))</f>
        <v>-0.623965627359514</v>
      </c>
    </row>
    <row r="437" customFormat="false" ht="15" hidden="false" customHeight="false" outlineLevel="0" collapsed="false">
      <c r="A437" s="8" t="n">
        <v>42957</v>
      </c>
      <c r="B437" s="9" t="n">
        <v>15.80188476</v>
      </c>
      <c r="C437" s="9" t="n">
        <v>138.279999</v>
      </c>
      <c r="D437" s="9" t="n">
        <v>138.279999</v>
      </c>
      <c r="E437" s="9" t="n">
        <v>136.259995</v>
      </c>
      <c r="F437" s="9" t="n">
        <v>136.270004</v>
      </c>
      <c r="G437" s="9" t="n">
        <v>130.599396</v>
      </c>
      <c r="H437" s="9" t="n">
        <v>130.599396</v>
      </c>
      <c r="I437" s="2" t="str">
        <f aca="false">IF(COUNT(C437:F437)&lt;4,"",IF(OR(D437&lt;MAX(C437,F437)-0.000001,E437&gt;MIN(C437,F437)+0.000001),"FAIL","OK"))</f>
        <v>OK</v>
      </c>
      <c r="J437" s="10" t="n">
        <f aca="false">IF(COUNT(F437,G437)&lt;2,"",G437/F437)</f>
        <v>0.958386968272196</v>
      </c>
      <c r="K437" s="10" t="n">
        <f aca="false">H437/H436-1</f>
        <v>-0.0181566676762809</v>
      </c>
      <c r="L437" s="10" t="n">
        <f aca="false">H442/H437-1</f>
        <v>-0.0098335523695684</v>
      </c>
      <c r="M437" s="10" t="n">
        <f aca="false">IF(COUNT(B378:B437)&lt;60,"",(B437-AVERAGE(B378:B437))/STDEV(B378:B437))</f>
        <v>-0.512734666206277</v>
      </c>
      <c r="N437" s="10" t="n">
        <f aca="false">(H437-AVERAGE(H378:H437))/STDEV(H378:H437)</f>
        <v>-1.58362047006247</v>
      </c>
      <c r="O437" s="10" t="n">
        <f aca="false">IF(COUNT(B437)=0,"",B437-('Signal Analysis'!$C$6+'Signal Analysis'!$C$5*H437))</f>
        <v>-0.265373733563997</v>
      </c>
    </row>
    <row r="438" customFormat="false" ht="15" hidden="false" customHeight="false" outlineLevel="0" collapsed="false">
      <c r="A438" s="8" t="n">
        <v>42958</v>
      </c>
      <c r="B438" s="9" t="n">
        <v>15.4903546728</v>
      </c>
      <c r="C438" s="9" t="n">
        <v>136.210007</v>
      </c>
      <c r="D438" s="9" t="n">
        <v>136.740005</v>
      </c>
      <c r="E438" s="9" t="n">
        <v>135.770004</v>
      </c>
      <c r="F438" s="9" t="n">
        <v>136.470001</v>
      </c>
      <c r="G438" s="9" t="n">
        <v>130.791061</v>
      </c>
      <c r="H438" s="9" t="n">
        <v>130.791061</v>
      </c>
      <c r="I438" s="2" t="str">
        <f aca="false">IF(COUNT(C438:F438)&lt;4,"",IF(OR(D438&lt;MAX(C438,F438)-0.000001,E438&gt;MIN(C438,F438)+0.000001),"FAIL","OK"))</f>
        <v>OK</v>
      </c>
      <c r="J438" s="10" t="n">
        <f aca="false">IF(COUNT(F438,G438)&lt;2,"",G438/F438)</f>
        <v>0.958386898524314</v>
      </c>
      <c r="K438" s="10" t="n">
        <f aca="false">H438/H437-1</f>
        <v>0.00146757952846888</v>
      </c>
      <c r="L438" s="10" t="n">
        <f aca="false">H443/H438-1</f>
        <v>-0.0113579551128499</v>
      </c>
      <c r="M438" s="10" t="n">
        <f aca="false">IF(COUNT(B379:B438)&lt;60,"",(B438-AVERAGE(B379:B438))/STDEV(B379:B438))</f>
        <v>-1.11298571667524</v>
      </c>
      <c r="N438" s="10" t="n">
        <f aca="false">(H438-AVERAGE(H379:H438))/STDEV(H379:H438)</f>
        <v>-1.56194292073009</v>
      </c>
      <c r="O438" s="10" t="n">
        <f aca="false">IF(COUNT(B438)=0,"",B438-('Signal Analysis'!$C$6+'Signal Analysis'!$C$5*H438))</f>
        <v>-0.603122141423659</v>
      </c>
    </row>
    <row r="439" customFormat="false" ht="15" hidden="false" customHeight="false" outlineLevel="0" collapsed="false">
      <c r="A439" s="8" t="n">
        <v>42961</v>
      </c>
      <c r="B439" s="9" t="n">
        <v>15.5178168</v>
      </c>
      <c r="C439" s="9" t="n">
        <v>137.259995</v>
      </c>
      <c r="D439" s="9" t="n">
        <v>138.589996</v>
      </c>
      <c r="E439" s="9" t="n">
        <v>137.229996</v>
      </c>
      <c r="F439" s="9" t="n">
        <v>138.539993</v>
      </c>
      <c r="G439" s="9" t="n">
        <v>132.774918</v>
      </c>
      <c r="H439" s="9" t="n">
        <v>132.774918</v>
      </c>
      <c r="I439" s="2" t="str">
        <f aca="false">IF(COUNT(C439:F439)&lt;4,"",IF(OR(D439&lt;MAX(C439,F439)-0.000001,E439&gt;MIN(C439,F439)+0.000001),"FAIL","OK"))</f>
        <v>OK</v>
      </c>
      <c r="J439" s="10" t="n">
        <f aca="false">IF(COUNT(F439,G439)&lt;2,"",G439/F439)</f>
        <v>0.958386925860463</v>
      </c>
      <c r="K439" s="10" t="n">
        <f aca="false">H439/H438-1</f>
        <v>0.0151681390519494</v>
      </c>
      <c r="L439" s="10" t="n">
        <f aca="false">H444/H439-1</f>
        <v>-0.0267790637987816</v>
      </c>
      <c r="M439" s="10" t="n">
        <f aca="false">IF(COUNT(B380:B439)&lt;60,"",(B439-AVERAGE(B380:B439))/STDEV(B380:B439))</f>
        <v>-1.03826708771109</v>
      </c>
      <c r="N439" s="10" t="n">
        <f aca="false">(H439-AVERAGE(H380:H439))/STDEV(H380:H439)</f>
        <v>-0.666063535356055</v>
      </c>
      <c r="O439" s="10" t="n">
        <f aca="false">IF(COUNT(B439)=0,"",B439-('Signal Analysis'!$C$6+'Signal Analysis'!$C$5*H439))</f>
        <v>-0.847036629510322</v>
      </c>
    </row>
    <row r="440" customFormat="false" ht="15" hidden="false" customHeight="false" outlineLevel="0" collapsed="false">
      <c r="A440" s="8" t="n">
        <v>42962</v>
      </c>
      <c r="B440" s="9" t="n">
        <v>15.3614983896</v>
      </c>
      <c r="C440" s="9" t="n">
        <v>138.800003</v>
      </c>
      <c r="D440" s="9" t="n">
        <v>138.820007</v>
      </c>
      <c r="E440" s="9" t="n">
        <v>137.339996</v>
      </c>
      <c r="F440" s="9" t="n">
        <v>137.399994</v>
      </c>
      <c r="G440" s="9" t="n">
        <v>131.682373</v>
      </c>
      <c r="H440" s="9" t="n">
        <v>131.682373</v>
      </c>
      <c r="I440" s="2" t="str">
        <f aca="false">IF(COUNT(C440:F440)&lt;4,"",IF(OR(D440&lt;MAX(C440,F440)-0.000001,E440&gt;MIN(C440,F440)+0.000001),"FAIL","OK"))</f>
        <v>OK</v>
      </c>
      <c r="J440" s="10" t="n">
        <f aca="false">IF(COUNT(F440,G440)&lt;2,"",G440/F440)</f>
        <v>0.958387036028546</v>
      </c>
      <c r="K440" s="10" t="n">
        <f aca="false">H440/H439-1</f>
        <v>-0.00822854961205854</v>
      </c>
      <c r="L440" s="10" t="n">
        <f aca="false">H445/H440-1</f>
        <v>-0.00807885653761742</v>
      </c>
      <c r="M440" s="10" t="n">
        <f aca="false">IF(COUNT(B381:B440)&lt;60,"",(B440-AVERAGE(B381:B440))/STDEV(B381:B440))</f>
        <v>-1.29411895920568</v>
      </c>
      <c r="N440" s="10" t="n">
        <f aca="false">(H440-AVERAGE(H381:H440))/STDEV(H381:H440)</f>
        <v>-1.26649004788956</v>
      </c>
      <c r="O440" s="10" t="n">
        <f aca="false">IF(COUNT(B440)=0,"",B440-('Signal Analysis'!$C$6+'Signal Analysis'!$C$5*H440))</f>
        <v>-0.853903156962931</v>
      </c>
    </row>
    <row r="441" customFormat="false" ht="15" hidden="false" customHeight="false" outlineLevel="0" collapsed="false">
      <c r="A441" s="8" t="n">
        <v>42963</v>
      </c>
      <c r="B441" s="9" t="n">
        <v>15.661382796</v>
      </c>
      <c r="C441" s="9" t="n">
        <v>137.669998</v>
      </c>
      <c r="D441" s="9" t="n">
        <v>138.389999</v>
      </c>
      <c r="E441" s="9" t="n">
        <v>137.210007</v>
      </c>
      <c r="F441" s="9" t="n">
        <v>137.440002</v>
      </c>
      <c r="G441" s="9" t="n">
        <v>131.720703</v>
      </c>
      <c r="H441" s="9" t="n">
        <v>131.720703</v>
      </c>
      <c r="I441" s="2" t="str">
        <f aca="false">IF(COUNT(C441:F441)&lt;4,"",IF(OR(D441&lt;MAX(C441,F441)-0.000001,E441&gt;MIN(C441,F441)+0.000001),"FAIL","OK"))</f>
        <v>OK</v>
      </c>
      <c r="J441" s="10" t="n">
        <f aca="false">IF(COUNT(F441,G441)&lt;2,"",G441/F441)</f>
        <v>0.958386940361075</v>
      </c>
      <c r="K441" s="10" t="n">
        <f aca="false">H441/H440-1</f>
        <v>0.00029107920161775</v>
      </c>
      <c r="L441" s="10" t="n">
        <f aca="false">H446/H441-1</f>
        <v>-0.00996796987941973</v>
      </c>
      <c r="M441" s="10" t="n">
        <f aca="false">IF(COUNT(B382:B441)&lt;60,"",(B441-AVERAGE(B382:B441))/STDEV(B382:B441))</f>
        <v>-0.740976900879567</v>
      </c>
      <c r="N441" s="10" t="n">
        <f aca="false">(H441-AVERAGE(H382:H441))/STDEV(H382:H441)</f>
        <v>-1.27323695497072</v>
      </c>
      <c r="O441" s="10" t="n">
        <f aca="false">IF(COUNT(B441)=0,"",B441-('Signal Analysis'!$C$6+'Signal Analysis'!$C$5*H441))</f>
        <v>-0.559262004317576</v>
      </c>
    </row>
    <row r="442" customFormat="false" ht="15" hidden="false" customHeight="false" outlineLevel="0" collapsed="false">
      <c r="A442" s="8" t="n">
        <v>42964</v>
      </c>
      <c r="B442" s="9" t="n">
        <v>15.830965836</v>
      </c>
      <c r="C442" s="9" t="n">
        <v>136.979996</v>
      </c>
      <c r="D442" s="9" t="n">
        <v>137.690002</v>
      </c>
      <c r="E442" s="9" t="n">
        <v>134.919998</v>
      </c>
      <c r="F442" s="9" t="n">
        <v>134.929993</v>
      </c>
      <c r="G442" s="9" t="n">
        <v>129.31514</v>
      </c>
      <c r="H442" s="9" t="n">
        <v>129.31514</v>
      </c>
      <c r="I442" s="2" t="str">
        <f aca="false">IF(COUNT(C442:F442)&lt;4,"",IF(OR(D442&lt;MAX(C442,F442)-0.000001,E442&gt;MIN(C442,F442)+0.000001),"FAIL","OK"))</f>
        <v>OK</v>
      </c>
      <c r="J442" s="10" t="n">
        <f aca="false">IF(COUNT(F442,G442)&lt;2,"",G442/F442)</f>
        <v>0.958386916984425</v>
      </c>
      <c r="K442" s="10" t="n">
        <f aca="false">H442/H441-1</f>
        <v>-0.0182626037153778</v>
      </c>
      <c r="L442" s="10" t="n">
        <f aca="false">H447/H442-1</f>
        <v>0.0115615696661657</v>
      </c>
      <c r="M442" s="10" t="n">
        <f aca="false">IF(COUNT(B383:B442)&lt;60,"",(B442-AVERAGE(B383:B442))/STDEV(B383:B442))</f>
        <v>-0.403044584035506</v>
      </c>
      <c r="N442" s="10" t="n">
        <f aca="false">(H442-AVERAGE(H383:H442))/STDEV(H383:H442)</f>
        <v>-2.44091171170354</v>
      </c>
      <c r="O442" s="10" t="n">
        <f aca="false">IF(COUNT(B442)=0,"",B442-('Signal Analysis'!$C$6+'Signal Analysis'!$C$5*H442))</f>
        <v>-0.0606161615052656</v>
      </c>
    </row>
    <row r="443" customFormat="false" ht="15" hidden="false" customHeight="false" outlineLevel="0" collapsed="false">
      <c r="A443" s="8" t="n">
        <v>42965</v>
      </c>
      <c r="B443" s="9" t="n">
        <v>15.805415058</v>
      </c>
      <c r="C443" s="9" t="n">
        <v>134.470001</v>
      </c>
      <c r="D443" s="9" t="n">
        <v>135.460007</v>
      </c>
      <c r="E443" s="9" t="n">
        <v>134.119995</v>
      </c>
      <c r="F443" s="9" t="n">
        <v>134.919998</v>
      </c>
      <c r="G443" s="9" t="n">
        <v>129.305542</v>
      </c>
      <c r="H443" s="9" t="n">
        <v>129.305542</v>
      </c>
      <c r="I443" s="2" t="str">
        <f aca="false">IF(COUNT(C443:F443)&lt;4,"",IF(OR(D443&lt;MAX(C443,F443)-0.000001,E443&gt;MIN(C443,F443)+0.000001),"FAIL","OK"))</f>
        <v>OK</v>
      </c>
      <c r="J443" s="10" t="n">
        <f aca="false">IF(COUNT(F443,G443)&lt;2,"",G443/F443)</f>
        <v>0.958386776732683</v>
      </c>
      <c r="K443" s="10" t="n">
        <f aca="false">H443/H442-1</f>
        <v>-7.42217809918122E-005</v>
      </c>
      <c r="L443" s="10" t="n">
        <f aca="false">H448/H443-1</f>
        <v>0.0145272041008111</v>
      </c>
      <c r="M443" s="10" t="n">
        <f aca="false">IF(COUNT(B384:B443)&lt;60,"",(B443-AVERAGE(B384:B443))/STDEV(B384:B443))</f>
        <v>-0.48507050848383</v>
      </c>
      <c r="N443" s="10" t="n">
        <f aca="false">(H443-AVERAGE(H384:H443))/STDEV(H384:H443)</f>
        <v>-2.35561536138426</v>
      </c>
      <c r="O443" s="10" t="n">
        <f aca="false">IF(COUNT(B443)=0,"",B443-('Signal Analysis'!$C$6+'Signal Analysis'!$C$5*H443))</f>
        <v>-0.0848540057839724</v>
      </c>
    </row>
    <row r="444" customFormat="false" ht="15" hidden="false" customHeight="false" outlineLevel="0" collapsed="false">
      <c r="A444" s="8" t="n">
        <v>42968</v>
      </c>
      <c r="B444" s="9" t="n">
        <v>15.2263103064</v>
      </c>
      <c r="C444" s="9" t="n">
        <v>134.690002</v>
      </c>
      <c r="D444" s="9" t="n">
        <v>135.020004</v>
      </c>
      <c r="E444" s="9" t="n">
        <v>134.139999</v>
      </c>
      <c r="F444" s="9" t="n">
        <v>134.830002</v>
      </c>
      <c r="G444" s="9" t="n">
        <v>129.21933</v>
      </c>
      <c r="H444" s="9" t="n">
        <v>129.21933</v>
      </c>
      <c r="I444" s="2" t="str">
        <f aca="false">IF(COUNT(C444:F444)&lt;4,"",IF(OR(D444&lt;MAX(C444,F444)-0.000001,E444&gt;MIN(C444,F444)+0.000001),"FAIL","OK"))</f>
        <v>OK</v>
      </c>
      <c r="J444" s="10" t="n">
        <f aca="false">IF(COUNT(F444,G444)&lt;2,"",G444/F444)</f>
        <v>0.958387065810472</v>
      </c>
      <c r="K444" s="10" t="n">
        <f aca="false">H444/H443-1</f>
        <v>-0.000666730896963341</v>
      </c>
      <c r="L444" s="10" t="n">
        <f aca="false">H449/H444-1</f>
        <v>0.0195057736330935</v>
      </c>
      <c r="M444" s="10" t="n">
        <f aca="false">IF(COUNT(B385:B444)&lt;60,"",(B444-AVERAGE(B385:B444))/STDEV(B385:B444))</f>
        <v>-1.64774088989339</v>
      </c>
      <c r="N444" s="10" t="n">
        <f aca="false">(H444-AVERAGE(H385:H444))/STDEV(H385:H444)</f>
        <v>-2.30734745377944</v>
      </c>
      <c r="O444" s="10" t="n">
        <f aca="false">IF(COUNT(B444)=0,"",B444-('Signal Analysis'!$C$6+'Signal Analysis'!$C$5*H444))</f>
        <v>-0.652165608605058</v>
      </c>
    </row>
    <row r="445" customFormat="false" ht="15" hidden="false" customHeight="false" outlineLevel="0" collapsed="false">
      <c r="A445" s="8" t="n">
        <v>42969</v>
      </c>
      <c r="B445" s="9" t="n">
        <v>15.584658012</v>
      </c>
      <c r="C445" s="9" t="n">
        <v>135.259995</v>
      </c>
      <c r="D445" s="9" t="n">
        <v>136.449997</v>
      </c>
      <c r="E445" s="9" t="n">
        <v>135.139999</v>
      </c>
      <c r="F445" s="9" t="n">
        <v>136.289993</v>
      </c>
      <c r="G445" s="9" t="n">
        <v>130.61853</v>
      </c>
      <c r="H445" s="9" t="n">
        <v>130.61853</v>
      </c>
      <c r="I445" s="2" t="str">
        <f aca="false">IF(COUNT(C445:F445)&lt;4,"",IF(OR(D445&lt;MAX(C445,F445)-0.000001,E445&gt;MIN(C445,F445)+0.000001),"FAIL","OK"))</f>
        <v>OK</v>
      </c>
      <c r="J445" s="10" t="n">
        <f aca="false">IF(COUNT(F445,G445)&lt;2,"",G445/F445)</f>
        <v>0.958386798068146</v>
      </c>
      <c r="K445" s="10" t="n">
        <f aca="false">H445/H444-1</f>
        <v>0.01082810133747</v>
      </c>
      <c r="L445" s="10" t="n">
        <f aca="false">H450/H445-1</f>
        <v>0.00880492224189022</v>
      </c>
      <c r="M445" s="10" t="n">
        <f aca="false">IF(COUNT(B386:B445)&lt;60,"",(B445-AVERAGE(B386:B445))/STDEV(B386:B445))</f>
        <v>-0.921944279970661</v>
      </c>
      <c r="N445" s="10" t="n">
        <f aca="false">(H445-AVERAGE(H386:H445))/STDEV(H386:H445)</f>
        <v>-1.62182474955507</v>
      </c>
      <c r="O445" s="10" t="n">
        <f aca="false">IF(COUNT(B445)=0,"",B445-('Signal Analysis'!$C$6+'Signal Analysis'!$C$5*H445))</f>
        <v>-0.485217867876061</v>
      </c>
    </row>
    <row r="446" customFormat="false" ht="15" hidden="false" customHeight="false" outlineLevel="0" collapsed="false">
      <c r="A446" s="8" t="n">
        <v>42970</v>
      </c>
      <c r="B446" s="9" t="n">
        <v>15.6506945364</v>
      </c>
      <c r="C446" s="9" t="n">
        <v>135.529999</v>
      </c>
      <c r="D446" s="9" t="n">
        <v>136.570007</v>
      </c>
      <c r="E446" s="9" t="n">
        <v>135.210007</v>
      </c>
      <c r="F446" s="9" t="n">
        <v>136.070007</v>
      </c>
      <c r="G446" s="9" t="n">
        <v>130.407715</v>
      </c>
      <c r="H446" s="9" t="n">
        <v>130.407715</v>
      </c>
      <c r="I446" s="2" t="str">
        <f aca="false">IF(COUNT(C446:F446)&lt;4,"",IF(OR(D446&lt;MAX(C446,F446)-0.000001,E446&gt;MIN(C446,F446)+0.000001),"FAIL","OK"))</f>
        <v>OK</v>
      </c>
      <c r="J446" s="10" t="n">
        <f aca="false">IF(COUNT(F446,G446)&lt;2,"",G446/F446)</f>
        <v>0.95838692063858</v>
      </c>
      <c r="K446" s="10" t="n">
        <f aca="false">H446/H445-1</f>
        <v>-0.0016139746787841</v>
      </c>
      <c r="L446" s="10" t="n">
        <f aca="false">H451/H446-1</f>
        <v>0.0169032560688607</v>
      </c>
      <c r="M446" s="10" t="n">
        <f aca="false">IF(COUNT(B387:B446)&lt;60,"",(B446-AVERAGE(B387:B446))/STDEV(B387:B446))</f>
        <v>-0.780640756242675</v>
      </c>
      <c r="N446" s="10" t="n">
        <f aca="false">(H446-AVERAGE(H387:H446))/STDEV(H387:H446)</f>
        <v>-1.72787808721859</v>
      </c>
      <c r="O446" s="10" t="n">
        <f aca="false">IF(COUNT(B446)=0,"",B446-('Signal Analysis'!$C$6+'Signal Analysis'!$C$5*H446))</f>
        <v>-0.39034344782549</v>
      </c>
    </row>
    <row r="447" customFormat="false" ht="15" hidden="false" customHeight="false" outlineLevel="0" collapsed="false">
      <c r="A447" s="8" t="n">
        <v>42971</v>
      </c>
      <c r="B447" s="9" t="n">
        <v>15.9703562592</v>
      </c>
      <c r="C447" s="9" t="n">
        <v>136.639999</v>
      </c>
      <c r="D447" s="9" t="n">
        <v>136.929993</v>
      </c>
      <c r="E447" s="9" t="n">
        <v>136.020004</v>
      </c>
      <c r="F447" s="9" t="n">
        <v>136.490005</v>
      </c>
      <c r="G447" s="9" t="n">
        <v>130.810226</v>
      </c>
      <c r="H447" s="9" t="n">
        <v>130.810226</v>
      </c>
      <c r="I447" s="2" t="str">
        <f aca="false">IF(COUNT(C447:F447)&lt;4,"",IF(OR(D447&lt;MAX(C447,F447)-0.000001,E447&gt;MIN(C447,F447)+0.000001),"FAIL","OK"))</f>
        <v>OK</v>
      </c>
      <c r="J447" s="10" t="n">
        <f aca="false">IF(COUNT(F447,G447)&lt;2,"",G447/F447)</f>
        <v>0.958386850377799</v>
      </c>
      <c r="K447" s="10" t="n">
        <f aca="false">H447/H446-1</f>
        <v>0.00308655818407688</v>
      </c>
      <c r="L447" s="10" t="n">
        <f aca="false">H452/H447-1</f>
        <v>0.0237381670757149</v>
      </c>
      <c r="M447" s="10" t="n">
        <f aca="false">IF(COUNT(B388:B447)&lt;60,"",(B447-AVERAGE(B388:B447))/STDEV(B388:B447))</f>
        <v>-0.133599105716418</v>
      </c>
      <c r="N447" s="10" t="n">
        <f aca="false">(H447-AVERAGE(H388:H447))/STDEV(H388:H447)</f>
        <v>-1.5579659987308</v>
      </c>
      <c r="O447" s="10" t="n">
        <f aca="false">IF(COUNT(B447)=0,"",B447-('Signal Analysis'!$C$6+'Signal Analysis'!$C$5*H447))</f>
        <v>-0.125742181900984</v>
      </c>
    </row>
    <row r="448" customFormat="false" ht="15" hidden="false" customHeight="false" outlineLevel="0" collapsed="false">
      <c r="A448" s="8" t="n">
        <v>42972</v>
      </c>
      <c r="B448" s="9" t="n">
        <v>15.595174728</v>
      </c>
      <c r="C448" s="9" t="n">
        <v>136.880005</v>
      </c>
      <c r="D448" s="9" t="n">
        <v>137.309998</v>
      </c>
      <c r="E448" s="9" t="n">
        <v>136.419998</v>
      </c>
      <c r="F448" s="9" t="n">
        <v>136.880005</v>
      </c>
      <c r="G448" s="9" t="n">
        <v>131.18399</v>
      </c>
      <c r="H448" s="9" t="n">
        <v>131.18399</v>
      </c>
      <c r="I448" s="2" t="str">
        <f aca="false">IF(COUNT(C448:F448)&lt;4,"",IF(OR(D448&lt;MAX(C448,F448)-0.000001,E448&gt;MIN(C448,F448)+0.000001),"FAIL","OK"))</f>
        <v>OK</v>
      </c>
      <c r="J448" s="10" t="n">
        <f aca="false">IF(COUNT(F448,G448)&lt;2,"",G448/F448)</f>
        <v>0.958386800175818</v>
      </c>
      <c r="K448" s="10" t="n">
        <f aca="false">H448/H447-1</f>
        <v>0.00285729955087755</v>
      </c>
      <c r="L448" s="10" t="n">
        <f aca="false">H453/H448-1</f>
        <v>0.0265927343725405</v>
      </c>
      <c r="M448" s="10" t="n">
        <f aca="false">IF(COUNT(B389:B448)&lt;60,"",(B448-AVERAGE(B389:B448))/STDEV(B389:B448))</f>
        <v>-0.855090765836079</v>
      </c>
      <c r="N448" s="10" t="n">
        <f aca="false">(H448-AVERAGE(H389:H448))/STDEV(H389:H448)</f>
        <v>-1.35127947004478</v>
      </c>
      <c r="O448" s="10" t="n">
        <f aca="false">IF(COUNT(B448)=0,"",B448-('Signal Analysis'!$C$6+'Signal Analysis'!$C$5*H448))</f>
        <v>-0.552051798056706</v>
      </c>
    </row>
    <row r="449" customFormat="false" ht="15" hidden="false" customHeight="false" outlineLevel="0" collapsed="false">
      <c r="A449" s="8" t="n">
        <v>42975</v>
      </c>
      <c r="B449" s="9" t="n">
        <v>16.06985052</v>
      </c>
      <c r="C449" s="9" t="n">
        <v>137.369995</v>
      </c>
      <c r="D449" s="9" t="n">
        <v>137.610001</v>
      </c>
      <c r="E449" s="9" t="n">
        <v>136.770004</v>
      </c>
      <c r="F449" s="9" t="n">
        <v>137.460007</v>
      </c>
      <c r="G449" s="9" t="n">
        <v>131.739853</v>
      </c>
      <c r="H449" s="9" t="n">
        <v>131.739853</v>
      </c>
      <c r="I449" s="2" t="str">
        <f aca="false">IF(COUNT(C449:F449)&lt;4,"",IF(OR(D449&lt;MAX(C449,F449)-0.000001,E449&gt;MIN(C449,F449)+0.000001),"FAIL","OK"))</f>
        <v>OK</v>
      </c>
      <c r="J449" s="10" t="n">
        <f aca="false">IF(COUNT(F449,G449)&lt;2,"",G449/F449)</f>
        <v>0.95838677645346</v>
      </c>
      <c r="K449" s="10" t="n">
        <f aca="false">H449/H448-1</f>
        <v>0.00423727773488225</v>
      </c>
      <c r="L449" s="10" t="n">
        <f aca="false">H454/H449-1</f>
        <v>0.0124399713729755</v>
      </c>
      <c r="M449" s="10" t="n">
        <f aca="false">IF(COUNT(B390:B449)&lt;60,"",(B449-AVERAGE(B390:B449))/STDEV(B390:B449))</f>
        <v>0.0847500152690497</v>
      </c>
      <c r="N449" s="10" t="n">
        <f aca="false">(H449-AVERAGE(H390:H449))/STDEV(H390:H449)</f>
        <v>-1.06412585289949</v>
      </c>
      <c r="O449" s="10" t="n">
        <f aca="false">IF(COUNT(B449)=0,"",B449-('Signal Analysis'!$C$6+'Signal Analysis'!$C$5*H449))</f>
        <v>-0.153413855308489</v>
      </c>
    </row>
    <row r="450" customFormat="false" ht="15" hidden="false" customHeight="false" outlineLevel="0" collapsed="false">
      <c r="A450" s="8" t="n">
        <v>42976</v>
      </c>
      <c r="B450" s="9" t="n">
        <v>15.5142755712</v>
      </c>
      <c r="C450" s="9" t="n">
        <v>136.490005</v>
      </c>
      <c r="D450" s="9" t="n">
        <v>137.809998</v>
      </c>
      <c r="E450" s="9" t="n">
        <v>136.229996</v>
      </c>
      <c r="F450" s="9" t="n">
        <v>137.490005</v>
      </c>
      <c r="G450" s="9" t="n">
        <v>131.768616</v>
      </c>
      <c r="H450" s="9" t="n">
        <v>131.768616</v>
      </c>
      <c r="I450" s="2" t="str">
        <f aca="false">IF(COUNT(C450:F450)&lt;4,"",IF(OR(D450&lt;MAX(C450,F450)-0.000001,E450&gt;MIN(C450,F450)+0.000001),"FAIL","OK"))</f>
        <v>OK</v>
      </c>
      <c r="J450" s="10" t="n">
        <f aca="false">IF(COUNT(F450,G450)&lt;2,"",G450/F450)</f>
        <v>0.958386873285807</v>
      </c>
      <c r="K450" s="10" t="n">
        <f aca="false">H450/H449-1</f>
        <v>0.000218331805790006</v>
      </c>
      <c r="L450" s="10" t="n">
        <f aca="false">H455/H450-1</f>
        <v>0.0143281462408318</v>
      </c>
      <c r="M450" s="10" t="n">
        <f aca="false">IF(COUNT(B391:B450)&lt;60,"",(B450-AVERAGE(B391:B450))/STDEV(B391:B450))</f>
        <v>-1.02921128997244</v>
      </c>
      <c r="N450" s="10" t="n">
        <f aca="false">(H450-AVERAGE(H391:H450))/STDEV(H391:H450)</f>
        <v>-1.03793468854156</v>
      </c>
      <c r="O450" s="10" t="n">
        <f aca="false">IF(COUNT(B450)=0,"",B450-('Signal Analysis'!$C$6+'Signal Analysis'!$C$5*H450))</f>
        <v>-0.712923364707104</v>
      </c>
    </row>
    <row r="451" customFormat="false" ht="15" hidden="false" customHeight="false" outlineLevel="0" collapsed="false">
      <c r="A451" s="8" t="n">
        <v>42977</v>
      </c>
      <c r="B451" s="9" t="n">
        <v>16.4856064548</v>
      </c>
      <c r="C451" s="9" t="n">
        <v>137.360001</v>
      </c>
      <c r="D451" s="9" t="n">
        <v>138.509995</v>
      </c>
      <c r="E451" s="9" t="n">
        <v>137.25</v>
      </c>
      <c r="F451" s="9" t="n">
        <v>138.369995</v>
      </c>
      <c r="G451" s="9" t="n">
        <v>132.61203</v>
      </c>
      <c r="H451" s="9" t="n">
        <v>132.61203</v>
      </c>
      <c r="I451" s="2" t="str">
        <f aca="false">IF(COUNT(C451:F451)&lt;4,"",IF(OR(D451&lt;MAX(C451,F451)-0.000001,E451&gt;MIN(C451,F451)+0.000001),"FAIL","OK"))</f>
        <v>OK</v>
      </c>
      <c r="J451" s="10" t="n">
        <f aca="false">IF(COUNT(F451,G451)&lt;2,"",G451/F451)</f>
        <v>0.958387185025193</v>
      </c>
      <c r="K451" s="10" t="n">
        <f aca="false">H451/H450-1</f>
        <v>0.00640071988006619</v>
      </c>
      <c r="L451" s="10" t="n">
        <f aca="false">H456/H451-1</f>
        <v>0.00534768979858025</v>
      </c>
      <c r="M451" s="10" t="n">
        <f aca="false">IF(COUNT(B392:B451)&lt;60,"",(B451-AVERAGE(B392:B451))/STDEV(B392:B451))</f>
        <v>0.923436639950215</v>
      </c>
      <c r="N451" s="10" t="n">
        <f aca="false">(H451-AVERAGE(H392:H451))/STDEV(H392:H451)</f>
        <v>-0.644931968502908</v>
      </c>
      <c r="O451" s="10" t="n">
        <f aca="false">IF(COUNT(B451)=0,"",B451-('Signal Analysis'!$C$6+'Signal Analysis'!$C$5*H451))</f>
        <v>0.143034870256734</v>
      </c>
    </row>
    <row r="452" customFormat="false" ht="15" hidden="false" customHeight="false" outlineLevel="0" collapsed="false">
      <c r="A452" s="8" t="n">
        <v>42978</v>
      </c>
      <c r="B452" s="9" t="n">
        <v>16.5199577376</v>
      </c>
      <c r="C452" s="9" t="n">
        <v>138.910004</v>
      </c>
      <c r="D452" s="9" t="n">
        <v>139.940002</v>
      </c>
      <c r="E452" s="9" t="n">
        <v>138.669998</v>
      </c>
      <c r="F452" s="9" t="n">
        <v>139.729996</v>
      </c>
      <c r="G452" s="9" t="n">
        <v>133.915421</v>
      </c>
      <c r="H452" s="9" t="n">
        <v>133.915421</v>
      </c>
      <c r="I452" s="2" t="str">
        <f aca="false">IF(COUNT(C452:F452)&lt;4,"",IF(OR(D452&lt;MAX(C452,F452)-0.000001,E452&gt;MIN(C452,F452)+0.000001),"FAIL","OK"))</f>
        <v>OK</v>
      </c>
      <c r="J452" s="10" t="n">
        <f aca="false">IF(COUNT(F452,G452)&lt;2,"",G452/F452)</f>
        <v>0.958387066725458</v>
      </c>
      <c r="K452" s="10" t="n">
        <f aca="false">H452/H451-1</f>
        <v>0.00982860303096178</v>
      </c>
      <c r="L452" s="10" t="n">
        <f aca="false">H457/H452-1</f>
        <v>-0.00443730076463711</v>
      </c>
      <c r="M452" s="10" t="n">
        <f aca="false">IF(COUNT(B393:B452)&lt;60,"",(B452-AVERAGE(B393:B452))/STDEV(B393:B452))</f>
        <v>0.982279101159869</v>
      </c>
      <c r="N452" s="10" t="n">
        <f aca="false">(H452-AVERAGE(H393:H452))/STDEV(H393:H452)</f>
        <v>-0.04551304917925</v>
      </c>
      <c r="O452" s="10" t="n">
        <f aca="false">IF(COUNT(B452)=0,"",B452-('Signal Analysis'!$C$6+'Signal Analysis'!$C$5*H452))</f>
        <v>-0.000907866106491184</v>
      </c>
    </row>
    <row r="453" customFormat="false" ht="15" hidden="false" customHeight="false" outlineLevel="0" collapsed="false">
      <c r="A453" s="8" t="n">
        <v>42979</v>
      </c>
      <c r="B453" s="9" t="n">
        <v>16.4785000728</v>
      </c>
      <c r="C453" s="9" t="n">
        <v>139.979996</v>
      </c>
      <c r="D453" s="9" t="n">
        <v>140.630005</v>
      </c>
      <c r="E453" s="9" t="n">
        <v>139.729996</v>
      </c>
      <c r="F453" s="9" t="n">
        <v>140.520004</v>
      </c>
      <c r="G453" s="9" t="n">
        <v>134.672531</v>
      </c>
      <c r="H453" s="9" t="n">
        <v>134.672531</v>
      </c>
      <c r="I453" s="2" t="str">
        <f aca="false">IF(COUNT(C453:F453)&lt;4,"",IF(OR(D453&lt;MAX(C453,F453)-0.000001,E453&gt;MIN(C453,F453)+0.000001),"FAIL","OK"))</f>
        <v>OK</v>
      </c>
      <c r="J453" s="10" t="n">
        <f aca="false">IF(COUNT(F453,G453)&lt;2,"",G453/F453)</f>
        <v>0.958386899846658</v>
      </c>
      <c r="K453" s="10" t="n">
        <f aca="false">H453/H452-1</f>
        <v>0.00565364313046501</v>
      </c>
      <c r="L453" s="10" t="n">
        <f aca="false">H458/H453-1</f>
        <v>-0.00654718383648545</v>
      </c>
      <c r="M453" s="10" t="n">
        <f aca="false">IF(COUNT(B394:B453)&lt;60,"",(B453-AVERAGE(B394:B453))/STDEV(B394:B453))</f>
        <v>0.88119200595428</v>
      </c>
      <c r="N453" s="10" t="n">
        <f aca="false">(H453-AVERAGE(H394:H453))/STDEV(H394:H453)</f>
        <v>0.30787576837887</v>
      </c>
      <c r="O453" s="10" t="n">
        <f aca="false">IF(COUNT(B453)=0,"",B453-('Signal Analysis'!$C$6+'Signal Analysis'!$C$5*H453))</f>
        <v>-0.145932445860382</v>
      </c>
    </row>
    <row r="454" customFormat="false" ht="15" hidden="false" customHeight="false" outlineLevel="0" collapsed="false">
      <c r="A454" s="8" t="n">
        <v>42983</v>
      </c>
      <c r="B454" s="9" t="n">
        <v>15.3586020096</v>
      </c>
      <c r="C454" s="9" t="n">
        <v>140.630005</v>
      </c>
      <c r="D454" s="9" t="n">
        <v>140.889999</v>
      </c>
      <c r="E454" s="9" t="n">
        <v>138.580002</v>
      </c>
      <c r="F454" s="9" t="n">
        <v>139.169998</v>
      </c>
      <c r="G454" s="9" t="n">
        <v>133.378693</v>
      </c>
      <c r="H454" s="9" t="n">
        <v>133.378693</v>
      </c>
      <c r="I454" s="2" t="str">
        <f aca="false">IF(COUNT(C454:F454)&lt;4,"",IF(OR(D454&lt;MAX(C454,F454)-0.000001,E454&gt;MIN(C454,F454)+0.000001),"FAIL","OK"))</f>
        <v>OK</v>
      </c>
      <c r="J454" s="10" t="n">
        <f aca="false">IF(COUNT(F454,G454)&lt;2,"",G454/F454)</f>
        <v>0.958386828459967</v>
      </c>
      <c r="K454" s="10" t="n">
        <f aca="false">H454/H453-1</f>
        <v>-0.00960728955186851</v>
      </c>
      <c r="L454" s="10" t="n">
        <f aca="false">H459/H454-1</f>
        <v>0.00661064630192754</v>
      </c>
      <c r="M454" s="10" t="n">
        <f aca="false">IF(COUNT(B395:B454)&lt;60,"",(B454-AVERAGE(B395:B454))/STDEV(B395:B454))</f>
        <v>-1.30526559863687</v>
      </c>
      <c r="N454" s="10" t="n">
        <f aca="false">(H454-AVERAGE(H395:H454))/STDEV(H395:H454)</f>
        <v>-0.285904585473031</v>
      </c>
      <c r="O454" s="10" t="n">
        <f aca="false">IF(COUNT(B454)=0,"",B454-('Signal Analysis'!$C$6+'Signal Analysis'!$C$5*H454))</f>
        <v>-1.0888432679592</v>
      </c>
    </row>
    <row r="455" customFormat="false" ht="15" hidden="false" customHeight="false" outlineLevel="0" collapsed="false">
      <c r="A455" s="8" t="n">
        <v>42984</v>
      </c>
      <c r="B455" s="9" t="n">
        <v>16.3185146352</v>
      </c>
      <c r="C455" s="9" t="n">
        <v>139.740005</v>
      </c>
      <c r="D455" s="9" t="n">
        <v>140</v>
      </c>
      <c r="E455" s="9" t="n">
        <v>139.080002</v>
      </c>
      <c r="F455" s="9" t="n">
        <v>139.460007</v>
      </c>
      <c r="G455" s="9" t="n">
        <v>133.656616</v>
      </c>
      <c r="H455" s="9" t="n">
        <v>133.656616</v>
      </c>
      <c r="I455" s="2" t="str">
        <f aca="false">IF(COUNT(C455:F455)&lt;4,"",IF(OR(D455&lt;MAX(C455,F455)-0.000001,E455&gt;MIN(C455,F455)+0.000001),"FAIL","OK"))</f>
        <v>OK</v>
      </c>
      <c r="J455" s="10" t="n">
        <f aca="false">IF(COUNT(F455,G455)&lt;2,"",G455/F455)</f>
        <v>0.958386700783688</v>
      </c>
      <c r="K455" s="10" t="n">
        <f aca="false">H455/H454-1</f>
        <v>0.00208371362583382</v>
      </c>
      <c r="L455" s="10" t="n">
        <f aca="false">H460/H455-1</f>
        <v>0.00803105433594542</v>
      </c>
      <c r="M455" s="10" t="n">
        <f aca="false">IF(COUNT(B396:B455)&lt;60,"",(B455-AVERAGE(B396:B455))/STDEV(B396:B455))</f>
        <v>0.588667514156515</v>
      </c>
      <c r="N455" s="10" t="n">
        <f aca="false">(H455-AVERAGE(H396:H455))/STDEV(H396:H455)</f>
        <v>-0.145658477694487</v>
      </c>
      <c r="O455" s="10" t="n">
        <f aca="false">IF(COUNT(B455)=0,"",B455-('Signal Analysis'!$C$6+'Signal Analysis'!$C$5*H455))</f>
        <v>-0.166948404249457</v>
      </c>
    </row>
    <row r="456" customFormat="false" ht="15" hidden="false" customHeight="false" outlineLevel="0" collapsed="false">
      <c r="A456" s="8" t="n">
        <v>42985</v>
      </c>
      <c r="B456" s="9" t="n">
        <v>16.4785000728</v>
      </c>
      <c r="C456" s="9" t="n">
        <v>139.589996</v>
      </c>
      <c r="D456" s="9" t="n">
        <v>139.690002</v>
      </c>
      <c r="E456" s="9" t="n">
        <v>138.589996</v>
      </c>
      <c r="F456" s="9" t="n">
        <v>139.110001</v>
      </c>
      <c r="G456" s="9" t="n">
        <v>133.321198</v>
      </c>
      <c r="H456" s="9" t="n">
        <v>133.321198</v>
      </c>
      <c r="I456" s="2" t="str">
        <f aca="false">IF(COUNT(C456:F456)&lt;4,"",IF(OR(D456&lt;MAX(C456,F456)-0.000001,E456&gt;MIN(C456,F456)+0.000001),"FAIL","OK"))</f>
        <v>OK</v>
      </c>
      <c r="J456" s="10" t="n">
        <f aca="false">IF(COUNT(F456,G456)&lt;2,"",G456/F456)</f>
        <v>0.958386866807657</v>
      </c>
      <c r="K456" s="10" t="n">
        <f aca="false">H456/H455-1</f>
        <v>-0.00250955029416577</v>
      </c>
      <c r="L456" s="10" t="n">
        <f aca="false">H461/H456-1</f>
        <v>0.0140894978101882</v>
      </c>
      <c r="M456" s="10" t="n">
        <f aca="false">IF(COUNT(B397:B456)&lt;60,"",(B456-AVERAGE(B397:B456))/STDEV(B397:B456))</f>
        <v>0.875949659008288</v>
      </c>
      <c r="N456" s="10" t="n">
        <f aca="false">(H456-AVERAGE(H397:H456))/STDEV(H397:H456)</f>
        <v>-0.286899793614259</v>
      </c>
      <c r="O456" s="10" t="n">
        <f aca="false">IF(COUNT(B456)=0,"",B456-('Signal Analysis'!$C$6+'Signal Analysis'!$C$5*H456))</f>
        <v>0.0389196758727728</v>
      </c>
    </row>
    <row r="457" customFormat="false" ht="15" hidden="false" customHeight="false" outlineLevel="0" collapsed="false">
      <c r="A457" s="8" t="n">
        <v>42986</v>
      </c>
      <c r="B457" s="9" t="n">
        <v>15.5185874472</v>
      </c>
      <c r="C457" s="9" t="n">
        <v>138.929993</v>
      </c>
      <c r="D457" s="9" t="n">
        <v>139.770004</v>
      </c>
      <c r="E457" s="9" t="n">
        <v>138.619995</v>
      </c>
      <c r="F457" s="9" t="n">
        <v>139.110001</v>
      </c>
      <c r="G457" s="9" t="n">
        <v>133.321198</v>
      </c>
      <c r="H457" s="9" t="n">
        <v>133.321198</v>
      </c>
      <c r="I457" s="2" t="str">
        <f aca="false">IF(COUNT(C457:F457)&lt;4,"",IF(OR(D457&lt;MAX(C457,F457)-0.000001,E457&gt;MIN(C457,F457)+0.000001),"FAIL","OK"))</f>
        <v>OK</v>
      </c>
      <c r="J457" s="10" t="n">
        <f aca="false">IF(COUNT(F457,G457)&lt;2,"",G457/F457)</f>
        <v>0.958386866807657</v>
      </c>
      <c r="K457" s="10" t="n">
        <f aca="false">H457/H456-1</f>
        <v>0</v>
      </c>
      <c r="L457" s="10" t="n">
        <f aca="false">H462/H457-1</f>
        <v>0.0176118722627356</v>
      </c>
      <c r="M457" s="10" t="n">
        <f aca="false">IF(COUNT(B398:B457)&lt;60,"",(B457-AVERAGE(B398:B457))/STDEV(B398:B457))</f>
        <v>-1.01139643014815</v>
      </c>
      <c r="N457" s="10" t="n">
        <f aca="false">(H457-AVERAGE(H398:H457))/STDEV(H398:H457)</f>
        <v>-0.275476175631942</v>
      </c>
      <c r="O457" s="10" t="n">
        <f aca="false">IF(COUNT(B457)=0,"",B457-('Signal Analysis'!$C$6+'Signal Analysis'!$C$5*H457))</f>
        <v>-0.920992949727227</v>
      </c>
    </row>
    <row r="458" customFormat="false" ht="15" hidden="false" customHeight="false" outlineLevel="0" collapsed="false">
      <c r="A458" s="8" t="n">
        <v>42989</v>
      </c>
      <c r="B458" s="9" t="n">
        <v>15.8385583224</v>
      </c>
      <c r="C458" s="9" t="n">
        <v>140.389999</v>
      </c>
      <c r="D458" s="9" t="n">
        <v>140.919998</v>
      </c>
      <c r="E458" s="9" t="n">
        <v>140.229996</v>
      </c>
      <c r="F458" s="12"/>
      <c r="G458" s="12"/>
      <c r="H458" s="11" t="n">
        <v>133.790805181818</v>
      </c>
      <c r="I458" s="2" t="str">
        <f aca="false">IF(COUNT(C458:F458)&lt;4,"",IF(OR(D458&lt;MAX(C458,F458)-0.000001,E458&gt;MIN(C458,F458)+0.000001),"FAIL","OK"))</f>
        <v/>
      </c>
      <c r="J458" s="10" t="str">
        <f aca="false">IF(COUNT(F458,G458)&lt;2,"",G458/F458)</f>
        <v/>
      </c>
      <c r="K458" s="10" t="n">
        <f aca="false">H458/H457-1</f>
        <v>0.00352237445254722</v>
      </c>
      <c r="L458" s="10" t="n">
        <f aca="false">H463/H458-1</f>
        <v>0.0175500543994782</v>
      </c>
      <c r="M458" s="10" t="n">
        <f aca="false">IF(COUNT(B399:B458)&lt;60,"",(B458-AVERAGE(B399:B458))/STDEV(B399:B458))</f>
        <v>-0.345533221454616</v>
      </c>
      <c r="N458" s="10" t="n">
        <f aca="false">(H458-AVERAGE(H399:H458))/STDEV(H399:H458)</f>
        <v>-0.0507725084386605</v>
      </c>
      <c r="O458" s="10" t="n">
        <f aca="false">IF(COUNT(B458)=0,"",B458-('Signal Analysis'!$C$6+'Signal Analysis'!$C$5*H458))</f>
        <v>-0.665260781004623</v>
      </c>
    </row>
    <row r="459" customFormat="false" ht="15" hidden="false" customHeight="false" outlineLevel="0" collapsed="false">
      <c r="A459" s="8" t="n">
        <v>42990</v>
      </c>
      <c r="B459" s="9" t="n">
        <v>15.5185874472</v>
      </c>
      <c r="C459" s="9" t="n">
        <v>141.039993</v>
      </c>
      <c r="D459" s="9" t="n">
        <v>141.690002</v>
      </c>
      <c r="E459" s="9" t="n">
        <v>140.820007</v>
      </c>
      <c r="F459" s="12"/>
      <c r="G459" s="12"/>
      <c r="H459" s="11" t="n">
        <v>134.260412363636</v>
      </c>
      <c r="I459" s="2" t="str">
        <f aca="false">IF(COUNT(C459:F459)&lt;4,"",IF(OR(D459&lt;MAX(C459,F459)-0.000001,E459&gt;MIN(C459,F459)+0.000001),"FAIL","OK"))</f>
        <v/>
      </c>
      <c r="J459" s="10" t="str">
        <f aca="false">IF(COUNT(F459,G459)&lt;2,"",G459/F459)</f>
        <v/>
      </c>
      <c r="K459" s="10" t="n">
        <f aca="false">H459/H458-1</f>
        <v>0.00351001087989578</v>
      </c>
      <c r="L459" s="10" t="n">
        <f aca="false">H464/H459-1</f>
        <v>0.0174886689810796</v>
      </c>
      <c r="M459" s="10" t="n">
        <f aca="false">IF(COUNT(B400:B459)&lt;60,"",(B459-AVERAGE(B400:B459))/STDEV(B400:B459))</f>
        <v>-0.964364166417104</v>
      </c>
      <c r="N459" s="10" t="n">
        <f aca="false">(H459-AVERAGE(H400:H459))/STDEV(H400:H459)</f>
        <v>0.16757569170144</v>
      </c>
      <c r="O459" s="10" t="n">
        <f aca="false">IF(COUNT(B459)=0,"",B459-('Signal Analysis'!$C$6+'Signal Analysis'!$C$5*H459))</f>
        <v>-1.04947036268202</v>
      </c>
    </row>
    <row r="460" customFormat="false" ht="15" hidden="false" customHeight="false" outlineLevel="0" collapsed="false">
      <c r="A460" s="8" t="n">
        <v>42991</v>
      </c>
      <c r="B460" s="9" t="n">
        <v>16.1585291976</v>
      </c>
      <c r="C460" s="9" t="n">
        <v>141.410004</v>
      </c>
      <c r="D460" s="9" t="n">
        <v>142.220001</v>
      </c>
      <c r="E460" s="9" t="n">
        <v>141.320007</v>
      </c>
      <c r="F460" s="12"/>
      <c r="G460" s="12"/>
      <c r="H460" s="11" t="n">
        <v>134.730019545455</v>
      </c>
      <c r="I460" s="2" t="str">
        <f aca="false">IF(COUNT(C460:F460)&lt;4,"",IF(OR(D460&lt;MAX(C460,F460)-0.000001,E460&gt;MIN(C460,F460)+0.000001),"FAIL","OK"))</f>
        <v/>
      </c>
      <c r="J460" s="10" t="str">
        <f aca="false">IF(COUNT(F460,G460)&lt;2,"",G460/F460)</f>
        <v/>
      </c>
      <c r="K460" s="10" t="n">
        <f aca="false">H460/H459-1</f>
        <v>0.00349773379621632</v>
      </c>
      <c r="L460" s="10" t="n">
        <f aca="false">H465/H460-1</f>
        <v>0.0174277114856249</v>
      </c>
      <c r="M460" s="10" t="n">
        <f aca="false">IF(COUNT(B401:B460)&lt;60,"",(B460-AVERAGE(B401:B460))/STDEV(B401:B460))</f>
        <v>0.314818300675627</v>
      </c>
      <c r="N460" s="10" t="n">
        <f aca="false">(H460-AVERAGE(H401:H460))/STDEV(H401:H460)</f>
        <v>0.390085831740105</v>
      </c>
      <c r="O460" s="10" t="n">
        <f aca="false">IF(COUNT(B460)=0,"",B460-('Signal Analysis'!$C$6+'Signal Analysis'!$C$5*H460))</f>
        <v>-0.473767318759421</v>
      </c>
    </row>
    <row r="461" customFormat="false" ht="15" hidden="false" customHeight="false" outlineLevel="0" collapsed="false">
      <c r="A461" s="8" t="n">
        <v>42992</v>
      </c>
      <c r="B461" s="9" t="n">
        <v>16.4785000728</v>
      </c>
      <c r="C461" s="9" t="n">
        <v>141.779999</v>
      </c>
      <c r="D461" s="9" t="n">
        <v>142.160004</v>
      </c>
      <c r="E461" s="9" t="n">
        <v>141.419998</v>
      </c>
      <c r="F461" s="12"/>
      <c r="G461" s="12"/>
      <c r="H461" s="11" t="n">
        <v>135.199626727273</v>
      </c>
      <c r="I461" s="2" t="str">
        <f aca="false">IF(COUNT(C461:F461)&lt;4,"",IF(OR(D461&lt;MAX(C461,F461)-0.000001,E461&gt;MIN(C461,F461)+0.000001),"FAIL","OK"))</f>
        <v/>
      </c>
      <c r="J461" s="10" t="str">
        <f aca="false">IF(COUNT(F461,G461)&lt;2,"",G461/F461)</f>
        <v/>
      </c>
      <c r="K461" s="10" t="n">
        <f aca="false">H461/H460-1</f>
        <v>0.00348554229712428</v>
      </c>
      <c r="L461" s="10" t="n">
        <f aca="false">H466/H461-1</f>
        <v>0.0173671774540283</v>
      </c>
      <c r="M461" s="10" t="n">
        <f aca="false">IF(COUNT(B402:B461)&lt;60,"",(B461-AVERAGE(B402:B461))/STDEV(B402:B461))</f>
        <v>0.962634274346522</v>
      </c>
      <c r="N461" s="10" t="n">
        <f aca="false">(H461-AVERAGE(H402:H461))/STDEV(H402:H461)</f>
        <v>0.596561086726419</v>
      </c>
      <c r="O461" s="10" t="n">
        <f aca="false">IF(COUNT(B461)=0,"",B461-('Signal Analysis'!$C$6+'Signal Analysis'!$C$5*H461))</f>
        <v>-0.218035150036805</v>
      </c>
    </row>
    <row r="462" customFormat="false" ht="15" hidden="false" customHeight="false" outlineLevel="0" collapsed="false">
      <c r="A462" s="8" t="n">
        <v>42993</v>
      </c>
      <c r="B462" s="9" t="n">
        <v>15.198616572</v>
      </c>
      <c r="C462" s="9" t="n">
        <v>141.639999</v>
      </c>
      <c r="D462" s="9" t="n">
        <v>142.470001</v>
      </c>
      <c r="E462" s="9" t="n">
        <v>141.550003</v>
      </c>
      <c r="F462" s="12"/>
      <c r="G462" s="12"/>
      <c r="H462" s="11" t="n">
        <v>135.669233909091</v>
      </c>
      <c r="I462" s="2" t="str">
        <f aca="false">IF(COUNT(C462:F462)&lt;4,"",IF(OR(D462&lt;MAX(C462,F462)-0.000001,E462&gt;MIN(C462,F462)+0.000001),"FAIL","OK"))</f>
        <v/>
      </c>
      <c r="J462" s="10" t="str">
        <f aca="false">IF(COUNT(F462,G462)&lt;2,"",G462/F462)</f>
        <v/>
      </c>
      <c r="K462" s="10" t="n">
        <f aca="false">H462/H461-1</f>
        <v>0.00347343549080592</v>
      </c>
      <c r="L462" s="10" t="n">
        <f aca="false">H467/H462-1</f>
        <v>0.0173070624889373</v>
      </c>
      <c r="M462" s="10" t="n">
        <f aca="false">IF(COUNT(B403:B462)&lt;60,"",(B462-AVERAGE(B403:B462))/STDEV(B403:B462))</f>
        <v>-1.64177877656666</v>
      </c>
      <c r="N462" s="10" t="n">
        <f aca="false">(H462-AVERAGE(H403:H462))/STDEV(H403:H462)</f>
        <v>0.794512858778383</v>
      </c>
      <c r="O462" s="10" t="n">
        <f aca="false">IF(COUNT(B462)=0,"",B462-('Signal Analysis'!$C$6+'Signal Analysis'!$C$5*H462))</f>
        <v>-1.5621573573142</v>
      </c>
    </row>
    <row r="463" customFormat="false" ht="15" hidden="false" customHeight="false" outlineLevel="0" collapsed="false">
      <c r="A463" s="8" t="n">
        <v>42996</v>
      </c>
      <c r="B463" s="9" t="n">
        <v>15.5185874472</v>
      </c>
      <c r="C463" s="9" t="n">
        <v>142.619995</v>
      </c>
      <c r="D463" s="9" t="n">
        <v>143.809998</v>
      </c>
      <c r="E463" s="9" t="n">
        <v>142.600006</v>
      </c>
      <c r="F463" s="12"/>
      <c r="G463" s="12"/>
      <c r="H463" s="11" t="n">
        <v>136.138841090909</v>
      </c>
      <c r="I463" s="2" t="str">
        <f aca="false">IF(COUNT(C463:F463)&lt;4,"",IF(OR(D463&lt;MAX(C463,F463)-0.000001,E463&gt;MIN(C463,F463)+0.000001),"FAIL","OK"))</f>
        <v/>
      </c>
      <c r="J463" s="10" t="str">
        <f aca="false">IF(COUNT(F463,G463)&lt;2,"",G463/F463)</f>
        <v/>
      </c>
      <c r="K463" s="10" t="n">
        <f aca="false">H463/H462-1</f>
        <v>0.00346141249778764</v>
      </c>
      <c r="L463" s="10" t="n">
        <f aca="false">H468/H463-1</f>
        <v>0.0172473622536786</v>
      </c>
      <c r="M463" s="10" t="n">
        <f aca="false">IF(COUNT(B404:B463)&lt;60,"",(B463-AVERAGE(B404:B463))/STDEV(B404:B463))</f>
        <v>-0.959642319441094</v>
      </c>
      <c r="N463" s="10" t="n">
        <f aca="false">(H463-AVERAGE(H404:H463))/STDEV(H404:H463)</f>
        <v>0.987062401114562</v>
      </c>
      <c r="O463" s="10" t="n">
        <f aca="false">IF(COUNT(B463)=0,"",B463-('Signal Analysis'!$C$6+'Signal Analysis'!$C$5*H463))</f>
        <v>-1.3064251885916</v>
      </c>
    </row>
    <row r="464" customFormat="false" ht="15" hidden="false" customHeight="false" outlineLevel="0" collapsed="false">
      <c r="A464" s="8" t="n">
        <v>42997</v>
      </c>
      <c r="B464" s="9" t="n">
        <v>16.798470948</v>
      </c>
      <c r="C464" s="9" t="n">
        <v>143.570007</v>
      </c>
      <c r="D464" s="9" t="n">
        <v>143.690002</v>
      </c>
      <c r="E464" s="9" t="n">
        <v>143.089996</v>
      </c>
      <c r="F464" s="12"/>
      <c r="G464" s="12"/>
      <c r="H464" s="11" t="n">
        <v>136.608448272727</v>
      </c>
      <c r="I464" s="2" t="str">
        <f aca="false">IF(COUNT(C464:F464)&lt;4,"",IF(OR(D464&lt;MAX(C464,F464)-0.000001,E464&gt;MIN(C464,F464)+0.000001),"FAIL","OK"))</f>
        <v/>
      </c>
      <c r="J464" s="10" t="str">
        <f aca="false">IF(COUNT(F464,G464)&lt;2,"",G464/F464)</f>
        <v/>
      </c>
      <c r="K464" s="10" t="n">
        <f aca="false">H464/H463-1</f>
        <v>0.0034494724507359</v>
      </c>
      <c r="L464" s="10" t="n">
        <f aca="false">H469/H464-1</f>
        <v>0.0169786258214586</v>
      </c>
      <c r="M464" s="10" t="n">
        <f aca="false">IF(COUNT(B405:B464)&lt;60,"",(B464-AVERAGE(B405:B464))/STDEV(B405:B464))</f>
        <v>1.6077045817842</v>
      </c>
      <c r="N464" s="10" t="n">
        <f aca="false">(H464-AVERAGE(H405:H464))/STDEV(H405:H464)</f>
        <v>1.17550253683997</v>
      </c>
      <c r="O464" s="10" t="n">
        <f aca="false">IF(COUNT(B464)=0,"",B464-('Signal Analysis'!$C$6+'Signal Analysis'!$C$5*H464))</f>
        <v>-0.0907803942689966</v>
      </c>
    </row>
    <row r="465" customFormat="false" ht="15" hidden="false" customHeight="false" outlineLevel="0" collapsed="false">
      <c r="A465" s="8" t="n">
        <v>42998</v>
      </c>
      <c r="B465" s="9" t="n">
        <v>15.9536882304</v>
      </c>
      <c r="C465" s="9" t="n">
        <v>143.529999</v>
      </c>
      <c r="D465" s="9" t="n">
        <v>144.020004</v>
      </c>
      <c r="E465" s="9" t="n">
        <v>143.259995</v>
      </c>
      <c r="F465" s="12"/>
      <c r="G465" s="12"/>
      <c r="H465" s="11" t="n">
        <v>137.078055454545</v>
      </c>
      <c r="I465" s="2" t="str">
        <f aca="false">IF(COUNT(C465:F465)&lt;4,"",IF(OR(D465&lt;MAX(C465,F465)-0.000001,E465&gt;MIN(C465,F465)+0.000001),"FAIL","OK"))</f>
        <v/>
      </c>
      <c r="J465" s="10" t="str">
        <f aca="false">IF(COUNT(F465,G465)&lt;2,"",G465/F465)</f>
        <v/>
      </c>
      <c r="K465" s="10" t="n">
        <f aca="false">H465/H464-1</f>
        <v>0.00343761449424096</v>
      </c>
      <c r="L465" s="10" t="n">
        <f aca="false">H470/H465-1</f>
        <v>0.0333285406646986</v>
      </c>
      <c r="M465" s="10" t="n">
        <f aca="false">IF(COUNT(B406:B465)&lt;60,"",(B465-AVERAGE(B406:B465))/STDEV(B406:B465))</f>
        <v>-0.083543454146202</v>
      </c>
      <c r="N465" s="10" t="n">
        <f aca="false">(H465-AVERAGE(H406:H465))/STDEV(H406:H465)</f>
        <v>1.35204857605439</v>
      </c>
      <c r="O465" s="10" t="n">
        <f aca="false">IF(COUNT(B465)=0,"",B465-('Signal Analysis'!$C$6+'Signal Analysis'!$C$5*H465))</f>
        <v>-0.999801818346382</v>
      </c>
    </row>
    <row r="466" customFormat="false" ht="15" hidden="false" customHeight="false" outlineLevel="0" collapsed="false">
      <c r="A466" s="8" t="n">
        <v>42999</v>
      </c>
      <c r="B466" s="9" t="n">
        <v>16.0044908544</v>
      </c>
      <c r="C466" s="9" t="n">
        <v>144.020004</v>
      </c>
      <c r="D466" s="9" t="n">
        <v>144.259995</v>
      </c>
      <c r="E466" s="9" t="n">
        <v>143.479996</v>
      </c>
      <c r="F466" s="12"/>
      <c r="G466" s="12"/>
      <c r="H466" s="11" t="n">
        <v>137.547662636364</v>
      </c>
      <c r="I466" s="2" t="str">
        <f aca="false">IF(COUNT(C466:F466)&lt;4,"",IF(OR(D466&lt;MAX(C466,F466)-0.000001,E466&gt;MIN(C466,F466)+0.000001),"FAIL","OK"))</f>
        <v/>
      </c>
      <c r="J466" s="10" t="str">
        <f aca="false">IF(COUNT(F466,G466)&lt;2,"",G466/F466)</f>
        <v/>
      </c>
      <c r="K466" s="10" t="n">
        <f aca="false">H466/H465-1</f>
        <v>0.00342583778461858</v>
      </c>
      <c r="L466" s="10" t="n">
        <f aca="false">H471/H466-1</f>
        <v>0.0325246120354914</v>
      </c>
      <c r="M466" s="10" t="n">
        <f aca="false">IF(COUNT(B407:B466)&lt;60,"",(B466-AVERAGE(B407:B466))/STDEV(B407:B466))</f>
        <v>-0.00433570701157655</v>
      </c>
      <c r="N466" s="10" t="n">
        <f aca="false">(H466-AVERAGE(H407:H466))/STDEV(H407:H466)</f>
        <v>1.50497186544419</v>
      </c>
      <c r="O466" s="10" t="n">
        <f aca="false">IF(COUNT(B466)=0,"",B466-('Signal Analysis'!$C$6+'Signal Analysis'!$C$5*H466))</f>
        <v>-1.01323790082378</v>
      </c>
    </row>
    <row r="467" customFormat="false" ht="15" hidden="false" customHeight="false" outlineLevel="0" collapsed="false">
      <c r="A467" s="8" t="n">
        <v>43000</v>
      </c>
      <c r="B467" s="9" t="n">
        <v>16.99760004</v>
      </c>
      <c r="C467" s="9" t="n">
        <v>143.669998</v>
      </c>
      <c r="D467" s="9" t="n">
        <v>144.669998</v>
      </c>
      <c r="E467" s="9" t="n">
        <v>143.559998</v>
      </c>
      <c r="F467" s="12"/>
      <c r="G467" s="12"/>
      <c r="H467" s="11" t="n">
        <v>138.017269818182</v>
      </c>
      <c r="I467" s="2" t="str">
        <f aca="false">IF(COUNT(C467:F467)&lt;4,"",IF(OR(D467&lt;MAX(C467,F467)-0.000001,E467&gt;MIN(C467,F467)+0.000001),"FAIL","OK"))</f>
        <v/>
      </c>
      <c r="J467" s="10" t="str">
        <f aca="false">IF(COUNT(F467,G467)&lt;2,"",G467/F467)</f>
        <v/>
      </c>
      <c r="K467" s="10" t="n">
        <f aca="false">H467/H466-1</f>
        <v>0.00341414148970087</v>
      </c>
      <c r="L467" s="10" t="n">
        <f aca="false">H472/H467-1</f>
        <v>0.0314476600467168</v>
      </c>
      <c r="M467" s="10" t="n">
        <f aca="false">IF(COUNT(B408:B467)&lt;60,"",(B467-AVERAGE(B408:B467))/STDEV(B408:B467))</f>
        <v>1.9442792004149</v>
      </c>
      <c r="N467" s="10" t="n">
        <f aca="false">(H467-AVERAGE(H408:H467))/STDEV(H408:H467)</f>
        <v>1.65943423961309</v>
      </c>
      <c r="O467" s="10" t="n">
        <f aca="false">IF(COUNT(B467)=0,"",B467-('Signal Analysis'!$C$6+'Signal Analysis'!$C$5*H467))</f>
        <v>-0.0843674217011809</v>
      </c>
    </row>
    <row r="468" customFormat="false" ht="15" hidden="false" customHeight="false" outlineLevel="0" collapsed="false">
      <c r="A468" s="8" t="n">
        <v>43003</v>
      </c>
      <c r="B468" s="9" t="n">
        <v>17.04256164</v>
      </c>
      <c r="C468" s="9" t="n">
        <v>144.270004</v>
      </c>
      <c r="D468" s="9" t="n">
        <v>144.940002</v>
      </c>
      <c r="E468" s="9" t="n">
        <v>143.690002</v>
      </c>
      <c r="F468" s="9" t="n">
        <v>144.5</v>
      </c>
      <c r="G468" s="9" t="n">
        <v>138.486877</v>
      </c>
      <c r="H468" s="9" t="n">
        <v>138.486877</v>
      </c>
      <c r="I468" s="2" t="str">
        <f aca="false">IF(COUNT(C468:F468)&lt;4,"",IF(OR(D468&lt;MAX(C468,F468)-0.000001,E468&gt;MIN(C468,F468)+0.000001),"FAIL","OK"))</f>
        <v>OK</v>
      </c>
      <c r="J468" s="10" t="n">
        <f aca="false">IF(COUNT(F468,G468)&lt;2,"",G468/F468)</f>
        <v>0.958386692041523</v>
      </c>
      <c r="K468" s="10" t="n">
        <f aca="false">H468/H467-1</f>
        <v>0.00340252478865022</v>
      </c>
      <c r="L468" s="10" t="n">
        <f aca="false">H473/H468-1</f>
        <v>0.0405757001798806</v>
      </c>
      <c r="M468" s="10" t="n">
        <f aca="false">IF(COUNT(B409:B468)&lt;60,"",(B468-AVERAGE(B409:B468))/STDEV(B409:B468))</f>
        <v>1.96651014788559</v>
      </c>
      <c r="N468" s="10" t="n">
        <f aca="false">(H468-AVERAGE(H409:H468))/STDEV(H409:H468)</f>
        <v>1.78589790322528</v>
      </c>
      <c r="O468" s="10" t="n">
        <f aca="false">IF(COUNT(B468)=0,"",B468-('Signal Analysis'!$C$6+'Signal Analysis'!$C$5*H468))</f>
        <v>-0.103644528178577</v>
      </c>
    </row>
    <row r="469" customFormat="false" ht="15" hidden="false" customHeight="false" outlineLevel="0" collapsed="false">
      <c r="A469" s="8" t="n">
        <v>43004</v>
      </c>
      <c r="B469" s="9" t="n">
        <v>17.766227232</v>
      </c>
      <c r="C469" s="9" t="n">
        <v>144.289993</v>
      </c>
      <c r="D469" s="9" t="n">
        <v>145.149994</v>
      </c>
      <c r="E469" s="9" t="n">
        <v>144.179993</v>
      </c>
      <c r="F469" s="9" t="n">
        <v>144.610001</v>
      </c>
      <c r="G469" s="9" t="n">
        <v>138.927872</v>
      </c>
      <c r="H469" s="9" t="n">
        <v>138.927872</v>
      </c>
      <c r="I469" s="2" t="str">
        <f aca="false">IF(COUNT(C469:F469)&lt;4,"",IF(OR(D469&lt;MAX(C469,F469)-0.000001,E469&gt;MIN(C469,F469)+0.000001),"FAIL","OK"))</f>
        <v>OK</v>
      </c>
      <c r="J469" s="10" t="n">
        <f aca="false">IF(COUNT(F469,G469)&lt;2,"",G469/F469)</f>
        <v>0.96070721968946</v>
      </c>
      <c r="K469" s="10" t="n">
        <f aca="false">H469/H468-1</f>
        <v>0.00318438114537023</v>
      </c>
      <c r="L469" s="10" t="n">
        <f aca="false">H474/H469-1</f>
        <v>0.0395547266426135</v>
      </c>
      <c r="M469" s="10" t="n">
        <f aca="false">IF(COUNT(B410:B469)&lt;60,"",(B469-AVERAGE(B410:B469))/STDEV(B410:B469))</f>
        <v>3.06306311298276</v>
      </c>
      <c r="N469" s="10" t="n">
        <f aca="false">(H469-AVERAGE(H410:H469))/STDEV(H410:H469)</f>
        <v>1.88127604558134</v>
      </c>
      <c r="O469" s="10" t="n">
        <f aca="false">IF(COUNT(B469)=0,"",B469-('Signal Analysis'!$C$6+'Signal Analysis'!$C$5*H469))</f>
        <v>0.559696287157408</v>
      </c>
    </row>
    <row r="470" customFormat="false" ht="15" hidden="false" customHeight="false" outlineLevel="0" collapsed="false">
      <c r="A470" s="8" t="n">
        <v>43005</v>
      </c>
      <c r="B470" s="9" t="n">
        <v>17.6385840696</v>
      </c>
      <c r="C470" s="9" t="n">
        <v>145.630005</v>
      </c>
      <c r="D470" s="9" t="n">
        <v>147.860001</v>
      </c>
      <c r="E470" s="9" t="n">
        <v>145.160004</v>
      </c>
      <c r="F470" s="9" t="n">
        <v>147.440002</v>
      </c>
      <c r="G470" s="9" t="n">
        <v>141.646667</v>
      </c>
      <c r="H470" s="9" t="n">
        <v>141.646667</v>
      </c>
      <c r="I470" s="2" t="str">
        <f aca="false">IF(COUNT(C470:F470)&lt;4,"",IF(OR(D470&lt;MAX(C470,F470)-0.000001,E470&gt;MIN(C470,F470)+0.000001),"FAIL","OK"))</f>
        <v>OK</v>
      </c>
      <c r="J470" s="10" t="n">
        <f aca="false">IF(COUNT(F470,G470)&lt;2,"",G470/F470)</f>
        <v>0.960707169550907</v>
      </c>
      <c r="K470" s="10" t="n">
        <f aca="false">H470/H469-1</f>
        <v>0.0195698311710986</v>
      </c>
      <c r="L470" s="10" t="n">
        <f aca="false">H475/H470-1</f>
        <v>0.0163457640694078</v>
      </c>
      <c r="M470" s="10" t="n">
        <f aca="false">IF(COUNT(B411:B470)&lt;60,"",(B470-AVERAGE(B411:B470))/STDEV(B411:B470))</f>
        <v>2.6743433064062</v>
      </c>
      <c r="N470" s="10" t="n">
        <f aca="false">(H470-AVERAGE(H411:H470))/STDEV(H411:H470)</f>
        <v>2.76143182342203</v>
      </c>
      <c r="O470" s="10" t="n">
        <f aca="false">IF(COUNT(B470)=0,"",B470-('Signal Analysis'!$C$6+'Signal Analysis'!$C$5*H470))</f>
        <v>0.0601425562243421</v>
      </c>
    </row>
    <row r="471" customFormat="false" ht="15" hidden="false" customHeight="false" outlineLevel="0" collapsed="false">
      <c r="A471" s="8" t="n">
        <v>43006</v>
      </c>
      <c r="B471" s="9" t="n">
        <v>17.1574673688</v>
      </c>
      <c r="C471" s="9" t="n">
        <v>147.25</v>
      </c>
      <c r="D471" s="9" t="n">
        <v>148.059998</v>
      </c>
      <c r="E471" s="9" t="n">
        <v>146.779999</v>
      </c>
      <c r="F471" s="9" t="n">
        <v>147.830002</v>
      </c>
      <c r="G471" s="9" t="n">
        <v>142.021347</v>
      </c>
      <c r="H471" s="9" t="n">
        <v>142.021347</v>
      </c>
      <c r="I471" s="2" t="str">
        <f aca="false">IF(COUNT(C471:F471)&lt;4,"",IF(OR(D471&lt;MAX(C471,F471)-0.000001,E471&gt;MIN(C471,F471)+0.000001),"FAIL","OK"))</f>
        <v>OK</v>
      </c>
      <c r="J471" s="10" t="n">
        <f aca="false">IF(COUNT(F471,G471)&lt;2,"",G471/F471)</f>
        <v>0.960707197988132</v>
      </c>
      <c r="K471" s="10" t="n">
        <f aca="false">H471/H470-1</f>
        <v>0.00264517343002479</v>
      </c>
      <c r="L471" s="10" t="n">
        <f aca="false">H476/H471-1</f>
        <v>0.0164376908775552</v>
      </c>
      <c r="M471" s="10" t="n">
        <f aca="false">IF(COUNT(B412:B471)&lt;60,"",(B471-AVERAGE(B412:B471))/STDEV(B412:B471))</f>
        <v>1.78310042544432</v>
      </c>
      <c r="N471" s="10" t="n">
        <f aca="false">(H471-AVERAGE(H412:H471))/STDEV(H412:H471)</f>
        <v>2.67961151916521</v>
      </c>
      <c r="O471" s="10" t="n">
        <f aca="false">IF(COUNT(B471)=0,"",B471-('Signal Analysis'!$C$6+'Signal Analysis'!$C$5*H471))</f>
        <v>-0.472227531395173</v>
      </c>
    </row>
    <row r="472" customFormat="false" ht="15" hidden="false" customHeight="false" outlineLevel="0" collapsed="false">
      <c r="A472" s="8" t="n">
        <v>43007</v>
      </c>
      <c r="B472" s="9" t="n">
        <v>18.13921074</v>
      </c>
      <c r="C472" s="9" t="n">
        <v>147.919998</v>
      </c>
      <c r="D472" s="9" t="n">
        <v>148.429993</v>
      </c>
      <c r="E472" s="9" t="n">
        <v>147.740005</v>
      </c>
      <c r="F472" s="9" t="n">
        <v>148.179993</v>
      </c>
      <c r="G472" s="9" t="n">
        <v>142.35759</v>
      </c>
      <c r="H472" s="9" t="n">
        <v>142.35759</v>
      </c>
      <c r="I472" s="2" t="str">
        <f aca="false">IF(COUNT(C472:F472)&lt;4,"",IF(OR(D472&lt;MAX(C472,F472)-0.000001,E472&gt;MIN(C472,F472)+0.000001),"FAIL","OK"))</f>
        <v>OK</v>
      </c>
      <c r="J472" s="10" t="n">
        <f aca="false">IF(COUNT(F472,G472)&lt;2,"",G472/F472)</f>
        <v>0.960707225839861</v>
      </c>
      <c r="K472" s="10" t="n">
        <f aca="false">H472/H471-1</f>
        <v>0.00236755253419751</v>
      </c>
      <c r="L472" s="10" t="n">
        <f aca="false">H477/H472-1</f>
        <v>0.0126197977923059</v>
      </c>
      <c r="M472" s="10" t="n">
        <f aca="false">IF(COUNT(B413:B472)&lt;60,"",(B472-AVERAGE(B413:B472))/STDEV(B413:B472))</f>
        <v>3.078761237159</v>
      </c>
      <c r="N472" s="10" t="n">
        <f aca="false">(H472-AVERAGE(H413:H472))/STDEV(H413:H472)</f>
        <v>2.58738525686208</v>
      </c>
      <c r="O472" s="10" t="n">
        <f aca="false">IF(COUNT(B472)=0,"",B472-('Signal Analysis'!$C$6+'Signal Analysis'!$C$5*H472))</f>
        <v>0.463520343529726</v>
      </c>
    </row>
    <row r="473" customFormat="false" ht="15" hidden="false" customHeight="false" outlineLevel="0" collapsed="false">
      <c r="A473" s="8" t="n">
        <v>43010</v>
      </c>
      <c r="B473" s="9" t="n">
        <v>18.01561008</v>
      </c>
      <c r="C473" s="9" t="n">
        <v>148.309998</v>
      </c>
      <c r="D473" s="9" t="n">
        <v>150</v>
      </c>
      <c r="E473" s="9" t="n">
        <v>148.080002</v>
      </c>
      <c r="F473" s="9" t="n">
        <v>150</v>
      </c>
      <c r="G473" s="9" t="n">
        <v>144.106079</v>
      </c>
      <c r="H473" s="9" t="n">
        <v>144.106079</v>
      </c>
      <c r="I473" s="2" t="str">
        <f aca="false">IF(COUNT(C473:F473)&lt;4,"",IF(OR(D473&lt;MAX(C473,F473)-0.000001,E473&gt;MIN(C473,F473)+0.000001),"FAIL","OK"))</f>
        <v>OK</v>
      </c>
      <c r="J473" s="10" t="n">
        <f aca="false">IF(COUNT(F473,G473)&lt;2,"",G473/F473)</f>
        <v>0.960707193333333</v>
      </c>
      <c r="K473" s="10" t="n">
        <f aca="false">H473/H472-1</f>
        <v>0.0122823728611872</v>
      </c>
      <c r="L473" s="10" t="n">
        <f aca="false">H478/H473-1</f>
        <v>-0.00380002706200899</v>
      </c>
      <c r="M473" s="10" t="n">
        <f aca="false">IF(COUNT(B414:B473)&lt;60,"",(B473-AVERAGE(B414:B473))/STDEV(B414:B473))</f>
        <v>2.66061528993544</v>
      </c>
      <c r="N473" s="10" t="n">
        <f aca="false">(H473-AVERAGE(H414:H473))/STDEV(H414:H473)</f>
        <v>2.89172654961471</v>
      </c>
      <c r="O473" s="10" t="n">
        <f aca="false">IF(COUNT(B473)=0,"",B473-('Signal Analysis'!$C$6+'Signal Analysis'!$C$5*H473))</f>
        <v>0.100739628371535</v>
      </c>
    </row>
    <row r="474" customFormat="false" ht="15" hidden="false" customHeight="false" outlineLevel="0" collapsed="false">
      <c r="A474" s="8" t="n">
        <v>43011</v>
      </c>
      <c r="B474" s="9" t="n">
        <v>16.9525238064</v>
      </c>
      <c r="C474" s="9" t="n">
        <v>150.110001</v>
      </c>
      <c r="D474" s="9" t="n">
        <v>150.330002</v>
      </c>
      <c r="E474" s="9" t="n">
        <v>149.330002</v>
      </c>
      <c r="F474" s="9" t="n">
        <v>150.330002</v>
      </c>
      <c r="G474" s="9" t="n">
        <v>144.423126</v>
      </c>
      <c r="H474" s="9" t="n">
        <v>144.423126</v>
      </c>
      <c r="I474" s="2" t="str">
        <f aca="false">IF(COUNT(C474:F474)&lt;4,"",IF(OR(D474&lt;MAX(C474,F474)-0.000001,E474&gt;MIN(C474,F474)+0.000001),"FAIL","OK"))</f>
        <v>OK</v>
      </c>
      <c r="J474" s="10" t="n">
        <f aca="false">IF(COUNT(F474,G474)&lt;2,"",G474/F474)</f>
        <v>0.960707271193943</v>
      </c>
      <c r="K474" s="10" t="n">
        <f aca="false">H474/H473-1</f>
        <v>0.00220009455673287</v>
      </c>
      <c r="L474" s="10" t="n">
        <f aca="false">H479/H474-1</f>
        <v>-0.00312670146746452</v>
      </c>
      <c r="M474" s="10" t="n">
        <f aca="false">IF(COUNT(B415:B474)&lt;60,"",(B474-AVERAGE(B415:B474))/STDEV(B415:B474))</f>
        <v>1.09308835354504</v>
      </c>
      <c r="N474" s="10" t="n">
        <f aca="false">(H474-AVERAGE(H415:H474))/STDEV(H415:H474)</f>
        <v>2.7415896465998</v>
      </c>
      <c r="O474" s="10" t="n">
        <f aca="false">IF(COUNT(B474)=0,"",B474-('Signal Analysis'!$C$6+'Signal Analysis'!$C$5*H474))</f>
        <v>-1.00571627406098</v>
      </c>
    </row>
    <row r="475" customFormat="false" ht="15" hidden="false" customHeight="false" outlineLevel="0" collapsed="false">
      <c r="A475" s="8" t="n">
        <v>43012</v>
      </c>
      <c r="B475" s="9" t="n">
        <v>17.9160973056</v>
      </c>
      <c r="C475" s="9" t="n">
        <v>150.089996</v>
      </c>
      <c r="D475" s="9" t="n">
        <v>150.610001</v>
      </c>
      <c r="E475" s="9" t="n">
        <v>149.389999</v>
      </c>
      <c r="F475" s="9" t="n">
        <v>149.850006</v>
      </c>
      <c r="G475" s="9" t="n">
        <v>143.96199</v>
      </c>
      <c r="H475" s="9" t="n">
        <v>143.96199</v>
      </c>
      <c r="I475" s="2" t="str">
        <f aca="false">IF(COUNT(C475:F475)&lt;4,"",IF(OR(D475&lt;MAX(C475,F475)-0.000001,E475&gt;MIN(C475,F475)+0.000001),"FAIL","OK"))</f>
        <v>OK</v>
      </c>
      <c r="J475" s="10" t="n">
        <f aca="false">IF(COUNT(F475,G475)&lt;2,"",G475/F475)</f>
        <v>0.96070726884055</v>
      </c>
      <c r="K475" s="10" t="n">
        <f aca="false">H475/H474-1</f>
        <v>-0.00319295124521823</v>
      </c>
      <c r="L475" s="10" t="n">
        <f aca="false">H480/H475-1</f>
        <v>-0.000667426172700103</v>
      </c>
      <c r="M475" s="10" t="n">
        <f aca="false">IF(COUNT(B416:B475)&lt;60,"",(B475-AVERAGE(B416:B475))/STDEV(B416:B475))</f>
        <v>2.35875396898311</v>
      </c>
      <c r="N475" s="10" t="n">
        <f aca="false">(H475-AVERAGE(H416:H475))/STDEV(H416:H475)</f>
        <v>2.42759189550251</v>
      </c>
      <c r="O475" s="10" t="n">
        <f aca="false">IF(COUNT(B475)=0,"",B475-('Signal Analysis'!$C$6+'Signal Analysis'!$C$5*H475))</f>
        <v>0.0209371380898205</v>
      </c>
    </row>
    <row r="476" customFormat="false" ht="15" hidden="false" customHeight="false" outlineLevel="0" collapsed="false">
      <c r="A476" s="8" t="n">
        <v>43013</v>
      </c>
      <c r="B476" s="9" t="n">
        <v>16.5855234816</v>
      </c>
      <c r="C476" s="9" t="n">
        <v>150.289993</v>
      </c>
      <c r="D476" s="9" t="n">
        <v>150.630005</v>
      </c>
      <c r="E476" s="9" t="n">
        <v>149.869995</v>
      </c>
      <c r="F476" s="9" t="n">
        <v>150.259995</v>
      </c>
      <c r="G476" s="9" t="n">
        <v>144.35585</v>
      </c>
      <c r="H476" s="9" t="n">
        <v>144.35585</v>
      </c>
      <c r="I476" s="2" t="str">
        <f aca="false">IF(COUNT(C476:F476)&lt;4,"",IF(OR(D476&lt;MAX(C476,F476)-0.000001,E476&gt;MIN(C476,F476)+0.000001),"FAIL","OK"))</f>
        <v>OK</v>
      </c>
      <c r="J476" s="10" t="n">
        <f aca="false">IF(COUNT(F476,G476)&lt;2,"",G476/F476)</f>
        <v>0.960707139648181</v>
      </c>
      <c r="K476" s="10" t="n">
        <f aca="false">H476/H475-1</f>
        <v>0.00273586104220991</v>
      </c>
      <c r="L476" s="10" t="n">
        <f aca="false">H481/H476-1</f>
        <v>-0.00412620617730419</v>
      </c>
      <c r="M476" s="10" t="n">
        <f aca="false">IF(COUNT(B417:B476)&lt;60,"",(B476-AVERAGE(B417:B476))/STDEV(B417:B476))</f>
        <v>0.507140373801616</v>
      </c>
      <c r="N476" s="10" t="n">
        <f aca="false">(H476-AVERAGE(H417:H476))/STDEV(H417:H476)</f>
        <v>2.37181395387083</v>
      </c>
      <c r="O476" s="10" t="n">
        <f aca="false">IF(COUNT(B476)=0,"",B476-('Signal Analysis'!$C$6+'Signal Analysis'!$C$5*H476))</f>
        <v>-1.36351375149344</v>
      </c>
    </row>
    <row r="477" customFormat="false" ht="15" hidden="false" customHeight="false" outlineLevel="0" collapsed="false">
      <c r="A477" s="8" t="n">
        <v>43014</v>
      </c>
      <c r="B477" s="9" t="n">
        <v>17.9544650688</v>
      </c>
      <c r="C477" s="9" t="n">
        <v>149.710007</v>
      </c>
      <c r="D477" s="9" t="n">
        <v>150.339996</v>
      </c>
      <c r="E477" s="9" t="n">
        <v>149.570007</v>
      </c>
      <c r="F477" s="9" t="n">
        <v>150.050003</v>
      </c>
      <c r="G477" s="9" t="n">
        <v>144.154114</v>
      </c>
      <c r="H477" s="9" t="n">
        <v>144.154114</v>
      </c>
      <c r="I477" s="2" t="str">
        <f aca="false">IF(COUNT(C477:F477)&lt;4,"",IF(OR(D477&lt;MAX(C477,F477)-0.000001,E477&gt;MIN(C477,F477)+0.000001),"FAIL","OK"))</f>
        <v>OK</v>
      </c>
      <c r="J477" s="10" t="n">
        <f aca="false">IF(COUNT(F477,G477)&lt;2,"",G477/F477)</f>
        <v>0.960707171728614</v>
      </c>
      <c r="K477" s="10" t="n">
        <f aca="false">H477/H476-1</f>
        <v>-0.0013974909918788</v>
      </c>
      <c r="L477" s="10" t="n">
        <f aca="false">H482/H477-1</f>
        <v>-0.00453167781253883</v>
      </c>
      <c r="M477" s="10" t="n">
        <f aca="false">IF(COUNT(B418:B477)&lt;60,"",(B477-AVERAGE(B418:B477))/STDEV(B418:B477))</f>
        <v>2.27201239090523</v>
      </c>
      <c r="N477" s="10" t="n">
        <f aca="false">(H477-AVERAGE(H418:H477))/STDEV(H418:H477)</f>
        <v>2.18533828126355</v>
      </c>
      <c r="O477" s="10" t="n">
        <f aca="false">IF(COUNT(B477)=0,"",B477-('Signal Analysis'!$C$6+'Signal Analysis'!$C$5*H477))</f>
        <v>0.0330237929058299</v>
      </c>
    </row>
    <row r="478" customFormat="false" ht="15" hidden="false" customHeight="false" outlineLevel="0" collapsed="false">
      <c r="A478" s="8" t="n">
        <v>43017</v>
      </c>
      <c r="B478" s="9" t="n">
        <v>17.7687617088</v>
      </c>
      <c r="C478" s="9" t="n">
        <v>150.190002</v>
      </c>
      <c r="D478" s="9" t="n">
        <v>150.679993</v>
      </c>
      <c r="E478" s="9" t="n">
        <v>149.179993</v>
      </c>
      <c r="F478" s="9" t="n">
        <v>149.429993</v>
      </c>
      <c r="G478" s="9" t="n">
        <v>143.558472</v>
      </c>
      <c r="H478" s="9" t="n">
        <v>143.558472</v>
      </c>
      <c r="I478" s="2" t="str">
        <f aca="false">IF(COUNT(C478:F478)&lt;4,"",IF(OR(D478&lt;MAX(C478,F478)-0.000001,E478&gt;MIN(C478,F478)+0.000001),"FAIL","OK"))</f>
        <v>OK</v>
      </c>
      <c r="J478" s="10" t="n">
        <f aca="false">IF(COUNT(F478,G478)&lt;2,"",G478/F478)</f>
        <v>0.960707212239513</v>
      </c>
      <c r="K478" s="10" t="n">
        <f aca="false">H478/H477-1</f>
        <v>-0.0041319805829475</v>
      </c>
      <c r="L478" s="10" t="n">
        <f aca="false">H483/H478-1</f>
        <v>-0.00127164908804545</v>
      </c>
      <c r="M478" s="10" t="n">
        <f aca="false">IF(COUNT(B419:B478)&lt;60,"",(B478-AVERAGE(B419:B478))/STDEV(B419:B478))</f>
        <v>1.92554413823083</v>
      </c>
      <c r="N478" s="10" t="n">
        <f aca="false">(H478-AVERAGE(H419:H478))/STDEV(H419:H478)</f>
        <v>1.93688720570538</v>
      </c>
      <c r="O478" s="10" t="n">
        <f aca="false">IF(COUNT(B478)=0,"",B478-('Signal Analysis'!$C$6+'Signal Analysis'!$C$5*H478))</f>
        <v>-0.0712002518599704</v>
      </c>
    </row>
    <row r="479" customFormat="false" ht="15" hidden="false" customHeight="false" outlineLevel="0" collapsed="false">
      <c r="A479" s="8" t="n">
        <v>43018</v>
      </c>
      <c r="B479" s="9" t="n">
        <v>17.5645045296</v>
      </c>
      <c r="C479" s="9" t="n">
        <v>149.929993</v>
      </c>
      <c r="D479" s="9" t="n">
        <v>150.289993</v>
      </c>
      <c r="E479" s="9" t="n">
        <v>149.410004</v>
      </c>
      <c r="F479" s="9" t="n">
        <v>149.860001</v>
      </c>
      <c r="G479" s="9" t="n">
        <v>143.971558</v>
      </c>
      <c r="H479" s="9" t="n">
        <v>143.971558</v>
      </c>
      <c r="I479" s="2" t="str">
        <f aca="false">IF(COUNT(C479:F479)&lt;4,"",IF(OR(D479&lt;MAX(C479,F479)-0.000001,E479&gt;MIN(C479,F479)+0.000001),"FAIL","OK"))</f>
        <v>OK</v>
      </c>
      <c r="J479" s="10" t="n">
        <f aca="false">IF(COUNT(F479,G479)&lt;2,"",G479/F479)</f>
        <v>0.960707040166108</v>
      </c>
      <c r="K479" s="10" t="n">
        <f aca="false">H479/H478-1</f>
        <v>0.00287747559753915</v>
      </c>
      <c r="L479" s="10" t="n">
        <f aca="false">H484/H479-1</f>
        <v>-0.00700655055771482</v>
      </c>
      <c r="M479" s="10" t="n">
        <f aca="false">IF(COUNT(B420:B479)&lt;60,"",(B479-AVERAGE(B420:B479))/STDEV(B420:B479))</f>
        <v>1.60328535510479</v>
      </c>
      <c r="N479" s="10" t="n">
        <f aca="false">(H479-AVERAGE(H420:H479))/STDEV(H420:H479)</f>
        <v>1.9399898489636</v>
      </c>
      <c r="O479" s="10" t="n">
        <f aca="false">IF(COUNT(B479)=0,"",B479-('Signal Analysis'!$C$6+'Signal Analysis'!$C$5*H479))</f>
        <v>-0.33196446785864</v>
      </c>
    </row>
    <row r="480" customFormat="false" ht="15" hidden="false" customHeight="false" outlineLevel="0" collapsed="false">
      <c r="A480" s="8" t="n">
        <v>43019</v>
      </c>
      <c r="B480" s="9" t="n">
        <v>16.5169055232</v>
      </c>
      <c r="C480" s="9" t="n">
        <v>149.940002</v>
      </c>
      <c r="D480" s="9" t="n">
        <v>150.190002</v>
      </c>
      <c r="E480" s="9" t="n">
        <v>149.460007</v>
      </c>
      <c r="F480" s="9" t="n">
        <v>149.75</v>
      </c>
      <c r="G480" s="9" t="n">
        <v>143.865906</v>
      </c>
      <c r="H480" s="9" t="n">
        <v>143.865906</v>
      </c>
      <c r="I480" s="2" t="str">
        <f aca="false">IF(COUNT(C480:F480)&lt;4,"",IF(OR(D480&lt;MAX(C480,F480)-0.000001,E480&gt;MIN(C480,F480)+0.000001),"FAIL","OK"))</f>
        <v>OK</v>
      </c>
      <c r="J480" s="10" t="n">
        <f aca="false">IF(COUNT(F480,G480)&lt;2,"",G480/F480)</f>
        <v>0.96070721869783</v>
      </c>
      <c r="K480" s="10" t="n">
        <f aca="false">H480/H479-1</f>
        <v>-0.000733839387915714</v>
      </c>
      <c r="L480" s="10" t="n">
        <f aca="false">H485/H480-1</f>
        <v>-0.0015358955164817</v>
      </c>
      <c r="M480" s="10" t="n">
        <f aca="false">IF(COUNT(B421:B480)&lt;60,"",(B480-AVERAGE(B421:B480))/STDEV(B421:B480))</f>
        <v>0.289170355965443</v>
      </c>
      <c r="N480" s="10" t="n">
        <f aca="false">(H480-AVERAGE(H421:H480))/STDEV(H421:H480)</f>
        <v>1.82825655431333</v>
      </c>
      <c r="O480" s="10" t="n">
        <f aca="false">IF(COUNT(B480)=0,"",B480-('Signal Analysis'!$C$6+'Signal Analysis'!$C$5*H480))</f>
        <v>-1.36511108068478</v>
      </c>
    </row>
    <row r="481" customFormat="false" ht="15" hidden="false" customHeight="false" outlineLevel="0" collapsed="false">
      <c r="A481" s="8" t="n">
        <v>43020</v>
      </c>
      <c r="B481" s="9" t="n">
        <v>18.013314564</v>
      </c>
      <c r="C481" s="9" t="n">
        <v>149.460007</v>
      </c>
      <c r="D481" s="9" t="n">
        <v>150.009995</v>
      </c>
      <c r="E481" s="9" t="n">
        <v>149.020004</v>
      </c>
      <c r="F481" s="9" t="n">
        <v>149.639999</v>
      </c>
      <c r="G481" s="9" t="n">
        <v>143.760208</v>
      </c>
      <c r="H481" s="9" t="n">
        <v>143.760208</v>
      </c>
      <c r="I481" s="2" t="str">
        <f aca="false">IF(COUNT(C481:F481)&lt;4,"",IF(OR(D481&lt;MAX(C481,F481)-0.000001,E481&gt;MIN(C481,F481)+0.000001),"FAIL","OK"))</f>
        <v>OK</v>
      </c>
      <c r="J481" s="10" t="n">
        <f aca="false">IF(COUNT(F481,G481)&lt;2,"",G481/F481)</f>
        <v>0.960707090087591</v>
      </c>
      <c r="K481" s="10" t="n">
        <f aca="false">H481/H480-1</f>
        <v>-0.000734698045831594</v>
      </c>
      <c r="L481" s="10" t="n">
        <f aca="false">H486/H481-1</f>
        <v>-0.00233880435120137</v>
      </c>
      <c r="M481" s="10" t="n">
        <f aca="false">IF(COUNT(B422:B481)&lt;60,"",(B481-AVERAGE(B422:B481))/STDEV(B422:B481))</f>
        <v>2.05991336840158</v>
      </c>
      <c r="N481" s="10" t="n">
        <f aca="false">(H481-AVERAGE(H422:H481))/STDEV(H422:H481)</f>
        <v>1.73336097375275</v>
      </c>
      <c r="O481" s="10" t="n">
        <f aca="false">IF(COUNT(B481)=0,"",B481-('Signal Analysis'!$C$6+'Signal Analysis'!$C$5*H481))</f>
        <v>0.145756646140761</v>
      </c>
    </row>
    <row r="482" customFormat="false" ht="15" hidden="false" customHeight="false" outlineLevel="0" collapsed="false">
      <c r="A482" s="8" t="n">
        <v>43021</v>
      </c>
      <c r="B482" s="9" t="n">
        <v>17.5821410232</v>
      </c>
      <c r="C482" s="9" t="n">
        <v>149.919998</v>
      </c>
      <c r="D482" s="9" t="n">
        <v>149.990005</v>
      </c>
      <c r="E482" s="9" t="n">
        <v>149.229996</v>
      </c>
      <c r="F482" s="9" t="n">
        <v>149.369995</v>
      </c>
      <c r="G482" s="9" t="n">
        <v>143.500854</v>
      </c>
      <c r="H482" s="9" t="n">
        <v>143.500854</v>
      </c>
      <c r="I482" s="2" t="str">
        <f aca="false">IF(COUNT(C482:F482)&lt;4,"",IF(OR(D482&lt;MAX(C482,F482)-0.000001,E482&gt;MIN(C482,F482)+0.000001),"FAIL","OK"))</f>
        <v>OK</v>
      </c>
      <c r="J482" s="10" t="n">
        <f aca="false">IF(COUNT(F482,G482)&lt;2,"",G482/F482)</f>
        <v>0.96070736294796</v>
      </c>
      <c r="K482" s="10" t="n">
        <f aca="false">H482/H481-1</f>
        <v>-0.00180407362794022</v>
      </c>
      <c r="L482" s="10" t="n">
        <f aca="false">H487/H482-1</f>
        <v>0.00408391297796729</v>
      </c>
      <c r="M482" s="10" t="n">
        <f aca="false">IF(COUNT(B423:B482)&lt;60,"",(B482-AVERAGE(B423:B482))/STDEV(B423:B482))</f>
        <v>1.4804146322008</v>
      </c>
      <c r="N482" s="10" t="n">
        <f aca="false">(H482-AVERAGE(H423:H482))/STDEV(H423:H482)</f>
        <v>1.61565704732114</v>
      </c>
      <c r="O482" s="10" t="n">
        <f aca="false">IF(COUNT(B482)=0,"",B482-('Signal Analysis'!$C$6+'Signal Analysis'!$C$5*H482))</f>
        <v>-0.249939231359388</v>
      </c>
    </row>
    <row r="483" customFormat="false" ht="15" hidden="false" customHeight="false" outlineLevel="0" collapsed="false">
      <c r="A483" s="8" t="n">
        <v>43024</v>
      </c>
      <c r="B483" s="9" t="n">
        <v>16.8666601656</v>
      </c>
      <c r="C483" s="9" t="n">
        <v>149.610001</v>
      </c>
      <c r="D483" s="9" t="n">
        <v>150.350006</v>
      </c>
      <c r="E483" s="9" t="n">
        <v>149.029999</v>
      </c>
      <c r="F483" s="9" t="n">
        <v>149.240005</v>
      </c>
      <c r="G483" s="9" t="n">
        <v>143.375916</v>
      </c>
      <c r="H483" s="9" t="n">
        <v>143.375916</v>
      </c>
      <c r="I483" s="2" t="str">
        <f aca="false">IF(COUNT(C483:F483)&lt;4,"",IF(OR(D483&lt;MAX(C483,F483)-0.000001,E483&gt;MIN(C483,F483)+0.000001),"FAIL","OK"))</f>
        <v>OK</v>
      </c>
      <c r="J483" s="10" t="n">
        <f aca="false">IF(COUNT(F483,G483)&lt;2,"",G483/F483)</f>
        <v>0.960706990059401</v>
      </c>
      <c r="K483" s="10" t="n">
        <f aca="false">H483/H482-1</f>
        <v>-0.000870642902236818</v>
      </c>
      <c r="L483" s="10" t="n">
        <f aca="false">H488/H483-1</f>
        <v>-0.00254600640180047</v>
      </c>
      <c r="M483" s="10" t="n">
        <f aca="false">IF(COUNT(B424:B483)&lt;60,"",(B483-AVERAGE(B424:B483))/STDEV(B424:B483))</f>
        <v>0.60948604556789</v>
      </c>
      <c r="N483" s="10" t="n">
        <f aca="false">(H483-AVERAGE(H424:H483))/STDEV(H424:H483)</f>
        <v>1.53200807883099</v>
      </c>
      <c r="O483" s="10" t="n">
        <f aca="false">IF(COUNT(B483)=0,"",B483-('Signal Analysis'!$C$6+'Signal Analysis'!$C$5*H483))</f>
        <v>-0.94832951662444</v>
      </c>
    </row>
    <row r="484" customFormat="false" ht="15" hidden="false" customHeight="false" outlineLevel="0" collapsed="false">
      <c r="A484" s="8" t="n">
        <v>43025</v>
      </c>
      <c r="B484" s="9" t="n">
        <v>17.8091407164</v>
      </c>
      <c r="C484" s="9" t="n">
        <v>149.270004</v>
      </c>
      <c r="D484" s="9" t="n">
        <v>149.770004</v>
      </c>
      <c r="E484" s="9" t="n">
        <v>148.5</v>
      </c>
      <c r="F484" s="9" t="n">
        <v>148.809998</v>
      </c>
      <c r="G484" s="9" t="n">
        <v>142.962814</v>
      </c>
      <c r="H484" s="9" t="n">
        <v>142.962814</v>
      </c>
      <c r="I484" s="2" t="str">
        <f aca="false">IF(COUNT(C484:F484)&lt;4,"",IF(OR(D484&lt;MAX(C484,F484)-0.000001,E484&gt;MIN(C484,F484)+0.000001),"FAIL","OK"))</f>
        <v>OK</v>
      </c>
      <c r="J484" s="10" t="n">
        <f aca="false">IF(COUNT(F484,G484)&lt;2,"",G484/F484)</f>
        <v>0.960707048729347</v>
      </c>
      <c r="K484" s="10" t="n">
        <f aca="false">H484/H483-1</f>
        <v>-0.00288125099057768</v>
      </c>
      <c r="L484" s="10" t="n">
        <f aca="false">H489/H484-1</f>
        <v>0.00241941936033796</v>
      </c>
      <c r="M484" s="10" t="n">
        <f aca="false">IF(COUNT(B425:B484)&lt;60,"",(B484-AVERAGE(B425:B484))/STDEV(B425:B484))</f>
        <v>1.67497611390652</v>
      </c>
      <c r="N484" s="10" t="n">
        <f aca="false">(H484-AVERAGE(H425:H484))/STDEV(H425:H484)</f>
        <v>1.39778397332174</v>
      </c>
      <c r="O484" s="10" t="n">
        <f aca="false">IF(COUNT(B484)=0,"",B484-('Signal Analysis'!$C$6+'Signal Analysis'!$C$5*H484))</f>
        <v>0.0506602596530783</v>
      </c>
    </row>
    <row r="485" customFormat="false" ht="15" hidden="false" customHeight="false" outlineLevel="0" collapsed="false">
      <c r="A485" s="8" t="n">
        <v>43026</v>
      </c>
      <c r="B485" s="9" t="n">
        <v>16.818079488</v>
      </c>
      <c r="C485" s="9" t="n">
        <v>149.5</v>
      </c>
      <c r="D485" s="9" t="n">
        <v>149.910004</v>
      </c>
      <c r="E485" s="9" t="n">
        <v>149.080002</v>
      </c>
      <c r="F485" s="9" t="n">
        <v>149.520004</v>
      </c>
      <c r="G485" s="9" t="n">
        <v>143.644943</v>
      </c>
      <c r="H485" s="9" t="n">
        <v>143.644943</v>
      </c>
      <c r="I485" s="2" t="str">
        <f aca="false">IF(COUNT(C485:F485)&lt;4,"",IF(OR(D485&lt;MAX(C485,F485)-0.000001,E485&gt;MIN(C485,F485)+0.000001),"FAIL","OK"))</f>
        <v>OK</v>
      </c>
      <c r="J485" s="10" t="n">
        <f aca="false">IF(COUNT(F485,G485)&lt;2,"",G485/F485)</f>
        <v>0.960707190724794</v>
      </c>
      <c r="K485" s="10" t="n">
        <f aca="false">H485/H484-1</f>
        <v>0.00477137362447277</v>
      </c>
      <c r="L485" s="10" t="n">
        <f aca="false">H490/H485-1</f>
        <v>-0.00715621433328162</v>
      </c>
      <c r="M485" s="10" t="n">
        <f aca="false">IF(COUNT(B426:B485)&lt;60,"",(B485-AVERAGE(B426:B485))/STDEV(B426:B485))</f>
        <v>0.499395871678242</v>
      </c>
      <c r="N485" s="10" t="n">
        <f aca="false">(H485-AVERAGE(H426:H485))/STDEV(H426:H485)</f>
        <v>1.49379526513352</v>
      </c>
      <c r="O485" s="10" t="n">
        <f aca="false">IF(COUNT(B485)=0,"",B485-('Signal Analysis'!$C$6+'Signal Analysis'!$C$5*H485))</f>
        <v>-1.03371105067767</v>
      </c>
    </row>
    <row r="486" customFormat="false" ht="15" hidden="false" customHeight="false" outlineLevel="0" collapsed="false">
      <c r="A486" s="8" t="n">
        <v>43027</v>
      </c>
      <c r="B486" s="9" t="n">
        <v>18.056896326</v>
      </c>
      <c r="C486" s="9" t="n">
        <v>148.770004</v>
      </c>
      <c r="D486" s="9" t="n">
        <v>149.330002</v>
      </c>
      <c r="E486" s="9" t="n">
        <v>148.169998</v>
      </c>
      <c r="F486" s="9" t="n">
        <v>149.289993</v>
      </c>
      <c r="G486" s="9" t="n">
        <v>143.423981</v>
      </c>
      <c r="H486" s="9" t="n">
        <v>143.423981</v>
      </c>
      <c r="I486" s="2" t="str">
        <f aca="false">IF(COUNT(C486:F486)&lt;4,"",IF(OR(D486&lt;MAX(C486,F486)-0.000001,E486&gt;MIN(C486,F486)+0.000001),"FAIL","OK"))</f>
        <v>OK</v>
      </c>
      <c r="J486" s="10" t="n">
        <f aca="false">IF(COUNT(F486,G486)&lt;2,"",G486/F486)</f>
        <v>0.960707265891559</v>
      </c>
      <c r="K486" s="10" t="n">
        <f aca="false">H486/H485-1</f>
        <v>-0.00153825115862249</v>
      </c>
      <c r="L486" s="10" t="n">
        <f aca="false">H491/H486-1</f>
        <v>-0.00355021521819288</v>
      </c>
      <c r="M486" s="10" t="n">
        <f aca="false">IF(COUNT(B427:B486)&lt;60,"",(B486-AVERAGE(B427:B486))/STDEV(B427:B486))</f>
        <v>1.86096762424794</v>
      </c>
      <c r="N486" s="10" t="n">
        <f aca="false">(H486-AVERAGE(H427:H486))/STDEV(H427:H486)</f>
        <v>1.40306046412347</v>
      </c>
      <c r="O486" s="10" t="n">
        <f aca="false">IF(COUNT(B486)=0,"",B486-('Signal Analysis'!$C$6+'Signal Analysis'!$C$5*H486))</f>
        <v>0.235331715737019</v>
      </c>
    </row>
    <row r="487" customFormat="false" ht="15" hidden="false" customHeight="false" outlineLevel="0" collapsed="false">
      <c r="A487" s="8" t="n">
        <v>43028</v>
      </c>
      <c r="B487" s="9" t="n">
        <v>17.6274598404</v>
      </c>
      <c r="C487" s="9" t="n">
        <v>150.309998</v>
      </c>
      <c r="D487" s="9" t="n">
        <v>150.410004</v>
      </c>
      <c r="E487" s="9" t="n">
        <v>149.860001</v>
      </c>
      <c r="F487" s="9" t="n">
        <v>149.979996</v>
      </c>
      <c r="G487" s="9" t="n">
        <v>144.086899</v>
      </c>
      <c r="H487" s="9" t="n">
        <v>144.086899</v>
      </c>
      <c r="I487" s="2" t="str">
        <f aca="false">IF(COUNT(C487:F487)&lt;4,"",IF(OR(D487&lt;MAX(C487,F487)-0.000001,E487&gt;MIN(C487,F487)+0.000001),"FAIL","OK"))</f>
        <v>OK</v>
      </c>
      <c r="J487" s="10" t="n">
        <f aca="false">IF(COUNT(F487,G487)&lt;2,"",G487/F487)</f>
        <v>0.960707446611747</v>
      </c>
      <c r="K487" s="10" t="n">
        <f aca="false">H487/H486-1</f>
        <v>0.00462208617678783</v>
      </c>
      <c r="L487" s="10" t="n">
        <f aca="false">H492/H487-1</f>
        <v>-0.00126720056623597</v>
      </c>
      <c r="M487" s="10" t="n">
        <f aca="false">IF(COUNT(B428:B487)&lt;60,"",(B487-AVERAGE(B428:B487))/STDEV(B428:B487))</f>
        <v>1.32763067009987</v>
      </c>
      <c r="N487" s="10" t="n">
        <f aca="false">(H487-AVERAGE(H428:H487))/STDEV(H428:H487)</f>
        <v>1.48273463444098</v>
      </c>
      <c r="O487" s="10" t="n">
        <f aca="false">IF(COUNT(B487)=0,"",B487-('Signal Analysis'!$C$6+'Signal Analysis'!$C$5*H487))</f>
        <v>-0.284786932464719</v>
      </c>
    </row>
    <row r="488" customFormat="false" ht="15" hidden="false" customHeight="false" outlineLevel="0" collapsed="false">
      <c r="A488" s="8" t="n">
        <v>43031</v>
      </c>
      <c r="B488" s="9" t="n">
        <v>18.00726417</v>
      </c>
      <c r="C488" s="9" t="n">
        <v>150.149994</v>
      </c>
      <c r="D488" s="9" t="n">
        <v>150.149994</v>
      </c>
      <c r="E488" s="9" t="n">
        <v>148.699997</v>
      </c>
      <c r="F488" s="9" t="n">
        <v>148.860001</v>
      </c>
      <c r="G488" s="9" t="n">
        <v>143.01088</v>
      </c>
      <c r="H488" s="9" t="n">
        <v>143.01088</v>
      </c>
      <c r="I488" s="2" t="str">
        <f aca="false">IF(COUNT(C488:F488)&lt;4,"",IF(OR(D488&lt;MAX(C488,F488)-0.000001,E488&gt;MIN(C488,F488)+0.000001),"FAIL","OK"))</f>
        <v>OK</v>
      </c>
      <c r="J488" s="10" t="n">
        <f aca="false">IF(COUNT(F488,G488)&lt;2,"",G488/F488)</f>
        <v>0.960707235249851</v>
      </c>
      <c r="K488" s="10" t="n">
        <f aca="false">H488/H487-1</f>
        <v>-0.00746784757995245</v>
      </c>
      <c r="L488" s="10" t="n">
        <f aca="false">H493/H488-1</f>
        <v>-0.00436624821831722</v>
      </c>
      <c r="M488" s="10" t="n">
        <f aca="false">IF(COUNT(B429:B488)&lt;60,"",(B488-AVERAGE(B429:B488))/STDEV(B429:B488))</f>
        <v>1.67863386028381</v>
      </c>
      <c r="N488" s="10" t="n">
        <f aca="false">(H488-AVERAGE(H429:H488))/STDEV(H429:H488)</f>
        <v>1.22928050067305</v>
      </c>
      <c r="O488" s="10" t="n">
        <f aca="false">IF(COUNT(B488)=0,"",B488-('Signal Analysis'!$C$6+'Signal Analysis'!$C$5*H488))</f>
        <v>0.24220864842211</v>
      </c>
    </row>
    <row r="489" customFormat="false" ht="15" hidden="false" customHeight="false" outlineLevel="0" collapsed="false">
      <c r="A489" s="8" t="n">
        <v>43032</v>
      </c>
      <c r="B489" s="9" t="n">
        <v>16.9231470912</v>
      </c>
      <c r="C489" s="9" t="n">
        <v>149.389999</v>
      </c>
      <c r="D489" s="9" t="n">
        <v>149.779999</v>
      </c>
      <c r="E489" s="9" t="n">
        <v>149.039993</v>
      </c>
      <c r="F489" s="9" t="n">
        <v>149.169998</v>
      </c>
      <c r="G489" s="9" t="n">
        <v>143.308701</v>
      </c>
      <c r="H489" s="9" t="n">
        <v>143.308701</v>
      </c>
      <c r="I489" s="2" t="str">
        <f aca="false">IF(COUNT(C489:F489)&lt;4,"",IF(OR(D489&lt;MAX(C489,F489)-0.000001,E489&gt;MIN(C489,F489)+0.000001),"FAIL","OK"))</f>
        <v>OK</v>
      </c>
      <c r="J489" s="10" t="n">
        <f aca="false">IF(COUNT(F489,G489)&lt;2,"",G489/F489)</f>
        <v>0.9607072663499</v>
      </c>
      <c r="K489" s="10" t="n">
        <f aca="false">H489/H488-1</f>
        <v>0.00208250589046122</v>
      </c>
      <c r="L489" s="10" t="n">
        <f aca="false">H494/H489-1</f>
        <v>0.000603285071993032</v>
      </c>
      <c r="M489" s="10" t="n">
        <f aca="false">IF(COUNT(B430:B489)&lt;60,"",(B489-AVERAGE(B430:B489))/STDEV(B430:B489))</f>
        <v>0.473607532008658</v>
      </c>
      <c r="N489" s="10" t="n">
        <f aca="false">(H489-AVERAGE(H430:H489))/STDEV(H430:H489)</f>
        <v>1.24614055098475</v>
      </c>
      <c r="O489" s="10" t="n">
        <f aca="false">IF(COUNT(B489)=0,"",B489-('Signal Analysis'!$C$6+'Signal Analysis'!$C$5*H489))</f>
        <v>-0.882648087994994</v>
      </c>
    </row>
    <row r="490" customFormat="false" ht="15" hidden="false" customHeight="false" outlineLevel="0" collapsed="false">
      <c r="A490" s="8" t="n">
        <v>43033</v>
      </c>
      <c r="B490" s="9" t="n">
        <v>17.5989663324</v>
      </c>
      <c r="C490" s="9" t="n">
        <v>148.940002</v>
      </c>
      <c r="D490" s="9" t="n">
        <v>149</v>
      </c>
      <c r="E490" s="9" t="n">
        <v>147.220001</v>
      </c>
      <c r="F490" s="9" t="n">
        <v>148.449997</v>
      </c>
      <c r="G490" s="9" t="n">
        <v>142.616989</v>
      </c>
      <c r="H490" s="9" t="n">
        <v>142.616989</v>
      </c>
      <c r="I490" s="2" t="str">
        <f aca="false">IF(COUNT(C490:F490)&lt;4,"",IF(OR(D490&lt;MAX(C490,F490)-0.000001,E490&gt;MIN(C490,F490)+0.000001),"FAIL","OK"))</f>
        <v>OK</v>
      </c>
      <c r="J490" s="10" t="n">
        <f aca="false">IF(COUNT(F490,G490)&lt;2,"",G490/F490)</f>
        <v>0.960707254173942</v>
      </c>
      <c r="K490" s="10" t="n">
        <f aca="false">H490/H489-1</f>
        <v>-0.00482672716431942</v>
      </c>
      <c r="L490" s="10" t="n">
        <f aca="false">H495/H490-1</f>
        <v>-0.00121253436363034</v>
      </c>
      <c r="M490" s="10" t="n">
        <f aca="false">IF(COUNT(B431:B490)&lt;60,"",(B490-AVERAGE(B431:B490))/STDEV(B431:B490))</f>
        <v>1.18363517149</v>
      </c>
      <c r="N490" s="10" t="n">
        <f aca="false">(H490-AVERAGE(H431:H490))/STDEV(H431:H490)</f>
        <v>1.07958785270265</v>
      </c>
      <c r="O490" s="10" t="n">
        <f aca="false">IF(COUNT(B490)=0,"",B490-('Signal Analysis'!$C$6+'Signal Analysis'!$C$5*H490))</f>
        <v>-0.112207883029374</v>
      </c>
    </row>
    <row r="491" customFormat="false" ht="15" hidden="false" customHeight="false" outlineLevel="0" collapsed="false">
      <c r="A491" s="8" t="n">
        <v>43034</v>
      </c>
      <c r="B491" s="9" t="n">
        <v>16.8632704632</v>
      </c>
      <c r="C491" s="9" t="n">
        <v>148.940002</v>
      </c>
      <c r="D491" s="9" t="n">
        <v>149.339996</v>
      </c>
      <c r="E491" s="9" t="n">
        <v>148.509995</v>
      </c>
      <c r="F491" s="9" t="n">
        <v>148.759995</v>
      </c>
      <c r="G491" s="9" t="n">
        <v>142.914795</v>
      </c>
      <c r="H491" s="9" t="n">
        <v>142.914795</v>
      </c>
      <c r="I491" s="2" t="str">
        <f aca="false">IF(COUNT(C491:F491)&lt;4,"",IF(OR(D491&lt;MAX(C491,F491)-0.000001,E491&gt;MIN(C491,F491)+0.000001),"FAIL","OK"))</f>
        <v>OK</v>
      </c>
      <c r="J491" s="10" t="n">
        <f aca="false">IF(COUNT(F491,G491)&lt;2,"",G491/F491)</f>
        <v>0.960707178028609</v>
      </c>
      <c r="K491" s="10" t="n">
        <f aca="false">H491/H490-1</f>
        <v>0.00208815234487947</v>
      </c>
      <c r="L491" s="10" t="n">
        <f aca="false">H496/H491-1</f>
        <v>-0.0003358924455652</v>
      </c>
      <c r="M491" s="10" t="n">
        <f aca="false">IF(COUNT(B432:B491)&lt;60,"",(B491-AVERAGE(B432:B491))/STDEV(B432:B491))</f>
        <v>0.365584289650998</v>
      </c>
      <c r="N491" s="10" t="n">
        <f aca="false">(H491-AVERAGE(H432:H491))/STDEV(H432:H491)</f>
        <v>1.10023276455718</v>
      </c>
      <c r="O491" s="10" t="n">
        <f aca="false">IF(COUNT(B491)=0,"",B491-('Signal Analysis'!$C$6+'Signal Analysis'!$C$5*H491))</f>
        <v>-0.888641357960061</v>
      </c>
    </row>
    <row r="492" customFormat="false" ht="15" hidden="false" customHeight="false" outlineLevel="0" collapsed="false">
      <c r="A492" s="8" t="n">
        <v>43035</v>
      </c>
      <c r="B492" s="9" t="n">
        <v>17.6060859396</v>
      </c>
      <c r="C492" s="9" t="n">
        <v>148.880005</v>
      </c>
      <c r="D492" s="9" t="n">
        <v>149.910004</v>
      </c>
      <c r="E492" s="9" t="n">
        <v>148.300003</v>
      </c>
      <c r="F492" s="9" t="n">
        <v>149.789993</v>
      </c>
      <c r="G492" s="9" t="n">
        <v>143.904312</v>
      </c>
      <c r="H492" s="9" t="n">
        <v>143.904312</v>
      </c>
      <c r="I492" s="2" t="str">
        <f aca="false">IF(COUNT(C492:F492)&lt;4,"",IF(OR(D492&lt;MAX(C492,F492)-0.000001,E492&gt;MIN(C492,F492)+0.000001),"FAIL","OK"))</f>
        <v>OK</v>
      </c>
      <c r="J492" s="10" t="n">
        <f aca="false">IF(COUNT(F492,G492)&lt;2,"",G492/F492)</f>
        <v>0.96070711479371</v>
      </c>
      <c r="K492" s="10" t="n">
        <f aca="false">H492/H491-1</f>
        <v>0.0069238247866501</v>
      </c>
      <c r="L492" s="10" t="n">
        <f aca="false">H497/H492-1</f>
        <v>-0.00787760272256477</v>
      </c>
      <c r="M492" s="10" t="n">
        <f aca="false">IF(COUNT(B433:B492)&lt;60,"",(B492-AVERAGE(B433:B492))/STDEV(B433:B492))</f>
        <v>1.1399826771776</v>
      </c>
      <c r="N492" s="10" t="n">
        <f aca="false">(H492-AVERAGE(H433:H492))/STDEV(H433:H492)</f>
        <v>1.24399989774547</v>
      </c>
      <c r="O492" s="10" t="n">
        <f aca="false">IF(COUNT(B492)=0,"",B492-('Signal Analysis'!$C$6+'Signal Analysis'!$C$5*H492))</f>
        <v>-0.281184314263935</v>
      </c>
    </row>
    <row r="493" customFormat="false" ht="15" hidden="false" customHeight="false" outlineLevel="0" collapsed="false">
      <c r="A493" s="8" t="n">
        <v>43038</v>
      </c>
      <c r="B493" s="9" t="n">
        <v>17.6583353676</v>
      </c>
      <c r="C493" s="9" t="n">
        <v>148.880005</v>
      </c>
      <c r="D493" s="9" t="n">
        <v>149.449997</v>
      </c>
      <c r="E493" s="9" t="n">
        <v>147.389999</v>
      </c>
      <c r="F493" s="9" t="n">
        <v>148.210007</v>
      </c>
      <c r="G493" s="9" t="n">
        <v>142.386459</v>
      </c>
      <c r="H493" s="9" t="n">
        <v>142.386459</v>
      </c>
      <c r="I493" s="2" t="str">
        <f aca="false">IF(COUNT(C493:F493)&lt;4,"",IF(OR(D493&lt;MAX(C493,F493)-0.000001,E493&gt;MIN(C493,F493)+0.000001),"FAIL","OK"))</f>
        <v>OK</v>
      </c>
      <c r="J493" s="10" t="n">
        <f aca="false">IF(COUNT(F493,G493)&lt;2,"",G493/F493)</f>
        <v>0.960707457493069</v>
      </c>
      <c r="K493" s="10" t="n">
        <f aca="false">H493/H492-1</f>
        <v>-0.0105476547499147</v>
      </c>
      <c r="L493" s="10" t="n">
        <f aca="false">H498/H493-1</f>
        <v>0.00384549910044463</v>
      </c>
      <c r="M493" s="10" t="n">
        <f aca="false">IF(COUNT(B434:B493)&lt;60,"",(B493-AVERAGE(B434:B493))/STDEV(B434:B493))</f>
        <v>1.16737684522178</v>
      </c>
      <c r="N493" s="10" t="n">
        <f aca="false">(H493-AVERAGE(H434:H493))/STDEV(H434:H493)</f>
        <v>0.928153725376186</v>
      </c>
      <c r="O493" s="10" t="n">
        <f aca="false">IF(COUNT(B493)=0,"",B493-('Signal Analysis'!$C$6+'Signal Analysis'!$C$5*H493))</f>
        <v>-0.0213040894662306</v>
      </c>
    </row>
    <row r="494" customFormat="false" ht="15" hidden="false" customHeight="false" outlineLevel="0" collapsed="false">
      <c r="A494" s="8" t="n">
        <v>43039</v>
      </c>
      <c r="B494" s="9" t="n">
        <v>17.6464574076</v>
      </c>
      <c r="C494" s="9" t="n">
        <v>148.789993</v>
      </c>
      <c r="D494" s="9" t="n">
        <v>149.830002</v>
      </c>
      <c r="E494" s="9" t="n">
        <v>148.639999</v>
      </c>
      <c r="F494" s="9" t="n">
        <v>149.259995</v>
      </c>
      <c r="G494" s="9" t="n">
        <v>143.395157</v>
      </c>
      <c r="H494" s="9" t="n">
        <v>143.395157</v>
      </c>
      <c r="I494" s="2" t="str">
        <f aca="false">IF(COUNT(C494:F494)&lt;4,"",IF(OR(D494&lt;MAX(C494,F494)-0.000001,E494&gt;MIN(C494,F494)+0.000001),"FAIL","OK"))</f>
        <v>OK</v>
      </c>
      <c r="J494" s="10" t="n">
        <f aca="false">IF(COUNT(F494,G494)&lt;2,"",G494/F494)</f>
        <v>0.960707234379849</v>
      </c>
      <c r="K494" s="10" t="n">
        <f aca="false">H494/H493-1</f>
        <v>0.00708422701908762</v>
      </c>
      <c r="L494" s="10" t="n">
        <f aca="false">H499/H494-1</f>
        <v>-0.0151415085796797</v>
      </c>
      <c r="M494" s="10" t="n">
        <f aca="false">IF(COUNT(B435:B494)&lt;60,"",(B494-AVERAGE(B435:B494))/STDEV(B435:B494))</f>
        <v>1.11878546187247</v>
      </c>
      <c r="N494" s="10" t="n">
        <f aca="false">(H494-AVERAGE(H435:H494))/STDEV(H435:H494)</f>
        <v>1.08150817005589</v>
      </c>
      <c r="O494" s="10" t="n">
        <f aca="false">IF(COUNT(B494)=0,"",B494-('Signal Analysis'!$C$6+'Signal Analysis'!$C$5*H494))</f>
        <v>-0.171164297726275</v>
      </c>
    </row>
    <row r="495" customFormat="false" ht="15" hidden="false" customHeight="false" outlineLevel="0" collapsed="false">
      <c r="A495" s="8" t="n">
        <v>43040</v>
      </c>
      <c r="B495" s="9" t="n">
        <v>17.8381639488</v>
      </c>
      <c r="C495" s="9" t="n">
        <v>150.5</v>
      </c>
      <c r="D495" s="9" t="n">
        <v>150.529999</v>
      </c>
      <c r="E495" s="9" t="n">
        <v>147.440002</v>
      </c>
      <c r="F495" s="9" t="n">
        <v>148.270004</v>
      </c>
      <c r="G495" s="9" t="n">
        <v>142.444061</v>
      </c>
      <c r="H495" s="9" t="n">
        <v>142.444061</v>
      </c>
      <c r="I495" s="2" t="str">
        <f aca="false">IF(COUNT(C495:F495)&lt;4,"",IF(OR(D495&lt;MAX(C495,F495)-0.000001,E495&gt;MIN(C495,F495)+0.000001),"FAIL","OK"))</f>
        <v>OK</v>
      </c>
      <c r="J495" s="10" t="n">
        <f aca="false">IF(COUNT(F495,G495)&lt;2,"",G495/F495)</f>
        <v>0.960707204135504</v>
      </c>
      <c r="K495" s="10" t="n">
        <f aca="false">H495/H494-1</f>
        <v>-0.00663269262294541</v>
      </c>
      <c r="L495" s="10" t="n">
        <f aca="false">H500/H495-1</f>
        <v>-0.00721654516715864</v>
      </c>
      <c r="M495" s="10" t="n">
        <f aca="false">IF(COUNT(B436:B495)&lt;60,"",(B495-AVERAGE(B436:B495))/STDEV(B436:B495))</f>
        <v>1.27857132966511</v>
      </c>
      <c r="N495" s="10" t="n">
        <f aca="false">(H495-AVERAGE(H436:H495))/STDEV(H436:H495)</f>
        <v>0.875991905298176</v>
      </c>
      <c r="O495" s="10" t="n">
        <f aca="false">IF(COUNT(B495)=0,"",B495-('Signal Analysis'!$C$6+'Signal Analysis'!$C$5*H495))</f>
        <v>0.150644974312026</v>
      </c>
    </row>
    <row r="496" customFormat="false" ht="15" hidden="false" customHeight="false" outlineLevel="0" collapsed="false">
      <c r="A496" s="8" t="n">
        <v>43041</v>
      </c>
      <c r="B496" s="9" t="n">
        <v>17.6247474624</v>
      </c>
      <c r="C496" s="9" t="n">
        <v>148.240005</v>
      </c>
      <c r="D496" s="9" t="n">
        <v>149.229996</v>
      </c>
      <c r="E496" s="9" t="n">
        <v>147.720001</v>
      </c>
      <c r="F496" s="9" t="n">
        <v>148.710007</v>
      </c>
      <c r="G496" s="9" t="n">
        <v>142.866791</v>
      </c>
      <c r="H496" s="9" t="n">
        <v>142.866791</v>
      </c>
      <c r="I496" s="2" t="str">
        <f aca="false">IF(COUNT(C496:F496)&lt;4,"",IF(OR(D496&lt;MAX(C496,F496)-0.000001,E496&gt;MIN(C496,F496)+0.000001),"FAIL","OK"))</f>
        <v>OK</v>
      </c>
      <c r="J496" s="10" t="n">
        <f aca="false">IF(COUNT(F496,G496)&lt;2,"",G496/F496)</f>
        <v>0.960707311378178</v>
      </c>
      <c r="K496" s="10" t="n">
        <f aca="false">H496/H495-1</f>
        <v>0.00296769129602392</v>
      </c>
      <c r="L496" s="10" t="n">
        <f aca="false">H501/H496-1</f>
        <v>-0.0136508770607159</v>
      </c>
      <c r="M496" s="10" t="n">
        <f aca="false">IF(COUNT(B437:B496)&lt;60,"",(B496-AVERAGE(B437:B496))/STDEV(B437:B496))</f>
        <v>1.01628571740777</v>
      </c>
      <c r="N496" s="10" t="n">
        <f aca="false">(H496-AVERAGE(H437:H496))/STDEV(H437:H496)</f>
        <v>0.923258280860864</v>
      </c>
      <c r="O496" s="10" t="n">
        <f aca="false">IF(COUNT(B496)=0,"",B496-('Signal Analysis'!$C$6+'Signal Analysis'!$C$5*H496))</f>
        <v>-0.120597775059615</v>
      </c>
    </row>
    <row r="497" customFormat="false" ht="15" hidden="false" customHeight="false" outlineLevel="0" collapsed="false">
      <c r="A497" s="8" t="n">
        <v>43042</v>
      </c>
      <c r="B497" s="9" t="n">
        <v>17.1396321684</v>
      </c>
      <c r="C497" s="9" t="n">
        <v>148.479996</v>
      </c>
      <c r="D497" s="9" t="n">
        <v>148.960007</v>
      </c>
      <c r="E497" s="9" t="n">
        <v>148.059998</v>
      </c>
      <c r="F497" s="9" t="n">
        <v>148.610001</v>
      </c>
      <c r="G497" s="9" t="n">
        <v>142.770691</v>
      </c>
      <c r="H497" s="9" t="n">
        <v>142.770691</v>
      </c>
      <c r="I497" s="2" t="str">
        <f aca="false">IF(COUNT(C497:F497)&lt;4,"",IF(OR(D497&lt;MAX(C497,F497)-0.000001,E497&gt;MIN(C497,F497)+0.000001),"FAIL","OK"))</f>
        <v>OK</v>
      </c>
      <c r="J497" s="10" t="n">
        <f aca="false">IF(COUNT(F497,G497)&lt;2,"",G497/F497)</f>
        <v>0.960707153215079</v>
      </c>
      <c r="K497" s="10" t="n">
        <f aca="false">H497/H496-1</f>
        <v>-0.000672654570928244</v>
      </c>
      <c r="L497" s="10" t="n">
        <f aca="false">H502/H497-1</f>
        <v>-0.0137271801815401</v>
      </c>
      <c r="M497" s="10" t="n">
        <f aca="false">IF(COUNT(B438:B497)&lt;60,"",(B497-AVERAGE(B438:B497))/STDEV(B438:B497))</f>
        <v>0.478184158873988</v>
      </c>
      <c r="N497" s="10" t="n">
        <f aca="false">(H497-AVERAGE(H438:H497))/STDEV(H438:H497)</f>
        <v>0.875963425618994</v>
      </c>
      <c r="O497" s="10" t="n">
        <f aca="false">IF(COUNT(B497)=0,"",B497-('Signal Analysis'!$C$6+'Signal Analysis'!$C$5*H497))</f>
        <v>-0.592567316755364</v>
      </c>
    </row>
    <row r="498" customFormat="false" ht="15" hidden="false" customHeight="false" outlineLevel="0" collapsed="false">
      <c r="A498" s="8" t="n">
        <v>43045</v>
      </c>
      <c r="B498" s="9" t="n">
        <v>17.0790839208</v>
      </c>
      <c r="C498" s="9" t="n">
        <v>148.75</v>
      </c>
      <c r="D498" s="9" t="n">
        <v>149.380005</v>
      </c>
      <c r="E498" s="9" t="n">
        <v>148.389999</v>
      </c>
      <c r="F498" s="9" t="n">
        <v>148.779999</v>
      </c>
      <c r="G498" s="9" t="n">
        <v>142.934006</v>
      </c>
      <c r="H498" s="9" t="n">
        <v>142.934006</v>
      </c>
      <c r="I498" s="2" t="str">
        <f aca="false">IF(COUNT(C498:F498)&lt;4,"",IF(OR(D498&lt;MAX(C498,F498)-0.000001,E498&gt;MIN(C498,F498)+0.000001),"FAIL","OK"))</f>
        <v>OK</v>
      </c>
      <c r="J498" s="10" t="n">
        <f aca="false">IF(COUNT(F498,G498)&lt;2,"",G498/F498)</f>
        <v>0.960707131070756</v>
      </c>
      <c r="K498" s="10" t="n">
        <f aca="false">H498/H497-1</f>
        <v>0.00114389724428809</v>
      </c>
      <c r="L498" s="10" t="n">
        <f aca="false">H503/H498-1</f>
        <v>-0.0145852765086567</v>
      </c>
      <c r="M498" s="10" t="n">
        <f aca="false">IF(COUNT(B439:B498)&lt;60,"",(B498-AVERAGE(B439:B498))/STDEV(B439:B498))</f>
        <v>0.390057256741585</v>
      </c>
      <c r="N498" s="10" t="n">
        <f aca="false">(H498-AVERAGE(H439:H498))/STDEV(H439:H498)</f>
        <v>0.877102535749117</v>
      </c>
      <c r="O498" s="10" t="n">
        <f aca="false">IF(COUNT(B498)=0,"",B498-('Signal Analysis'!$C$6+'Signal Analysis'!$C$5*H498))</f>
        <v>-0.675455819689063</v>
      </c>
    </row>
    <row r="499" customFormat="false" ht="15" hidden="false" customHeight="false" outlineLevel="0" collapsed="false">
      <c r="A499" s="8" t="n">
        <v>43046</v>
      </c>
      <c r="B499" s="9" t="n">
        <v>16.89730224</v>
      </c>
      <c r="C499" s="9" t="n">
        <v>148.800003</v>
      </c>
      <c r="D499" s="9" t="n">
        <v>148.850006</v>
      </c>
      <c r="E499" s="9" t="n">
        <v>146.539993</v>
      </c>
      <c r="F499" s="9" t="n">
        <v>147</v>
      </c>
      <c r="G499" s="9" t="n">
        <v>141.223938</v>
      </c>
      <c r="H499" s="9" t="n">
        <v>141.223938</v>
      </c>
      <c r="I499" s="2" t="str">
        <f aca="false">IF(COUNT(C499:F499)&lt;4,"",IF(OR(D499&lt;MAX(C499,F499)-0.000001,E499&gt;MIN(C499,F499)+0.000001),"FAIL","OK"))</f>
        <v>OK</v>
      </c>
      <c r="J499" s="10" t="n">
        <f aca="false">IF(COUNT(F499,G499)&lt;2,"",G499/F499)</f>
        <v>0.96070706122449</v>
      </c>
      <c r="K499" s="10" t="n">
        <f aca="false">H499/H498-1</f>
        <v>-0.0119640388446121</v>
      </c>
      <c r="L499" s="10" t="n">
        <f aca="false">H504/H499-1</f>
        <v>-0.00537391897399153</v>
      </c>
      <c r="M499" s="10" t="n">
        <f aca="false">IF(COUNT(B440:B499)&lt;60,"",(B499-AVERAGE(B440:B499))/STDEV(B440:B499))</f>
        <v>0.170203647316649</v>
      </c>
      <c r="N499" s="10" t="n">
        <f aca="false">(H499-AVERAGE(H440:H499))/STDEV(H440:H499)</f>
        <v>0.530985108560491</v>
      </c>
      <c r="O499" s="10" t="n">
        <f aca="false">IF(COUNT(B499)=0,"",B499-('Signal Analysis'!$C$6+'Signal Analysis'!$C$5*H499))</f>
        <v>-0.623313147196445</v>
      </c>
    </row>
    <row r="500" customFormat="false" ht="15" hidden="false" customHeight="false" outlineLevel="0" collapsed="false">
      <c r="A500" s="8" t="n">
        <v>43047</v>
      </c>
      <c r="B500" s="9" t="n">
        <v>16.90191288</v>
      </c>
      <c r="C500" s="9" t="n">
        <v>146.660004</v>
      </c>
      <c r="D500" s="9" t="n">
        <v>147.449997</v>
      </c>
      <c r="E500" s="9" t="n">
        <v>145.839996</v>
      </c>
      <c r="F500" s="9" t="n">
        <v>147.199997</v>
      </c>
      <c r="G500" s="9" t="n">
        <v>141.416107</v>
      </c>
      <c r="H500" s="9" t="n">
        <v>141.416107</v>
      </c>
      <c r="I500" s="2" t="str">
        <f aca="false">IF(COUNT(C500:F500)&lt;4,"",IF(OR(D500&lt;MAX(C500,F500)-0.000001,E500&gt;MIN(C500,F500)+0.000001),"FAIL","OK"))</f>
        <v>OK</v>
      </c>
      <c r="J500" s="10" t="n">
        <f aca="false">IF(COUNT(F500,G500)&lt;2,"",G500/F500)</f>
        <v>0.960707268220936</v>
      </c>
      <c r="K500" s="10" t="n">
        <f aca="false">H500/H499-1</f>
        <v>0.00136073956527127</v>
      </c>
      <c r="L500" s="10" t="n">
        <f aca="false">H505/H500-1</f>
        <v>-0.0106656945378931</v>
      </c>
      <c r="M500" s="10" t="n">
        <f aca="false">IF(COUNT(B441:B500)&lt;60,"",(B500-AVERAGE(B441:B500))/STDEV(B441:B500))</f>
        <v>0.149993445051864</v>
      </c>
      <c r="N500" s="10" t="n">
        <f aca="false">(H500-AVERAGE(H441:H500))/STDEV(H441:H500)</f>
        <v>0.543104904391139</v>
      </c>
      <c r="O500" s="10" t="n">
        <f aca="false">IF(COUNT(B500)=0,"",B500-('Signal Analysis'!$C$6+'Signal Analysis'!$C$5*H500))</f>
        <v>-0.644989771239679</v>
      </c>
    </row>
    <row r="501" customFormat="false" ht="15" hidden="false" customHeight="false" outlineLevel="0" collapsed="false">
      <c r="A501" s="8" t="n">
        <v>43048</v>
      </c>
      <c r="B501" s="9" t="n">
        <v>17.3614754832</v>
      </c>
      <c r="C501" s="9" t="n">
        <v>146.270004</v>
      </c>
      <c r="D501" s="9" t="n">
        <v>147.389999</v>
      </c>
      <c r="E501" s="9" t="n">
        <v>145.279999</v>
      </c>
      <c r="F501" s="9" t="n">
        <v>146.679993</v>
      </c>
      <c r="G501" s="9" t="n">
        <v>140.916534</v>
      </c>
      <c r="H501" s="9" t="n">
        <v>140.916534</v>
      </c>
      <c r="I501" s="2" t="str">
        <f aca="false">IF(COUNT(C501:F501)&lt;4,"",IF(OR(D501&lt;MAX(C501,F501)-0.000001,E501&gt;MIN(C501,F501)+0.000001),"FAIL","OK"))</f>
        <v>OK</v>
      </c>
      <c r="J501" s="10" t="n">
        <f aca="false">IF(COUNT(F501,G501)&lt;2,"",G501/F501)</f>
        <v>0.960707258828408</v>
      </c>
      <c r="K501" s="10" t="n">
        <f aca="false">H501/H500-1</f>
        <v>-0.00353264568370559</v>
      </c>
      <c r="L501" s="10" t="n">
        <f aca="false">H506/H501-1</f>
        <v>0.00743132101162791</v>
      </c>
      <c r="M501" s="10" t="n">
        <f aca="false">IF(COUNT(B442:B501)&lt;60,"",(B501-AVERAGE(B442:B501))/STDEV(B442:B501))</f>
        <v>0.641147601526404</v>
      </c>
      <c r="N501" s="10" t="n">
        <f aca="false">(H501-AVERAGE(H442:H501))/STDEV(H442:H501)</f>
        <v>0.423156167136468</v>
      </c>
      <c r="O501" s="10" t="n">
        <f aca="false">IF(COUNT(B501)=0,"",B501-('Signal Analysis'!$C$6+'Signal Analysis'!$C$5*H501))</f>
        <v>-0.117089364544466</v>
      </c>
    </row>
    <row r="502" customFormat="false" ht="15" hidden="false" customHeight="false" outlineLevel="0" collapsed="false">
      <c r="A502" s="8" t="n">
        <v>43049</v>
      </c>
      <c r="B502" s="9" t="n">
        <v>17.628383556</v>
      </c>
      <c r="C502" s="9" t="n">
        <v>146.710007</v>
      </c>
      <c r="D502" s="9" t="n">
        <v>147.100006</v>
      </c>
      <c r="E502" s="9" t="n">
        <v>146.350006</v>
      </c>
      <c r="F502" s="9" t="n">
        <v>146.570007</v>
      </c>
      <c r="G502" s="9" t="n">
        <v>140.810852</v>
      </c>
      <c r="H502" s="9" t="n">
        <v>140.810852</v>
      </c>
      <c r="I502" s="2" t="str">
        <f aca="false">IF(COUNT(C502:F502)&lt;4,"",IF(OR(D502&lt;MAX(C502,F502)-0.000001,E502&gt;MIN(C502,F502)+0.000001),"FAIL","OK"))</f>
        <v>OK</v>
      </c>
      <c r="J502" s="10" t="n">
        <f aca="false">IF(COUNT(F502,G502)&lt;2,"",G502/F502)</f>
        <v>0.960707138398377</v>
      </c>
      <c r="K502" s="10" t="n">
        <f aca="false">H502/H501-1</f>
        <v>-0.000749961675895361</v>
      </c>
      <c r="L502" s="10" t="n">
        <f aca="false">H507/H502-1</f>
        <v>0.0128266889543427</v>
      </c>
      <c r="M502" s="10" t="n">
        <f aca="false">IF(COUNT(B443:B502)&lt;60,"",(B502-AVERAGE(B443:B502))/STDEV(B443:B502))</f>
        <v>0.913151291335441</v>
      </c>
      <c r="N502" s="10" t="n">
        <f aca="false">(H502-AVERAGE(H443:H502))/STDEV(H443:H502)</f>
        <v>0.375815621297817</v>
      </c>
      <c r="O502" s="10" t="n">
        <f aca="false">IF(COUNT(B502)=0,"",B502-('Signal Analysis'!$C$6+'Signal Analysis'!$C$5*H502))</f>
        <v>0.16427520560223</v>
      </c>
    </row>
    <row r="503" customFormat="false" ht="15" hidden="false" customHeight="false" outlineLevel="0" collapsed="false">
      <c r="A503" s="8" t="n">
        <v>43052</v>
      </c>
      <c r="B503" s="9" t="n">
        <v>35.434147008</v>
      </c>
      <c r="C503" s="9" t="n">
        <v>145.929993</v>
      </c>
      <c r="D503" s="9" t="n">
        <v>146.820007</v>
      </c>
      <c r="E503" s="9" t="n">
        <v>145.5</v>
      </c>
      <c r="F503" s="9" t="n">
        <v>146.610001</v>
      </c>
      <c r="G503" s="9" t="n">
        <v>140.849274</v>
      </c>
      <c r="H503" s="9" t="n">
        <v>140.849274</v>
      </c>
      <c r="I503" s="2" t="str">
        <f aca="false">IF(COUNT(C503:F503)&lt;4,"",IF(OR(D503&lt;MAX(C503,F503)-0.000001,E503&gt;MIN(C503,F503)+0.000001),"FAIL","OK"))</f>
        <v>OK</v>
      </c>
      <c r="J503" s="10" t="n">
        <f aca="false">IF(COUNT(F503,G503)&lt;2,"",G503/F503)</f>
        <v>0.960707134842732</v>
      </c>
      <c r="K503" s="10" t="n">
        <f aca="false">H503/H502-1</f>
        <v>0.00027286249216063</v>
      </c>
      <c r="L503" s="10" t="n">
        <f aca="false">H508/H503-1</f>
        <v>0.0199169077719208</v>
      </c>
      <c r="M503" s="10" t="n">
        <f aca="false">IF(COUNT(B444:B503)&lt;60,"",(B503-AVERAGE(B444:B503))/STDEV(B444:B503))</f>
        <v>7.1632315951265</v>
      </c>
      <c r="N503" s="10" t="n">
        <f aca="false">(H503-AVERAGE(H444:H503))/STDEV(H444:H503)</f>
        <v>0.356196390887042</v>
      </c>
      <c r="O503" s="10" t="n">
        <f aca="false">IF(COUNT(B503)=0,"",B503-('Signal Analysis'!$C$6+'Signal Analysis'!$C$5*H503))</f>
        <v>17.9647828189442</v>
      </c>
    </row>
    <row r="504" customFormat="false" ht="15" hidden="false" customHeight="false" outlineLevel="0" collapsed="false">
      <c r="A504" s="8" t="n">
        <v>43053</v>
      </c>
      <c r="B504" s="9" t="n">
        <v>17.4563194536</v>
      </c>
      <c r="C504" s="9" t="n">
        <v>146.059998</v>
      </c>
      <c r="D504" s="9" t="n">
        <v>146.490005</v>
      </c>
      <c r="E504" s="9" t="n">
        <v>145.589996</v>
      </c>
      <c r="F504" s="9" t="n">
        <v>146.210007</v>
      </c>
      <c r="G504" s="9" t="n">
        <v>140.465012</v>
      </c>
      <c r="H504" s="9" t="n">
        <v>140.465012</v>
      </c>
      <c r="I504" s="2" t="str">
        <f aca="false">IF(COUNT(C504:F504)&lt;4,"",IF(OR(D504&lt;MAX(C504,F504)-0.000001,E504&gt;MIN(C504,F504)+0.000001),"FAIL","OK"))</f>
        <v>OK</v>
      </c>
      <c r="J504" s="10" t="n">
        <f aca="false">IF(COUNT(F504,G504)&lt;2,"",G504/F504)</f>
        <v>0.960707238048351</v>
      </c>
      <c r="K504" s="10" t="n">
        <f aca="false">H504/H503-1</f>
        <v>-0.00272817877641318</v>
      </c>
      <c r="L504" s="10" t="n">
        <f aca="false">H509/H504-1</f>
        <v>0.0333767315664346</v>
      </c>
      <c r="M504" s="10" t="n">
        <f aca="false">IF(COUNT(B445:B504)&lt;60,"",(B504-AVERAGE(B445:B504))/STDEV(B445:B504))</f>
        <v>0.10443484301569</v>
      </c>
      <c r="N504" s="10" t="n">
        <f aca="false">(H504-AVERAGE(H445:H504))/STDEV(H445:H504)</f>
        <v>0.246542097425481</v>
      </c>
      <c r="O504" s="10" t="n">
        <f aca="false">IF(COUNT(B504)=0,"",B504-('Signal Analysis'!$C$6+'Signal Analysis'!$C$5*H504))</f>
        <v>0.0395193964061953</v>
      </c>
    </row>
    <row r="505" customFormat="false" ht="15" hidden="false" customHeight="false" outlineLevel="0" collapsed="false">
      <c r="A505" s="8" t="n">
        <v>43054</v>
      </c>
      <c r="B505" s="9" t="n">
        <v>17.9280885888</v>
      </c>
      <c r="C505" s="9" t="n">
        <v>145.350006</v>
      </c>
      <c r="D505" s="9" t="n">
        <v>146.210007</v>
      </c>
      <c r="E505" s="9" t="n">
        <v>144.5</v>
      </c>
      <c r="F505" s="9" t="n">
        <v>145.630005</v>
      </c>
      <c r="G505" s="9" t="n">
        <v>139.907806</v>
      </c>
      <c r="H505" s="9" t="n">
        <v>139.907806</v>
      </c>
      <c r="I505" s="2" t="str">
        <f aca="false">IF(COUNT(C505:F505)&lt;4,"",IF(OR(D505&lt;MAX(C505,F505)-0.000001,E505&gt;MIN(C505,F505)+0.000001),"FAIL","OK"))</f>
        <v>OK</v>
      </c>
      <c r="J505" s="10" t="n">
        <f aca="false">IF(COUNT(F505,G505)&lt;2,"",G505/F505)</f>
        <v>0.960707280069104</v>
      </c>
      <c r="K505" s="10" t="n">
        <f aca="false">H505/H504-1</f>
        <v>-0.00396686685222369</v>
      </c>
      <c r="L505" s="10" t="n">
        <f aca="false">H510/H505-1</f>
        <v>0.0361186708910297</v>
      </c>
      <c r="M505" s="10" t="n">
        <f aca="false">IF(COUNT(B446:B505)&lt;60,"",(B505-AVERAGE(B446:B505))/STDEV(B446:B505))</f>
        <v>0.2755920339684</v>
      </c>
      <c r="N505" s="10" t="n">
        <f aca="false">(H505-AVERAGE(H446:H505))/STDEV(H446:H505)</f>
        <v>0.0960128232578713</v>
      </c>
      <c r="O505" s="10" t="n">
        <f aca="false">IF(COUNT(B505)=0,"",B505-('Signal Analysis'!$C$6+'Signal Analysis'!$C$5*H505))</f>
        <v>0.587510093088412</v>
      </c>
    </row>
    <row r="506" customFormat="false" ht="15" hidden="false" customHeight="false" outlineLevel="0" collapsed="false">
      <c r="A506" s="8" t="n">
        <v>43055</v>
      </c>
      <c r="B506" s="9" t="n">
        <v>18.11512872</v>
      </c>
      <c r="C506" s="9" t="n">
        <v>146.210007</v>
      </c>
      <c r="D506" s="9" t="n">
        <v>148.399994</v>
      </c>
      <c r="E506" s="9" t="n">
        <v>146.190002</v>
      </c>
      <c r="F506" s="9" t="n">
        <v>147.770004</v>
      </c>
      <c r="G506" s="9" t="n">
        <v>141.96373</v>
      </c>
      <c r="H506" s="9" t="n">
        <v>141.96373</v>
      </c>
      <c r="I506" s="2" t="str">
        <f aca="false">IF(COUNT(C506:F506)&lt;4,"",IF(OR(D506&lt;MAX(C506,F506)-0.000001,E506&gt;MIN(C506,F506)+0.000001),"FAIL","OK"))</f>
        <v>OK</v>
      </c>
      <c r="J506" s="10" t="n">
        <f aca="false">IF(COUNT(F506,G506)&lt;2,"",G506/F506)</f>
        <v>0.960707357089873</v>
      </c>
      <c r="K506" s="10" t="n">
        <f aca="false">H506/H505-1</f>
        <v>0.0146948484060996</v>
      </c>
      <c r="L506" s="10" t="n">
        <f aca="false">H511/H506-1</f>
        <v>0.0215195317846326</v>
      </c>
      <c r="M506" s="10" t="n">
        <f aca="false">IF(COUNT(B447:B506)&lt;60,"",(B506-AVERAGE(B447:B506))/STDEV(B447:B506))</f>
        <v>0.33403037786083</v>
      </c>
      <c r="N506" s="10" t="n">
        <f aca="false">(H506-AVERAGE(H447:H506))/STDEV(H447:H506)</f>
        <v>0.528003201410024</v>
      </c>
      <c r="O506" s="10" t="n">
        <f aca="false">IF(COUNT(B506)=0,"",B506-('Signal Analysis'!$C$6+'Signal Analysis'!$C$5*H506))</f>
        <v>0.493315389112986</v>
      </c>
    </row>
    <row r="507" customFormat="false" ht="15" hidden="false" customHeight="false" outlineLevel="0" collapsed="false">
      <c r="A507" s="8" t="n">
        <v>43056</v>
      </c>
      <c r="B507" s="9" t="n">
        <v>18.091144032</v>
      </c>
      <c r="C507" s="9" t="n">
        <v>147.25</v>
      </c>
      <c r="D507" s="9" t="n">
        <v>149.029999</v>
      </c>
      <c r="E507" s="9" t="n">
        <v>147.169998</v>
      </c>
      <c r="F507" s="9" t="n">
        <v>148.449997</v>
      </c>
      <c r="G507" s="9" t="n">
        <v>142.616989</v>
      </c>
      <c r="H507" s="9" t="n">
        <v>142.616989</v>
      </c>
      <c r="I507" s="2" t="str">
        <f aca="false">IF(COUNT(C507:F507)&lt;4,"",IF(OR(D507&lt;MAX(C507,F507)-0.000001,E507&gt;MIN(C507,F507)+0.000001),"FAIL","OK"))</f>
        <v>OK</v>
      </c>
      <c r="J507" s="10" t="n">
        <f aca="false">IF(COUNT(F507,G507)&lt;2,"",G507/F507)</f>
        <v>0.960707254173942</v>
      </c>
      <c r="K507" s="10" t="n">
        <f aca="false">H507/H506-1</f>
        <v>0.00460159084295686</v>
      </c>
      <c r="L507" s="10" t="n">
        <f aca="false">H512/H507-1</f>
        <v>0.0137419743169589</v>
      </c>
      <c r="M507" s="10" t="n">
        <f aca="false">IF(COUNT(B448:B507)&lt;60,"",(B507-AVERAGE(B448:B507))/STDEV(B448:B507))</f>
        <v>0.310998586255593</v>
      </c>
      <c r="N507" s="10" t="n">
        <f aca="false">(H507-AVERAGE(H448:H507))/STDEV(H448:H507)</f>
        <v>0.654543397265539</v>
      </c>
      <c r="O507" s="10" t="n">
        <f aca="false">IF(COUNT(B507)=0,"",B507-('Signal Analysis'!$C$6+'Signal Analysis'!$C$5*H507))</f>
        <v>0.379969816570625</v>
      </c>
    </row>
    <row r="508" customFormat="false" ht="15" hidden="false" customHeight="false" outlineLevel="0" collapsed="false">
      <c r="A508" s="8" t="n">
        <v>43059</v>
      </c>
      <c r="B508" s="9" t="n">
        <v>17.2282242924</v>
      </c>
      <c r="C508" s="9" t="n">
        <v>148.759995</v>
      </c>
      <c r="D508" s="9" t="n">
        <v>149.580002</v>
      </c>
      <c r="E508" s="9" t="n">
        <v>148.330002</v>
      </c>
      <c r="F508" s="9" t="n">
        <v>149.529999</v>
      </c>
      <c r="G508" s="9" t="n">
        <v>143.654556</v>
      </c>
      <c r="H508" s="9" t="n">
        <v>143.654556</v>
      </c>
      <c r="I508" s="2" t="str">
        <f aca="false">IF(COUNT(C508:F508)&lt;4,"",IF(OR(D508&lt;MAX(C508,F508)-0.000001,E508&gt;MIN(C508,F508)+0.000001),"FAIL","OK"))</f>
        <v>OK</v>
      </c>
      <c r="J508" s="10" t="n">
        <f aca="false">IF(COUNT(F508,G508)&lt;2,"",G508/F508)</f>
        <v>0.960707262493863</v>
      </c>
      <c r="K508" s="10" t="n">
        <f aca="false">H508/H507-1</f>
        <v>0.00727519916999531</v>
      </c>
      <c r="L508" s="10" t="n">
        <f aca="false">H513/H508-1</f>
        <v>0.0222699028076769</v>
      </c>
      <c r="M508" s="10" t="n">
        <f aca="false">IF(COUNT(B449:B508)&lt;60,"",(B508-AVERAGE(B449:B508))/STDEV(B449:B508))</f>
        <v>-0.0420121114455221</v>
      </c>
      <c r="N508" s="10" t="n">
        <f aca="false">(H508-AVERAGE(H449:H508))/STDEV(H449:H508)</f>
        <v>0.879157078785706</v>
      </c>
      <c r="O508" s="10" t="n">
        <f aca="false">IF(COUNT(B508)=0,"",B508-('Signal Analysis'!$C$6+'Signal Analysis'!$C$5*H508))</f>
        <v>-0.624881231885375</v>
      </c>
    </row>
    <row r="509" customFormat="false" ht="15" hidden="false" customHeight="false" outlineLevel="0" collapsed="false">
      <c r="A509" s="8" t="n">
        <v>43060</v>
      </c>
      <c r="B509" s="9" t="n">
        <v>17.1757271664</v>
      </c>
      <c r="C509" s="9" t="n">
        <v>150.199997</v>
      </c>
      <c r="D509" s="9" t="n">
        <v>151.289993</v>
      </c>
      <c r="E509" s="9" t="n">
        <v>150.059998</v>
      </c>
      <c r="F509" s="9" t="n">
        <v>151.089996</v>
      </c>
      <c r="G509" s="9" t="n">
        <v>145.153275</v>
      </c>
      <c r="H509" s="9" t="n">
        <v>145.153275</v>
      </c>
      <c r="I509" s="2" t="str">
        <f aca="false">IF(COUNT(C509:F509)&lt;4,"",IF(OR(D509&lt;MAX(C509,F509)-0.000001,E509&gt;MIN(C509,F509)+0.000001),"FAIL","OK"))</f>
        <v>OK</v>
      </c>
      <c r="J509" s="10" t="n">
        <f aca="false">IF(COUNT(F509,G509)&lt;2,"",G509/F509)</f>
        <v>0.960707385285787</v>
      </c>
      <c r="K509" s="10" t="n">
        <f aca="false">H509/H508-1</f>
        <v>0.0104327982469279</v>
      </c>
      <c r="L509" s="10" t="n">
        <f aca="false">H514/H509-1</f>
        <v>0.0150900349992102</v>
      </c>
      <c r="M509" s="10" t="n">
        <f aca="false">IF(COUNT(B450:B509)&lt;60,"",(B509-AVERAGE(B450:B509))/STDEV(B450:B509))</f>
        <v>-0.0703900583297425</v>
      </c>
      <c r="N509" s="10" t="n">
        <f aca="false">(H509-AVERAGE(H450:H509))/STDEV(H450:H509)</f>
        <v>1.22164687814971</v>
      </c>
      <c r="O509" s="10" t="n">
        <f aca="false">IF(COUNT(B509)=0,"",B509-('Signal Analysis'!$C$6+'Signal Analysis'!$C$5*H509))</f>
        <v>-0.882391768371015</v>
      </c>
    </row>
    <row r="510" customFormat="false" ht="15" hidden="false" customHeight="false" outlineLevel="0" collapsed="false">
      <c r="A510" s="8" t="n">
        <v>43061</v>
      </c>
      <c r="B510" s="9" t="n">
        <v>18.503569854</v>
      </c>
      <c r="C510" s="9" t="n">
        <v>151.279999</v>
      </c>
      <c r="D510" s="9" t="n">
        <v>151.770004</v>
      </c>
      <c r="E510" s="9" t="n">
        <v>150.860001</v>
      </c>
      <c r="F510" s="9" t="n">
        <v>150.889999</v>
      </c>
      <c r="G510" s="9" t="n">
        <v>144.96109</v>
      </c>
      <c r="H510" s="9" t="n">
        <v>144.96109</v>
      </c>
      <c r="I510" s="2" t="str">
        <f aca="false">IF(COUNT(C510:F510)&lt;4,"",IF(OR(D510&lt;MAX(C510,F510)-0.000001,E510&gt;MIN(C510,F510)+0.000001),"FAIL","OK"))</f>
        <v>OK</v>
      </c>
      <c r="J510" s="10" t="n">
        <f aca="false">IF(COUNT(F510,G510)&lt;2,"",G510/F510)</f>
        <v>0.960707077743436</v>
      </c>
      <c r="K510" s="10" t="n">
        <f aca="false">H510/H509-1</f>
        <v>-0.00132401421876283</v>
      </c>
      <c r="L510" s="10" t="n">
        <f aca="false">H515/H510-1</f>
        <v>0.0182917774693885</v>
      </c>
      <c r="M510" s="10" t="n">
        <f aca="false">IF(COUNT(B451:B510)&lt;60,"",(B510-AVERAGE(B451:B510))/STDEV(B451:B510))</f>
        <v>0.440622790165564</v>
      </c>
      <c r="N510" s="10" t="n">
        <f aca="false">(H510-AVERAGE(H451:H510))/STDEV(H451:H510)</f>
        <v>1.1517637226627</v>
      </c>
      <c r="O510" s="10" t="n">
        <f aca="false">IF(COUNT(B510)=0,"",B510-('Signal Analysis'!$C$6+'Signal Analysis'!$C$5*H510))</f>
        <v>0.471740371951064</v>
      </c>
    </row>
    <row r="511" customFormat="false" ht="15" hidden="false" customHeight="false" outlineLevel="0" collapsed="false">
      <c r="A511" s="8" t="n">
        <v>43063</v>
      </c>
      <c r="B511" s="9" t="n">
        <v>18.2116742748</v>
      </c>
      <c r="C511" s="9" t="n">
        <v>151.210007</v>
      </c>
      <c r="D511" s="9" t="n">
        <v>151.369995</v>
      </c>
      <c r="E511" s="9" t="n">
        <v>150.770004</v>
      </c>
      <c r="F511" s="9" t="n">
        <v>150.949997</v>
      </c>
      <c r="G511" s="9" t="n">
        <v>145.018723</v>
      </c>
      <c r="H511" s="9" t="n">
        <v>145.018723</v>
      </c>
      <c r="I511" s="2" t="str">
        <f aca="false">IF(COUNT(C511:F511)&lt;4,"",IF(OR(D511&lt;MAX(C511,F511)-0.000001,E511&gt;MIN(C511,F511)+0.000001),"FAIL","OK"))</f>
        <v>OK</v>
      </c>
      <c r="J511" s="10" t="n">
        <f aca="false">IF(COUNT(F511,G511)&lt;2,"",G511/F511)</f>
        <v>0.960707028036576</v>
      </c>
      <c r="K511" s="10" t="n">
        <f aca="false">H511/H510-1</f>
        <v>0.000397575652887117</v>
      </c>
      <c r="L511" s="10" t="n">
        <f aca="false">H516/H511-1</f>
        <v>0.0137133534129936</v>
      </c>
      <c r="M511" s="10" t="n">
        <f aca="false">IF(COUNT(B452:B511)&lt;60,"",(B511-AVERAGE(B452:B511))/STDEV(B452:B511))</f>
        <v>0.312453037577236</v>
      </c>
      <c r="N511" s="10" t="n">
        <f aca="false">(H511-AVERAGE(H452:H511))/STDEV(H452:H511)</f>
        <v>1.14261558071492</v>
      </c>
      <c r="O511" s="10" t="n">
        <f aca="false">IF(COUNT(B511)=0,"",B511-('Signal Analysis'!$C$6+'Signal Analysis'!$C$5*H511))</f>
        <v>0.171961034764067</v>
      </c>
    </row>
    <row r="512" customFormat="false" ht="15" hidden="false" customHeight="false" outlineLevel="0" collapsed="false">
      <c r="A512" s="8" t="n">
        <v>43066</v>
      </c>
      <c r="B512" s="9" t="n">
        <v>17.1821166504</v>
      </c>
      <c r="C512" s="9" t="n">
        <v>151.300003</v>
      </c>
      <c r="D512" s="9" t="n">
        <v>151.619995</v>
      </c>
      <c r="E512" s="9" t="n">
        <v>150.440002</v>
      </c>
      <c r="F512" s="9" t="n">
        <v>150.490005</v>
      </c>
      <c r="G512" s="9" t="n">
        <v>144.576828</v>
      </c>
      <c r="H512" s="9" t="n">
        <v>144.576828</v>
      </c>
      <c r="I512" s="2" t="str">
        <f aca="false">IF(COUNT(C512:F512)&lt;4,"",IF(OR(D512&lt;MAX(C512,F512)-0.000001,E512&gt;MIN(C512,F512)+0.000001),"FAIL","OK"))</f>
        <v>OK</v>
      </c>
      <c r="J512" s="10" t="n">
        <f aca="false">IF(COUNT(F512,G512)&lt;2,"",G512/F512)</f>
        <v>0.960707177862078</v>
      </c>
      <c r="K512" s="10" t="n">
        <f aca="false">H512/H511-1</f>
        <v>-0.00304715826245405</v>
      </c>
      <c r="L512" s="10" t="n">
        <f aca="false">H517/H512-1</f>
        <v>0.0130240787963616</v>
      </c>
      <c r="M512" s="10" t="n">
        <f aca="false">IF(COUNT(B453:B512)&lt;60,"",(B512-AVERAGE(B453:B512))/STDEV(B453:B512))</f>
        <v>-0.10403759805111</v>
      </c>
      <c r="N512" s="10" t="n">
        <f aca="false">(H512-AVERAGE(H453:H512))/STDEV(H453:H512)</f>
        <v>0.997985785475094</v>
      </c>
      <c r="O512" s="10" t="n">
        <f aca="false">IF(COUNT(B512)=0,"",B512-('Signal Analysis'!$C$6+'Signal Analysis'!$C$5*H512))</f>
        <v>-0.79714869978697</v>
      </c>
    </row>
    <row r="513" customFormat="false" ht="15" hidden="false" customHeight="false" outlineLevel="0" collapsed="false">
      <c r="A513" s="8" t="n">
        <v>43067</v>
      </c>
      <c r="B513" s="9" t="n">
        <v>17.64088992</v>
      </c>
      <c r="C513" s="9" t="n">
        <v>151.020004</v>
      </c>
      <c r="D513" s="9" t="n">
        <v>152.970001</v>
      </c>
      <c r="E513" s="9" t="n">
        <v>150.660004</v>
      </c>
      <c r="F513" s="9" t="n">
        <v>152.860001</v>
      </c>
      <c r="G513" s="9" t="n">
        <v>146.853729</v>
      </c>
      <c r="H513" s="9" t="n">
        <v>146.853729</v>
      </c>
      <c r="I513" s="2" t="str">
        <f aca="false">IF(COUNT(C513:F513)&lt;4,"",IF(OR(D513&lt;MAX(C513,F513)-0.000001,E513&gt;MIN(C513,F513)+0.000001),"FAIL","OK"))</f>
        <v>OK</v>
      </c>
      <c r="J513" s="10" t="n">
        <f aca="false">IF(COUNT(F513,G513)&lt;2,"",G513/F513)</f>
        <v>0.960707366474504</v>
      </c>
      <c r="K513" s="10" t="n">
        <f aca="false">H513/H512-1</f>
        <v>0.0157487270366727</v>
      </c>
      <c r="L513" s="10" t="n">
        <f aca="false">H518/H513-1</f>
        <v>-0.0126259783297704</v>
      </c>
      <c r="M513" s="10" t="n">
        <f aca="false">IF(COUNT(B454:B513)&lt;60,"",(B513-AVERAGE(B454:B513))/STDEV(B454:B513))</f>
        <v>0.0720576453293306</v>
      </c>
      <c r="N513" s="10" t="n">
        <f aca="false">(H513-AVERAGE(H454:H513))/STDEV(H454:H513)</f>
        <v>1.56679570251306</v>
      </c>
      <c r="O513" s="10" t="n">
        <f aca="false">IF(COUNT(B513)=0,"",B513-('Signal Analysis'!$C$6+'Signal Analysis'!$C$5*H513))</f>
        <v>-0.649838245663496</v>
      </c>
    </row>
    <row r="514" customFormat="false" ht="15" hidden="false" customHeight="false" outlineLevel="0" collapsed="false">
      <c r="A514" s="8" t="n">
        <v>43068</v>
      </c>
      <c r="B514" s="9" t="n">
        <v>16.696418112</v>
      </c>
      <c r="C514" s="9" t="n">
        <v>153.339996</v>
      </c>
      <c r="D514" s="9" t="n">
        <v>154.210007</v>
      </c>
      <c r="E514" s="9" t="n">
        <v>152.949997</v>
      </c>
      <c r="F514" s="9" t="n">
        <v>153.369995</v>
      </c>
      <c r="G514" s="9" t="n">
        <v>147.343643</v>
      </c>
      <c r="H514" s="9" t="n">
        <v>147.343643</v>
      </c>
      <c r="I514" s="2" t="str">
        <f aca="false">IF(COUNT(C514:F514)&lt;4,"",IF(OR(D514&lt;MAX(C514,F514)-0.000001,E514&gt;MIN(C514,F514)+0.000001),"FAIL","OK"))</f>
        <v>OK</v>
      </c>
      <c r="J514" s="10" t="n">
        <f aca="false">IF(COUNT(F514,G514)&lt;2,"",G514/F514)</f>
        <v>0.960707099194989</v>
      </c>
      <c r="K514" s="10" t="n">
        <f aca="false">H514/H513-1</f>
        <v>0.00333606782296969</v>
      </c>
      <c r="L514" s="10" t="n">
        <f aca="false">H519/H514-1</f>
        <v>-0.0205383750420776</v>
      </c>
      <c r="M514" s="10" t="n">
        <f aca="false">IF(COUNT(B455:B514)&lt;60,"",(B514-AVERAGE(B455:B514))/STDEV(B455:B514))</f>
        <v>-0.317348158528877</v>
      </c>
      <c r="N514" s="10" t="n">
        <f aca="false">(H514-AVERAGE(H455:H514))/STDEV(H455:H514)</f>
        <v>1.66217689739676</v>
      </c>
      <c r="O514" s="10" t="n">
        <f aca="false">IF(COUNT(B514)=0,"",B514-('Signal Analysis'!$C$6+'Signal Analysis'!$C$5*H514))</f>
        <v>-1.66132657909932</v>
      </c>
    </row>
    <row r="515" customFormat="false" ht="15" hidden="false" customHeight="false" outlineLevel="0" collapsed="false">
      <c r="A515" s="8" t="n">
        <v>43069</v>
      </c>
      <c r="B515" s="9" t="n">
        <v>17.9219452452</v>
      </c>
      <c r="C515" s="9" t="n">
        <v>154.100006</v>
      </c>
      <c r="D515" s="9" t="n">
        <v>154.550003</v>
      </c>
      <c r="E515" s="9" t="n">
        <v>153.279999</v>
      </c>
      <c r="F515" s="9" t="n">
        <v>153.649994</v>
      </c>
      <c r="G515" s="9" t="n">
        <v>147.612686</v>
      </c>
      <c r="H515" s="9" t="n">
        <v>147.612686</v>
      </c>
      <c r="I515" s="2" t="str">
        <f aca="false">IF(COUNT(C515:F515)&lt;4,"",IF(OR(D515&lt;MAX(C515,F515)-0.000001,E515&gt;MIN(C515,F515)+0.000001),"FAIL","OK"))</f>
        <v>OK</v>
      </c>
      <c r="J515" s="10" t="n">
        <f aca="false">IF(COUNT(F515,G515)&lt;2,"",G515/F515)</f>
        <v>0.960707398400549</v>
      </c>
      <c r="K515" s="10" t="n">
        <f aca="false">H515/H514-1</f>
        <v>0.00182595593893398</v>
      </c>
      <c r="L515" s="10" t="n">
        <f aca="false">H520/H515-1</f>
        <v>-0.0154896442979161</v>
      </c>
      <c r="M515" s="10" t="n">
        <f aca="false">IF(COUNT(B456:B515)&lt;60,"",(B515-AVERAGE(B456:B515))/STDEV(B456:B515))</f>
        <v>0.166270596654509</v>
      </c>
      <c r="N515" s="10" t="n">
        <f aca="false">(H515-AVERAGE(H456:H515))/STDEV(H456:H515)</f>
        <v>1.6976222007791</v>
      </c>
      <c r="O515" s="10" t="n">
        <f aca="false">IF(COUNT(B515)=0,"",B515-('Signal Analysis'!$C$6+'Signal Analysis'!$C$5*H515))</f>
        <v>-0.472602491031395</v>
      </c>
    </row>
    <row r="516" customFormat="false" ht="15" hidden="false" customHeight="false" outlineLevel="0" collapsed="false">
      <c r="A516" s="8" t="n">
        <v>43070</v>
      </c>
      <c r="B516" s="9" t="n">
        <v>17.31809328</v>
      </c>
      <c r="C516" s="9" t="n">
        <v>153.020004</v>
      </c>
      <c r="D516" s="9" t="n">
        <v>153.710007</v>
      </c>
      <c r="E516" s="9" t="n">
        <v>148.75</v>
      </c>
      <c r="F516" s="9" t="n">
        <v>153.020004</v>
      </c>
      <c r="G516" s="9" t="n">
        <v>147.007416</v>
      </c>
      <c r="H516" s="9" t="n">
        <v>147.007416</v>
      </c>
      <c r="I516" s="2" t="str">
        <f aca="false">IF(COUNT(C516:F516)&lt;4,"",IF(OR(D516&lt;MAX(C516,F516)-0.000001,E516&gt;MIN(C516,F516)+0.000001),"FAIL","OK"))</f>
        <v>OK</v>
      </c>
      <c r="J516" s="10" t="n">
        <f aca="false">IF(COUNT(F516,G516)&lt;2,"",G516/F516)</f>
        <v>0.960707176559739</v>
      </c>
      <c r="K516" s="10" t="n">
        <f aca="false">H516/H515-1</f>
        <v>-0.00410039283480002</v>
      </c>
      <c r="L516" s="10" t="n">
        <f aca="false">H521/H516-1</f>
        <v>-0.0105213943764579</v>
      </c>
      <c r="M516" s="10" t="n">
        <f aca="false">IF(COUNT(B457:B516)&lt;60,"",(B516-AVERAGE(B457:B516))/STDEV(B457:B516))</f>
        <v>-0.0833719278908355</v>
      </c>
      <c r="N516" s="10" t="n">
        <f aca="false">(H516-AVERAGE(H457:H516))/STDEV(H457:H516)</f>
        <v>1.50599694143859</v>
      </c>
      <c r="O516" s="10" t="n">
        <f aca="false">IF(COUNT(B516)=0,"",B516-('Signal Analysis'!$C$6+'Signal Analysis'!$C$5*H516))</f>
        <v>-0.993658103503069</v>
      </c>
    </row>
    <row r="517" customFormat="false" ht="15" hidden="false" customHeight="false" outlineLevel="0" collapsed="false">
      <c r="A517" s="8" t="n">
        <v>43073</v>
      </c>
      <c r="B517" s="9" t="n">
        <v>16.7415803136</v>
      </c>
      <c r="C517" s="9" t="n">
        <v>154.899994</v>
      </c>
      <c r="D517" s="9" t="n">
        <v>155.410004</v>
      </c>
      <c r="E517" s="9" t="n">
        <v>152.300003</v>
      </c>
      <c r="F517" s="9" t="n">
        <v>152.449997</v>
      </c>
      <c r="G517" s="9" t="n">
        <v>146.459808</v>
      </c>
      <c r="H517" s="9" t="n">
        <v>146.459808</v>
      </c>
      <c r="I517" s="2" t="str">
        <f aca="false">IF(COUNT(C517:F517)&lt;4,"",IF(OR(D517&lt;MAX(C517,F517)-0.000001,E517&gt;MIN(C517,F517)+0.000001),"FAIL","OK"))</f>
        <v>OK</v>
      </c>
      <c r="J517" s="10" t="n">
        <f aca="false">IF(COUNT(F517,G517)&lt;2,"",G517/F517)</f>
        <v>0.960707188469148</v>
      </c>
      <c r="K517" s="10" t="n">
        <f aca="false">H517/H516-1</f>
        <v>-0.00372503656550227</v>
      </c>
      <c r="L517" s="10" t="n">
        <f aca="false">H522/H517-1</f>
        <v>-0.00721526959805929</v>
      </c>
      <c r="M517" s="10" t="n">
        <f aca="false">IF(COUNT(B458:B517)&lt;60,"",(B517-AVERAGE(B458:B517))/STDEV(B458:B517))</f>
        <v>-0.326338812374028</v>
      </c>
      <c r="N517" s="10" t="n">
        <f aca="false">(H517-AVERAGE(H458:H517))/STDEV(H458:H517)</f>
        <v>1.33549240085873</v>
      </c>
      <c r="O517" s="10" t="n">
        <f aca="false">IF(COUNT(B517)=0,"",B517-('Signal Analysis'!$C$6+'Signal Analysis'!$C$5*H517))</f>
        <v>-1.49526244214215</v>
      </c>
    </row>
    <row r="518" customFormat="false" ht="15" hidden="false" customHeight="false" outlineLevel="0" collapsed="false">
      <c r="A518" s="8" t="n">
        <v>43074</v>
      </c>
      <c r="B518" s="9" t="n">
        <v>17.2807303284</v>
      </c>
      <c r="C518" s="9" t="n">
        <v>151.399994</v>
      </c>
      <c r="D518" s="9" t="n">
        <v>152.960007</v>
      </c>
      <c r="E518" s="9" t="n">
        <v>150.919998</v>
      </c>
      <c r="F518" s="9" t="n">
        <v>150.929993</v>
      </c>
      <c r="G518" s="9" t="n">
        <v>144.999557</v>
      </c>
      <c r="H518" s="9" t="n">
        <v>144.999557</v>
      </c>
      <c r="I518" s="2" t="str">
        <f aca="false">IF(COUNT(C518:F518)&lt;4,"",IF(OR(D518&lt;MAX(C518,F518)-0.000001,E518&gt;MIN(C518,F518)+0.000001),"FAIL","OK"))</f>
        <v>OK</v>
      </c>
      <c r="J518" s="10" t="n">
        <f aca="false">IF(COUNT(F518,G518)&lt;2,"",G518/F518)</f>
        <v>0.96070737245711</v>
      </c>
      <c r="K518" s="10" t="n">
        <f aca="false">H518/H517-1</f>
        <v>-0.00997031895603739</v>
      </c>
      <c r="L518" s="10" t="n">
        <f aca="false">H523/H518-1</f>
        <v>-0.000331269977604132</v>
      </c>
      <c r="M518" s="10" t="n">
        <f aca="false">IF(COUNT(B459:B518)&lt;60,"",(B518-AVERAGE(B459:B518))/STDEV(B459:B518))</f>
        <v>-0.117480306775264</v>
      </c>
      <c r="N518" s="10" t="n">
        <f aca="false">(H518-AVERAGE(H459:H518))/STDEV(H459:H518)</f>
        <v>0.882560742336438</v>
      </c>
      <c r="O518" s="10" t="n">
        <f aca="false">IF(COUNT(B518)=0,"",B518-('Signal Analysis'!$C$6+'Signal Analysis'!$C$5*H518))</f>
        <v>-0.756361147966182</v>
      </c>
    </row>
    <row r="519" customFormat="false" ht="15" hidden="false" customHeight="false" outlineLevel="0" collapsed="false">
      <c r="A519" s="8" t="n">
        <v>43075</v>
      </c>
      <c r="B519" s="9" t="n">
        <v>18.320785686</v>
      </c>
      <c r="C519" s="9" t="n">
        <v>150.369995</v>
      </c>
      <c r="D519" s="9" t="n">
        <v>151.190002</v>
      </c>
      <c r="E519" s="9" t="n">
        <v>149.949997</v>
      </c>
      <c r="F519" s="9" t="n">
        <v>150.220001</v>
      </c>
      <c r="G519" s="9" t="n">
        <v>144.317444</v>
      </c>
      <c r="H519" s="9" t="n">
        <v>144.317444</v>
      </c>
      <c r="I519" s="2" t="str">
        <f aca="false">IF(COUNT(C519:F519)&lt;4,"",IF(OR(D519&lt;MAX(C519,F519)-0.000001,E519&gt;MIN(C519,F519)+0.000001),"FAIL","OK"))</f>
        <v>OK</v>
      </c>
      <c r="J519" s="10" t="n">
        <f aca="false">IF(COUNT(F519,G519)&lt;2,"",G519/F519)</f>
        <v>0.960707249629162</v>
      </c>
      <c r="K519" s="10" t="n">
        <f aca="false">H519/H518-1</f>
        <v>-0.0047042419584773</v>
      </c>
      <c r="L519" s="10" t="n">
        <f aca="false">H524/H519-1</f>
        <v>0.0103846628547553</v>
      </c>
      <c r="M519" s="10" t="n">
        <f aca="false">IF(COUNT(B460:B519)&lt;60,"",(B519-AVERAGE(B460:B519))/STDEV(B460:B519))</f>
        <v>0.289375715728973</v>
      </c>
      <c r="N519" s="10" t="n">
        <f aca="false">(H519-AVERAGE(H460:H519))/STDEV(H460:H519)</f>
        <v>0.648246720959199</v>
      </c>
      <c r="O519" s="10" t="n">
        <f aca="false">IF(COUNT(B519)=0,"",B519-('Signal Analysis'!$C$6+'Signal Analysis'!$C$5*H519))</f>
        <v>0.377002102885719</v>
      </c>
    </row>
    <row r="520" customFormat="false" ht="15" hidden="false" customHeight="false" outlineLevel="0" collapsed="false">
      <c r="A520" s="8" t="n">
        <v>43076</v>
      </c>
      <c r="B520" s="9" t="n">
        <v>17.5681245876</v>
      </c>
      <c r="C520" s="9" t="n">
        <v>151.309998</v>
      </c>
      <c r="D520" s="9" t="n">
        <v>151.889999</v>
      </c>
      <c r="E520" s="9" t="n">
        <v>150.020004</v>
      </c>
      <c r="F520" s="9" t="n">
        <v>151.270004</v>
      </c>
      <c r="G520" s="9" t="n">
        <v>145.326218</v>
      </c>
      <c r="H520" s="9" t="n">
        <v>145.326218</v>
      </c>
      <c r="I520" s="2" t="str">
        <f aca="false">IF(COUNT(C520:F520)&lt;4,"",IF(OR(D520&lt;MAX(C520,F520)-0.000001,E520&gt;MIN(C520,F520)+0.000001),"FAIL","OK"))</f>
        <v>OK</v>
      </c>
      <c r="J520" s="10" t="n">
        <f aca="false">IF(COUNT(F520,G520)&lt;2,"",G520/F520)</f>
        <v>0.960707438072124</v>
      </c>
      <c r="K520" s="10" t="n">
        <f aca="false">H520/H519-1</f>
        <v>0.0069899658145276</v>
      </c>
      <c r="L520" s="10" t="n">
        <f aca="false">H525/H520-1</f>
        <v>-0.00773480529163717</v>
      </c>
      <c r="M520" s="10" t="n">
        <f aca="false">IF(COUNT(B461:B520)&lt;60,"",(B520-AVERAGE(B461:B520))/STDEV(B461:B520))</f>
        <v>-0.0291021286535889</v>
      </c>
      <c r="N520" s="10" t="n">
        <f aca="false">(H520-AVERAGE(H461:H520))/STDEV(H461:H520)</f>
        <v>0.973768874815811</v>
      </c>
      <c r="O520" s="10" t="n">
        <f aca="false">IF(COUNT(B520)=0,"",B520-('Signal Analysis'!$C$6+'Signal Analysis'!$C$5*H520))</f>
        <v>-0.513651639998837</v>
      </c>
    </row>
    <row r="521" customFormat="false" ht="15" hidden="false" customHeight="false" outlineLevel="0" collapsed="false">
      <c r="A521" s="8" t="n">
        <v>43077</v>
      </c>
      <c r="B521" s="9" t="n">
        <v>18.0228739152</v>
      </c>
      <c r="C521" s="9" t="n">
        <v>152.149994</v>
      </c>
      <c r="D521" s="9" t="n">
        <v>152.279999</v>
      </c>
      <c r="E521" s="9" t="n">
        <v>151.279999</v>
      </c>
      <c r="F521" s="9" t="n">
        <v>151.410004</v>
      </c>
      <c r="G521" s="9" t="n">
        <v>145.460693</v>
      </c>
      <c r="H521" s="9" t="n">
        <v>145.460693</v>
      </c>
      <c r="I521" s="2" t="str">
        <f aca="false">IF(COUNT(C521:F521)&lt;4,"",IF(OR(D521&lt;MAX(C521,F521)-0.000001,E521&gt;MIN(C521,F521)+0.000001),"FAIL","OK"))</f>
        <v>OK</v>
      </c>
      <c r="J521" s="10" t="n">
        <f aca="false">IF(COUNT(F521,G521)&lt;2,"",G521/F521)</f>
        <v>0.960707279289155</v>
      </c>
      <c r="K521" s="10" t="n">
        <f aca="false">H521/H520-1</f>
        <v>0.00092533200031375</v>
      </c>
      <c r="L521" s="10" t="n">
        <f aca="false">H526/H521-1</f>
        <v>0.00548174894230713</v>
      </c>
      <c r="M521" s="10" t="n">
        <f aca="false">IF(COUNT(B462:B521)&lt;60,"",(B521-AVERAGE(B462:B521))/STDEV(B462:B521))</f>
        <v>0.147688724851221</v>
      </c>
      <c r="N521" s="10" t="n">
        <f aca="false">(H521-AVERAGE(H462:H521))/STDEV(H462:H521)</f>
        <v>1.01203736405597</v>
      </c>
      <c r="O521" s="10" t="n">
        <f aca="false">IF(COUNT(B521)=0,"",B521-('Signal Analysis'!$C$6+'Signal Analysis'!$C$5*H521))</f>
        <v>-0.0772974741169783</v>
      </c>
    </row>
    <row r="522" customFormat="false" ht="15" hidden="false" customHeight="false" outlineLevel="0" collapsed="false">
      <c r="A522" s="8" t="n">
        <v>43080</v>
      </c>
      <c r="B522" s="9" t="n">
        <v>16.9581726048</v>
      </c>
      <c r="C522" s="9" t="n">
        <v>151.429993</v>
      </c>
      <c r="D522" s="9" t="n">
        <v>152.130005</v>
      </c>
      <c r="E522" s="9" t="n">
        <v>151.020004</v>
      </c>
      <c r="F522" s="9" t="n">
        <v>151.350006</v>
      </c>
      <c r="G522" s="9" t="n">
        <v>145.403061</v>
      </c>
      <c r="H522" s="9" t="n">
        <v>145.403061</v>
      </c>
      <c r="I522" s="2" t="str">
        <f aca="false">IF(COUNT(C522:F522)&lt;4,"",IF(OR(D522&lt;MAX(C522,F522)-0.000001,E522&gt;MIN(C522,F522)+0.000001),"FAIL","OK"))</f>
        <v>OK</v>
      </c>
      <c r="J522" s="10" t="n">
        <f aca="false">IF(COUNT(F522,G522)&lt;2,"",G522/F522)</f>
        <v>0.960707335551741</v>
      </c>
      <c r="K522" s="10" t="n">
        <f aca="false">H522/H521-1</f>
        <v>-0.000396203254717009</v>
      </c>
      <c r="L522" s="10" t="n">
        <f aca="false">H527/H522-1</f>
        <v>0.0194911715097936</v>
      </c>
      <c r="M522" s="10" t="n">
        <f aca="false">IF(COUNT(B463:B522)&lt;60,"",(B522-AVERAGE(B463:B522))/STDEV(B463:B522))</f>
        <v>-0.305772442255161</v>
      </c>
      <c r="N522" s="10" t="n">
        <f aca="false">(H522-AVERAGE(H463:H522))/STDEV(H463:H522)</f>
        <v>0.982197901834058</v>
      </c>
      <c r="O522" s="10" t="n">
        <f aca="false">IF(COUNT(B522)=0,"",B522-('Signal Analysis'!$C$6+'Signal Analysis'!$C$5*H522))</f>
        <v>-1.13411516332241</v>
      </c>
    </row>
    <row r="523" customFormat="false" ht="15" hidden="false" customHeight="false" outlineLevel="0" collapsed="false">
      <c r="A523" s="8" t="n">
        <v>43081</v>
      </c>
      <c r="B523" s="9" t="n">
        <v>18.2530073856</v>
      </c>
      <c r="C523" s="9" t="n">
        <v>151.699997</v>
      </c>
      <c r="D523" s="9" t="n">
        <v>151.929993</v>
      </c>
      <c r="E523" s="9" t="n">
        <v>150.820007</v>
      </c>
      <c r="F523" s="9" t="n">
        <v>150.880005</v>
      </c>
      <c r="G523" s="9" t="n">
        <v>144.951523</v>
      </c>
      <c r="H523" s="9" t="n">
        <v>144.951523</v>
      </c>
      <c r="I523" s="2" t="str">
        <f aca="false">IF(COUNT(C523:F523)&lt;4,"",IF(OR(D523&lt;MAX(C523,F523)-0.000001,E523&gt;MIN(C523,F523)+0.000001),"FAIL","OK"))</f>
        <v>OK</v>
      </c>
      <c r="J523" s="10" t="n">
        <f aca="false">IF(COUNT(F523,G523)&lt;2,"",G523/F523)</f>
        <v>0.960707305119721</v>
      </c>
      <c r="K523" s="10" t="n">
        <f aca="false">H523/H522-1</f>
        <v>-0.00310542293191474</v>
      </c>
      <c r="L523" s="10" t="n">
        <f aca="false">H528/H523-1</f>
        <v>0.0145808057497954</v>
      </c>
      <c r="M523" s="10" t="n">
        <f aca="false">IF(COUNT(B464:B523)&lt;60,"",(B523-AVERAGE(B464:B523))/STDEV(B464:B523))</f>
        <v>0.214850097622453</v>
      </c>
      <c r="N523" s="10" t="n">
        <f aca="false">(H523-AVERAGE(H464:H523))/STDEV(H464:H523)</f>
        <v>0.79372444172863</v>
      </c>
      <c r="O523" s="10" t="n">
        <f aca="false">IF(COUNT(B523)=0,"",B523-('Signal Analysis'!$C$6+'Signal Analysis'!$C$5*H523))</f>
        <v>0.222486596707096</v>
      </c>
    </row>
    <row r="524" customFormat="false" ht="15" hidden="false" customHeight="false" outlineLevel="0" collapsed="false">
      <c r="A524" s="8" t="n">
        <v>43082</v>
      </c>
      <c r="B524" s="9" t="n">
        <v>17.78845644</v>
      </c>
      <c r="C524" s="9" t="n">
        <v>150.809998</v>
      </c>
      <c r="D524" s="9" t="n">
        <v>152.710007</v>
      </c>
      <c r="E524" s="9" t="n">
        <v>150.809998</v>
      </c>
      <c r="F524" s="9" t="n">
        <v>151.779999</v>
      </c>
      <c r="G524" s="9" t="n">
        <v>145.816132</v>
      </c>
      <c r="H524" s="9" t="n">
        <v>145.816132</v>
      </c>
      <c r="I524" s="2" t="str">
        <f aca="false">IF(COUNT(C524:F524)&lt;4,"",IF(OR(D524&lt;MAX(C524,F524)-0.000001,E524&gt;MIN(C524,F524)+0.000001),"FAIL","OK"))</f>
        <v>OK</v>
      </c>
      <c r="J524" s="10" t="n">
        <f aca="false">IF(COUNT(F524,G524)&lt;2,"",G524/F524)</f>
        <v>0.960707161422501</v>
      </c>
      <c r="K524" s="10" t="n">
        <f aca="false">H524/H523-1</f>
        <v>0.00596481487124501</v>
      </c>
      <c r="L524" s="10" t="n">
        <f aca="false">H529/H524-1</f>
        <v>0.0105416251200519</v>
      </c>
      <c r="M524" s="10" t="n">
        <f aca="false">IF(COUNT(B465:B524)&lt;60,"",(B524-AVERAGE(B465:B524))/STDEV(B465:B524))</f>
        <v>0.0136020344537053</v>
      </c>
      <c r="N524" s="10" t="n">
        <f aca="false">(H524-AVERAGE(H465:H524))/STDEV(H465:H524)</f>
        <v>1.14629511012185</v>
      </c>
      <c r="O524" s="10" t="n">
        <f aca="false">IF(COUNT(B524)=0,"",B524-('Signal Analysis'!$C$6+'Signal Analysis'!$C$5*H524))</f>
        <v>-0.360336313034665</v>
      </c>
    </row>
    <row r="525" customFormat="false" ht="15" hidden="false" customHeight="false" outlineLevel="0" collapsed="false">
      <c r="A525" s="8" t="n">
        <v>43083</v>
      </c>
      <c r="B525" s="9" t="n">
        <v>16.765413762</v>
      </c>
      <c r="C525" s="9" t="n">
        <v>151.850006</v>
      </c>
      <c r="D525" s="9" t="n">
        <v>152.199997</v>
      </c>
      <c r="E525" s="9" t="n">
        <v>149.639999</v>
      </c>
      <c r="F525" s="9" t="n">
        <v>150.100006</v>
      </c>
      <c r="G525" s="9" t="n">
        <v>144.202148</v>
      </c>
      <c r="H525" s="9" t="n">
        <v>144.202148</v>
      </c>
      <c r="I525" s="2" t="str">
        <f aca="false">IF(COUNT(C525:F525)&lt;4,"",IF(OR(D525&lt;MAX(C525,F525)-0.000001,E525&gt;MIN(C525,F525)+0.000001),"FAIL","OK"))</f>
        <v>OK</v>
      </c>
      <c r="J525" s="10" t="n">
        <f aca="false">IF(COUNT(F525,G525)&lt;2,"",G525/F525)</f>
        <v>0.960707143476064</v>
      </c>
      <c r="K525" s="10" t="n">
        <f aca="false">H525/H524-1</f>
        <v>-0.011068624423531</v>
      </c>
      <c r="L525" s="10" t="n">
        <f aca="false">H530/H525-1</f>
        <v>0.0263260988317593</v>
      </c>
      <c r="M525" s="10" t="n">
        <f aca="false">IF(COUNT(B466:B525)&lt;60,"",(B525-AVERAGE(B466:B525))/STDEV(B466:B525))</f>
        <v>-0.422100365753762</v>
      </c>
      <c r="N525" s="10" t="n">
        <f aca="false">(H525-AVERAGE(H466:H525))/STDEV(H466:H525)</f>
        <v>0.418114825432338</v>
      </c>
      <c r="O525" s="10" t="n">
        <f aca="false">IF(COUNT(B525)=0,"",B525-('Signal Analysis'!$C$6+'Signal Analysis'!$C$5*H525))</f>
        <v>-1.16259820136745</v>
      </c>
    </row>
    <row r="526" customFormat="false" ht="15" hidden="false" customHeight="false" outlineLevel="0" collapsed="false">
      <c r="A526" s="8" t="n">
        <v>43084</v>
      </c>
      <c r="B526" s="9" t="n">
        <v>18.0360403704</v>
      </c>
      <c r="C526" s="9" t="n">
        <v>151.050003</v>
      </c>
      <c r="D526" s="9" t="n">
        <v>153.25</v>
      </c>
      <c r="E526" s="9" t="n">
        <v>150.580002</v>
      </c>
      <c r="F526" s="9" t="n">
        <v>152.240005</v>
      </c>
      <c r="G526" s="9" t="n">
        <v>146.258072</v>
      </c>
      <c r="H526" s="9" t="n">
        <v>146.258072</v>
      </c>
      <c r="I526" s="2" t="str">
        <f aca="false">IF(COUNT(C526:F526)&lt;4,"",IF(OR(D526&lt;MAX(C526,F526)-0.000001,E526&gt;MIN(C526,F526)+0.000001),"FAIL","OK"))</f>
        <v>OK</v>
      </c>
      <c r="J526" s="10" t="n">
        <f aca="false">IF(COUNT(F526,G526)&lt;2,"",G526/F526)</f>
        <v>0.960707220155438</v>
      </c>
      <c r="K526" s="10" t="n">
        <f aca="false">H526/H525-1</f>
        <v>0.0142572356134389</v>
      </c>
      <c r="L526" s="10" t="n">
        <f aca="false">H531/H526-1</f>
        <v>0.010052928907746</v>
      </c>
      <c r="M526" s="10" t="n">
        <f aca="false">IF(COUNT(B467:B526)&lt;60,"",(B526-AVERAGE(B467:B526))/STDEV(B467:B526))</f>
        <v>0.0982649534409096</v>
      </c>
      <c r="N526" s="10" t="n">
        <f aca="false">(H526-AVERAGE(H467:H526))/STDEV(H467:H526)</f>
        <v>1.36904323605113</v>
      </c>
      <c r="O526" s="10" t="n">
        <f aca="false">IF(COUNT(B526)=0,"",B526-('Signal Analysis'!$C$6+'Signal Analysis'!$C$5*H526))</f>
        <v>-0.17320642814288</v>
      </c>
    </row>
    <row r="527" customFormat="false" ht="15" hidden="false" customHeight="false" outlineLevel="0" collapsed="false">
      <c r="A527" s="8" t="n">
        <v>43087</v>
      </c>
      <c r="B527" s="9" t="n">
        <v>18.1150075872</v>
      </c>
      <c r="C527" s="9" t="n">
        <v>153.669998</v>
      </c>
      <c r="D527" s="9" t="n">
        <v>154.720001</v>
      </c>
      <c r="E527" s="9" t="n">
        <v>153.460007</v>
      </c>
      <c r="F527" s="9" t="n">
        <v>154.300003</v>
      </c>
      <c r="G527" s="9" t="n">
        <v>148.237137</v>
      </c>
      <c r="H527" s="9" t="n">
        <v>148.237137</v>
      </c>
      <c r="I527" s="2" t="str">
        <f aca="false">IF(COUNT(C527:F527)&lt;4,"",IF(OR(D527&lt;MAX(C527,F527)-0.000001,E527&gt;MIN(C527,F527)+0.000001),"FAIL","OK"))</f>
        <v>OK</v>
      </c>
      <c r="J527" s="10" t="n">
        <f aca="false">IF(COUNT(F527,G527)&lt;2,"",G527/F527)</f>
        <v>0.960707285274648</v>
      </c>
      <c r="K527" s="10" t="n">
        <f aca="false">H527/H526-1</f>
        <v>0.0135313215396411</v>
      </c>
      <c r="L527" s="10" t="n">
        <f aca="false">H532/H527-1</f>
        <v>-0.00284625707524289</v>
      </c>
      <c r="M527" s="10" t="n">
        <f aca="false">IF(COUNT(B468:B527)&lt;60,"",(B527-AVERAGE(B468:B527))/STDEV(B468:B527))</f>
        <v>0.123858384770007</v>
      </c>
      <c r="N527" s="10" t="n">
        <f aca="false">(H527-AVERAGE(H468:H527))/STDEV(H468:H527)</f>
        <v>2.28751147198295</v>
      </c>
      <c r="O527" s="10" t="n">
        <f aca="false">IF(COUNT(B527)=0,"",B527-('Signal Analysis'!$C$6+'Signal Analysis'!$C$5*H527))</f>
        <v>-0.364960317315887</v>
      </c>
    </row>
    <row r="528" customFormat="false" ht="15" hidden="false" customHeight="false" outlineLevel="0" collapsed="false">
      <c r="A528" s="8" t="n">
        <v>43088</v>
      </c>
      <c r="B528" s="9" t="n">
        <v>16.841036916</v>
      </c>
      <c r="C528" s="9" t="n">
        <v>154.75</v>
      </c>
      <c r="D528" s="9" t="n">
        <v>154.770004</v>
      </c>
      <c r="E528" s="9" t="n">
        <v>152.820007</v>
      </c>
      <c r="F528" s="9" t="n">
        <v>153.080002</v>
      </c>
      <c r="G528" s="9" t="n">
        <v>147.065033</v>
      </c>
      <c r="H528" s="9" t="n">
        <v>147.065033</v>
      </c>
      <c r="I528" s="2" t="str">
        <f aca="false">IF(COUNT(C528:F528)&lt;4,"",IF(OR(D528&lt;MAX(C528,F528)-0.000001,E528&gt;MIN(C528,F528)+0.000001),"FAIL","OK"))</f>
        <v>OK</v>
      </c>
      <c r="J528" s="10" t="n">
        <f aca="false">IF(COUNT(F528,G528)&lt;2,"",G528/F528)</f>
        <v>0.960707022985275</v>
      </c>
      <c r="K528" s="10" t="n">
        <f aca="false">H528/H527-1</f>
        <v>-0.00790695249328777</v>
      </c>
      <c r="L528" s="10" t="n">
        <f aca="false">H533/H528-1</f>
        <v>0.00411721935288312</v>
      </c>
      <c r="M528" s="10" t="n">
        <f aca="false">IF(COUNT(B469:B528)&lt;60,"",(B528-AVERAGE(B469:B528))/STDEV(B469:B528))</f>
        <v>-0.413026858662652</v>
      </c>
      <c r="N528" s="10" t="n">
        <f aca="false">(H528-AVERAGE(H469:H528))/STDEV(H469:H528)</f>
        <v>1.69244732080672</v>
      </c>
      <c r="O528" s="10" t="n">
        <f aca="false">IF(COUNT(B528)=0,"",B528-('Signal Analysis'!$C$6+'Signal Analysis'!$C$5*H528))</f>
        <v>-1.47859603681123</v>
      </c>
    </row>
    <row r="529" customFormat="false" ht="15" hidden="false" customHeight="false" outlineLevel="0" collapsed="false">
      <c r="A529" s="8" t="n">
        <v>43089</v>
      </c>
      <c r="B529" s="9" t="n">
        <v>17.5604476608</v>
      </c>
      <c r="C529" s="9" t="n">
        <v>153.75</v>
      </c>
      <c r="D529" s="9" t="n">
        <v>153.940002</v>
      </c>
      <c r="E529" s="9" t="n">
        <v>152.839996</v>
      </c>
      <c r="F529" s="9" t="n">
        <v>153.380005</v>
      </c>
      <c r="G529" s="9" t="n">
        <v>147.353271</v>
      </c>
      <c r="H529" s="9" t="n">
        <v>147.353271</v>
      </c>
      <c r="I529" s="2" t="str">
        <f aca="false">IF(COUNT(C529:F529)&lt;4,"",IF(OR(D529&lt;MAX(C529,F529)-0.000001,E529&gt;MIN(C529,F529)+0.000001),"FAIL","OK"))</f>
        <v>OK</v>
      </c>
      <c r="J529" s="10" t="n">
        <f aca="false">IF(COUNT(F529,G529)&lt;2,"",G529/F529)</f>
        <v>0.960707173011241</v>
      </c>
      <c r="K529" s="10" t="n">
        <f aca="false">H529/H528-1</f>
        <v>0.00195993564289343</v>
      </c>
      <c r="L529" s="10" t="n">
        <f aca="false">H534/H529-1</f>
        <v>0.00607977681065508</v>
      </c>
      <c r="M529" s="10" t="n">
        <f aca="false">IF(COUNT(B470:B529)&lt;60,"",(B529-AVERAGE(B470:B529))/STDEV(B470:B529))</f>
        <v>-0.107624834118882</v>
      </c>
      <c r="N529" s="10" t="n">
        <f aca="false">(H529-AVERAGE(H470:H529))/STDEV(H470:H529)</f>
        <v>1.81545967014213</v>
      </c>
      <c r="O529" s="10" t="n">
        <f aca="false">IF(COUNT(B529)=0,"",B529-('Signal Analysis'!$C$6+'Signal Analysis'!$C$5*H529))</f>
        <v>-0.798614067793448</v>
      </c>
    </row>
    <row r="530" customFormat="false" ht="15" hidden="false" customHeight="false" outlineLevel="0" collapsed="false">
      <c r="A530" s="8" t="n">
        <v>43090</v>
      </c>
      <c r="B530" s="9" t="n">
        <v>17.1888499248</v>
      </c>
      <c r="C530" s="9" t="n">
        <v>153.240005</v>
      </c>
      <c r="D530" s="9" t="n">
        <v>154.020004</v>
      </c>
      <c r="E530" s="9" t="n">
        <v>153.080002</v>
      </c>
      <c r="F530" s="9" t="n">
        <v>153.470001</v>
      </c>
      <c r="G530" s="9" t="n">
        <v>147.998428</v>
      </c>
      <c r="H530" s="9" t="n">
        <v>147.998428</v>
      </c>
      <c r="I530" s="2" t="str">
        <f aca="false">IF(COUNT(C530:F530)&lt;4,"",IF(OR(D530&lt;MAX(C530,F530)-0.000001,E530&gt;MIN(C530,F530)+0.000001),"FAIL","OK"))</f>
        <v>OK</v>
      </c>
      <c r="J530" s="10" t="n">
        <f aca="false">IF(COUNT(F530,G530)&lt;2,"",G530/F530)</f>
        <v>0.9643476056275</v>
      </c>
      <c r="K530" s="10" t="n">
        <f aca="false">H530/H529-1</f>
        <v>0.0043783011779901</v>
      </c>
      <c r="L530" s="10" t="n">
        <f aca="false">H535/H530-1</f>
        <v>-0.00658103611749172</v>
      </c>
      <c r="M530" s="10" t="n">
        <f aca="false">IF(COUNT(B471:B530)&lt;60,"",(B530-AVERAGE(B471:B530))/STDEV(B471:B530))</f>
        <v>-0.261297749936512</v>
      </c>
      <c r="N530" s="10" t="n">
        <f aca="false">(H530-AVERAGE(H471:H530))/STDEV(H471:H530)</f>
        <v>2.04656755141822</v>
      </c>
      <c r="O530" s="10" t="n">
        <f aca="false">IF(COUNT(B530)=0,"",B530-('Signal Analysis'!$C$6+'Signal Analysis'!$C$5*H530))</f>
        <v>-1.25846439608639</v>
      </c>
    </row>
    <row r="531" customFormat="false" ht="15" hidden="false" customHeight="false" outlineLevel="0" collapsed="false">
      <c r="A531" s="8" t="n">
        <v>43091</v>
      </c>
      <c r="B531" s="9" t="n">
        <v>16.900402644</v>
      </c>
      <c r="C531" s="9" t="n">
        <v>153.380005</v>
      </c>
      <c r="D531" s="9" t="n">
        <v>153.389999</v>
      </c>
      <c r="E531" s="9" t="n">
        <v>152.800003</v>
      </c>
      <c r="F531" s="9" t="n">
        <v>153.190002</v>
      </c>
      <c r="G531" s="9" t="n">
        <v>147.728394</v>
      </c>
      <c r="H531" s="9" t="n">
        <v>147.728394</v>
      </c>
      <c r="I531" s="2" t="str">
        <f aca="false">IF(COUNT(C531:F531)&lt;4,"",IF(OR(D531&lt;MAX(C531,F531)-0.000001,E531&gt;MIN(C531,F531)+0.000001),"FAIL","OK"))</f>
        <v>OK</v>
      </c>
      <c r="J531" s="10" t="n">
        <f aca="false">IF(COUNT(F531,G531)&lt;2,"",G531/F531)</f>
        <v>0.96434749051051</v>
      </c>
      <c r="K531" s="10" t="n">
        <f aca="false">H531/H530-1</f>
        <v>-0.00182457343398257</v>
      </c>
      <c r="L531" s="10" t="n">
        <f aca="false">H536/H531-1</f>
        <v>0.00463470143728761</v>
      </c>
      <c r="M531" s="10" t="n">
        <f aca="false">IF(COUNT(B472:B531)&lt;60,"",(B531-AVERAGE(B472:B531))/STDEV(B472:B531))</f>
        <v>-0.381047114635579</v>
      </c>
      <c r="N531" s="10" t="n">
        <f aca="false">(H531-AVERAGE(H472:H531))/STDEV(H472:H531)</f>
        <v>1.82176939777563</v>
      </c>
      <c r="O531" s="10" t="n">
        <f aca="false">IF(COUNT(B531)=0,"",B531-('Signal Analysis'!$C$6+'Signal Analysis'!$C$5*H531))</f>
        <v>-1.50997307045845</v>
      </c>
    </row>
    <row r="532" customFormat="false" ht="15" hidden="false" customHeight="false" outlineLevel="0" collapsed="false">
      <c r="A532" s="8" t="n">
        <v>43095</v>
      </c>
      <c r="B532" s="9" t="n">
        <v>17.466504066</v>
      </c>
      <c r="C532" s="9" t="n">
        <v>153</v>
      </c>
      <c r="D532" s="9" t="n">
        <v>153.429993</v>
      </c>
      <c r="E532" s="9" t="n">
        <v>152.899994</v>
      </c>
      <c r="F532" s="9" t="n">
        <v>153.279999</v>
      </c>
      <c r="G532" s="9" t="n">
        <v>147.815216</v>
      </c>
      <c r="H532" s="9" t="n">
        <v>147.815216</v>
      </c>
      <c r="I532" s="2" t="str">
        <f aca="false">IF(COUNT(C532:F532)&lt;4,"",IF(OR(D532&lt;MAX(C532,F532)-0.000001,E532&gt;MIN(C532,F532)+0.000001),"FAIL","OK"))</f>
        <v>OK</v>
      </c>
      <c r="J532" s="10" t="n">
        <f aca="false">IF(COUNT(F532,G532)&lt;2,"",G532/F532)</f>
        <v>0.964347709840473</v>
      </c>
      <c r="K532" s="10" t="n">
        <f aca="false">H532/H531-1</f>
        <v>0.000587713693008807</v>
      </c>
      <c r="L532" s="10" t="n">
        <f aca="false">H537/H532-1</f>
        <v>0.00508856273632885</v>
      </c>
      <c r="M532" s="10" t="n">
        <f aca="false">IF(COUNT(B473:B532)&lt;60,"",(B532-AVERAGE(B473:B532))/STDEV(B473:B532))</f>
        <v>-0.137442429278399</v>
      </c>
      <c r="N532" s="10" t="n">
        <f aca="false">(H532-AVERAGE(H473:H532))/STDEV(H473:H532)</f>
        <v>1.7810304088106</v>
      </c>
      <c r="O532" s="10" t="n">
        <f aca="false">IF(COUNT(B532)=0,"",B532-('Signal Analysis'!$C$6+'Signal Analysis'!$C$5*H532))</f>
        <v>-0.955748240618277</v>
      </c>
    </row>
    <row r="533" customFormat="false" ht="15" hidden="false" customHeight="false" outlineLevel="0" collapsed="false">
      <c r="A533" s="8" t="n">
        <v>43096</v>
      </c>
      <c r="B533" s="9" t="n">
        <v>17.2752814644</v>
      </c>
      <c r="C533" s="9" t="n">
        <v>153.210007</v>
      </c>
      <c r="D533" s="9" t="n">
        <v>153.949997</v>
      </c>
      <c r="E533" s="9" t="n">
        <v>152.809998</v>
      </c>
      <c r="F533" s="9" t="n">
        <v>153.130005</v>
      </c>
      <c r="G533" s="9" t="n">
        <v>147.670532</v>
      </c>
      <c r="H533" s="9" t="n">
        <v>147.670532</v>
      </c>
      <c r="I533" s="2" t="str">
        <f aca="false">IF(COUNT(C533:F533)&lt;4,"",IF(OR(D533&lt;MAX(C533,F533)-0.000001,E533&gt;MIN(C533,F533)+0.000001),"FAIL","OK"))</f>
        <v>OK</v>
      </c>
      <c r="J533" s="10" t="n">
        <f aca="false">IF(COUNT(F533,G533)&lt;2,"",G533/F533)</f>
        <v>0.964347464104112</v>
      </c>
      <c r="K533" s="10" t="n">
        <f aca="false">H533/H532-1</f>
        <v>-0.0009788166869098</v>
      </c>
      <c r="L533" s="10" t="n">
        <f aca="false">H538/H533-1</f>
        <v>0.00875101472513129</v>
      </c>
      <c r="M533" s="10" t="n">
        <f aca="false">IF(COUNT(B474:B533)&lt;60,"",(B533-AVERAGE(B474:B533))/STDEV(B474:B533))</f>
        <v>-0.212859078797845</v>
      </c>
      <c r="N533" s="10" t="n">
        <f aca="false">(H533-AVERAGE(H474:H533))/STDEV(H474:H533)</f>
        <v>1.64128051587477</v>
      </c>
      <c r="O533" s="10" t="n">
        <f aca="false">IF(COUNT(B533)=0,"",B533-('Signal Analysis'!$C$6+'Signal Analysis'!$C$5*H533))</f>
        <v>-1.1271791666055</v>
      </c>
    </row>
    <row r="534" customFormat="false" ht="15" hidden="false" customHeight="false" outlineLevel="0" collapsed="false">
      <c r="A534" s="8" t="n">
        <v>43097</v>
      </c>
      <c r="B534" s="9" t="n">
        <v>18.5412093984</v>
      </c>
      <c r="C534" s="9" t="n">
        <v>153.240005</v>
      </c>
      <c r="D534" s="9" t="n">
        <v>153.75</v>
      </c>
      <c r="E534" s="9" t="n">
        <v>153.009995</v>
      </c>
      <c r="F534" s="9" t="n">
        <v>153.729996</v>
      </c>
      <c r="G534" s="9" t="n">
        <v>148.249146</v>
      </c>
      <c r="H534" s="9" t="n">
        <v>148.249146</v>
      </c>
      <c r="I534" s="2" t="str">
        <f aca="false">IF(COUNT(C534:F534)&lt;4,"",IF(OR(D534&lt;MAX(C534,F534)-0.000001,E534&gt;MIN(C534,F534)+0.000001),"FAIL","OK"))</f>
        <v>OK</v>
      </c>
      <c r="J534" s="10" t="n">
        <f aca="false">IF(COUNT(F534,G534)&lt;2,"",G534/F534)</f>
        <v>0.964347556478178</v>
      </c>
      <c r="K534" s="10" t="n">
        <f aca="false">H534/H533-1</f>
        <v>0.0039182766674124</v>
      </c>
      <c r="L534" s="10" t="n">
        <f aca="false">H539/H534-1</f>
        <v>0.00689515607732405</v>
      </c>
      <c r="M534" s="10" t="n">
        <f aca="false">IF(COUNT(B475:B534)&lt;60,"",(B534-AVERAGE(B475:B534))/STDEV(B475:B534))</f>
        <v>0.310055481749651</v>
      </c>
      <c r="N534" s="10" t="n">
        <f aca="false">(H534-AVERAGE(H475:H534))/STDEV(H475:H534)</f>
        <v>1.83295471187426</v>
      </c>
      <c r="O534" s="10" t="n">
        <f aca="false">IF(COUNT(B534)=0,"",B534-('Signal Analysis'!$C$6+'Signal Analysis'!$C$5*H534))</f>
        <v>0.0595987536195786</v>
      </c>
    </row>
    <row r="535" customFormat="false" ht="15" hidden="false" customHeight="false" outlineLevel="0" collapsed="false">
      <c r="A535" s="8" t="n">
        <v>43098</v>
      </c>
      <c r="B535" s="9" t="n">
        <v>17.87553588</v>
      </c>
      <c r="C535" s="9" t="n">
        <v>154.149994</v>
      </c>
      <c r="D535" s="9" t="n">
        <v>154.149994</v>
      </c>
      <c r="E535" s="9" t="n">
        <v>152.389999</v>
      </c>
      <c r="F535" s="9" t="n">
        <v>152.460007</v>
      </c>
      <c r="G535" s="9" t="n">
        <v>147.024445</v>
      </c>
      <c r="H535" s="9" t="n">
        <v>147.024445</v>
      </c>
      <c r="I535" s="2" t="str">
        <f aca="false">IF(COUNT(C535:F535)&lt;4,"",IF(OR(D535&lt;MAX(C535,F535)-0.000001,E535&gt;MIN(C535,F535)+0.000001),"FAIL","OK"))</f>
        <v>OK</v>
      </c>
      <c r="J535" s="10" t="n">
        <f aca="false">IF(COUNT(F535,G535)&lt;2,"",G535/F535)</f>
        <v>0.964347620684551</v>
      </c>
      <c r="K535" s="10" t="n">
        <f aca="false">H535/H534-1</f>
        <v>-0.00826109986495305</v>
      </c>
      <c r="L535" s="10" t="n">
        <f aca="false">H540/H535-1</f>
        <v>0.0168568090836867</v>
      </c>
      <c r="M535" s="10" t="n">
        <f aca="false">IF(COUNT(B476:B535)&lt;60,"",(B535-AVERAGE(B476:B535))/STDEV(B476:B535))</f>
        <v>0.0294730475705579</v>
      </c>
      <c r="N535" s="10" t="n">
        <f aca="false">(H535-AVERAGE(H476:H535))/STDEV(H476:H535)</f>
        <v>1.22293798124867</v>
      </c>
      <c r="O535" s="10" t="n">
        <f aca="false">IF(COUNT(B535)=0,"",B535-('Signal Analysis'!$C$6+'Signal Analysis'!$C$5*H535))</f>
        <v>-0.438544941754774</v>
      </c>
    </row>
    <row r="536" customFormat="false" ht="15" hidden="false" customHeight="false" outlineLevel="0" collapsed="false">
      <c r="A536" s="8" t="n">
        <v>43102</v>
      </c>
      <c r="B536" s="9" t="n">
        <v>17.3751847908</v>
      </c>
      <c r="C536" s="9" t="n">
        <v>153.199997</v>
      </c>
      <c r="D536" s="9" t="n">
        <v>153.970001</v>
      </c>
      <c r="E536" s="9" t="n">
        <v>152.460007</v>
      </c>
      <c r="F536" s="9" t="n">
        <v>153.899994</v>
      </c>
      <c r="G536" s="9" t="n">
        <v>148.413071</v>
      </c>
      <c r="H536" s="9" t="n">
        <v>148.413071</v>
      </c>
      <c r="I536" s="2" t="str">
        <f aca="false">IF(COUNT(C536:F536)&lt;4,"",IF(OR(D536&lt;MAX(C536,F536)-0.000001,E536&gt;MIN(C536,F536)+0.000001),"FAIL","OK"))</f>
        <v>OK</v>
      </c>
      <c r="J536" s="10" t="n">
        <f aca="false">IF(COUNT(F536,G536)&lt;2,"",G536/F536)</f>
        <v>0.964347477492429</v>
      </c>
      <c r="K536" s="10" t="n">
        <f aca="false">H536/H535-1</f>
        <v>0.00944486476381545</v>
      </c>
      <c r="L536" s="10" t="n">
        <f aca="false">H541/H536-1</f>
        <v>0.00597826049971029</v>
      </c>
      <c r="M536" s="10" t="n">
        <f aca="false">IF(COUNT(B477:B536)&lt;60,"",(B536-AVERAGE(B477:B536))/STDEV(B477:B536))</f>
        <v>-0.187567955005198</v>
      </c>
      <c r="N536" s="10" t="n">
        <f aca="false">(H536-AVERAGE(H477:H536))/STDEV(H477:H536)</f>
        <v>1.77974167716514</v>
      </c>
      <c r="O536" s="10" t="n">
        <f aca="false">IF(COUNT(B536)=0,"",B536-('Signal Analysis'!$C$6+'Signal Analysis'!$C$5*H536))</f>
        <v>-1.12884955269503</v>
      </c>
    </row>
    <row r="537" customFormat="false" ht="15" hidden="false" customHeight="false" outlineLevel="0" collapsed="false">
      <c r="A537" s="8" t="n">
        <v>43103</v>
      </c>
      <c r="B537" s="9" t="n">
        <v>18.6579504384</v>
      </c>
      <c r="C537" s="9" t="n">
        <v>153.869995</v>
      </c>
      <c r="D537" s="9" t="n">
        <v>154.460007</v>
      </c>
      <c r="E537" s="9" t="n">
        <v>153.520004</v>
      </c>
      <c r="F537" s="9" t="n">
        <v>154.059998</v>
      </c>
      <c r="G537" s="9" t="n">
        <v>148.567383</v>
      </c>
      <c r="H537" s="9" t="n">
        <v>148.567383</v>
      </c>
      <c r="I537" s="2" t="str">
        <f aca="false">IF(COUNT(C537:F537)&lt;4,"",IF(OR(D537&lt;MAX(C537,F537)-0.000001,E537&gt;MIN(C537,F537)+0.000001),"FAIL","OK"))</f>
        <v>OK</v>
      </c>
      <c r="J537" s="10" t="n">
        <f aca="false">IF(COUNT(F537,G537)&lt;2,"",G537/F537)</f>
        <v>0.964347558929606</v>
      </c>
      <c r="K537" s="10" t="n">
        <f aca="false">H537/H536-1</f>
        <v>0.0010397466945482</v>
      </c>
      <c r="L537" s="10" t="n">
        <f aca="false">H542/H537-1</f>
        <v>0.00506290132336784</v>
      </c>
      <c r="M537" s="10" t="n">
        <f aca="false">IF(COUNT(B478:B537)&lt;60,"",(B537-AVERAGE(B478:B537))/STDEV(B478:B537))</f>
        <v>0.349436766576404</v>
      </c>
      <c r="N537" s="10" t="n">
        <f aca="false">(H537-AVERAGE(H478:H537))/STDEV(H478:H537)</f>
        <v>1.76657328191798</v>
      </c>
      <c r="O537" s="10" t="n">
        <f aca="false">IF(COUNT(B537)=0,"",B537-('Signal Analysis'!$C$6+'Signal Analysis'!$C$5*H537))</f>
        <v>0.13280738179807</v>
      </c>
    </row>
    <row r="538" customFormat="false" ht="15" hidden="false" customHeight="false" outlineLevel="0" collapsed="false">
      <c r="A538" s="8" t="n">
        <v>43104</v>
      </c>
      <c r="B538" s="9" t="n">
        <v>18.0951991476</v>
      </c>
      <c r="C538" s="9" t="n">
        <v>154.970001</v>
      </c>
      <c r="D538" s="9" t="n">
        <v>155.149994</v>
      </c>
      <c r="E538" s="9" t="n">
        <v>154.020004</v>
      </c>
      <c r="F538" s="9" t="n">
        <v>154.470001</v>
      </c>
      <c r="G538" s="9" t="n">
        <v>148.962799</v>
      </c>
      <c r="H538" s="9" t="n">
        <v>148.962799</v>
      </c>
      <c r="I538" s="2" t="str">
        <f aca="false">IF(COUNT(C538:F538)&lt;4,"",IF(OR(D538&lt;MAX(C538,F538)-0.000001,E538&gt;MIN(C538,F538)+0.000001),"FAIL","OK"))</f>
        <v>OK</v>
      </c>
      <c r="J538" s="10" t="n">
        <f aca="false">IF(COUNT(F538,G538)&lt;2,"",G538/F538)</f>
        <v>0.964347757076793</v>
      </c>
      <c r="K538" s="10" t="n">
        <f aca="false">H538/H537-1</f>
        <v>0.00266152631900352</v>
      </c>
      <c r="L538" s="10" t="n">
        <f aca="false">H543/H538-1</f>
        <v>0.0196154141813623</v>
      </c>
      <c r="M538" s="10" t="n">
        <f aca="false">IF(COUNT(B479:B538)&lt;60,"",(B538-AVERAGE(B479:B538))/STDEV(B479:B538))</f>
        <v>0.10945542708954</v>
      </c>
      <c r="N538" s="10" t="n">
        <f aca="false">(H538-AVERAGE(H479:H538))/STDEV(H479:H538)</f>
        <v>1.84550515448272</v>
      </c>
      <c r="O538" s="10" t="n">
        <f aca="false">IF(COUNT(B538)=0,"",B538-('Signal Analysis'!$C$6+'Signal Analysis'!$C$5*H538))</f>
        <v>-0.484033823602726</v>
      </c>
    </row>
    <row r="539" customFormat="false" ht="15" hidden="false" customHeight="false" outlineLevel="0" collapsed="false">
      <c r="A539" s="8" t="n">
        <v>43105</v>
      </c>
      <c r="B539" s="9" t="n">
        <v>17.739164322</v>
      </c>
      <c r="C539" s="9" t="n">
        <v>154.880005</v>
      </c>
      <c r="D539" s="9" t="n">
        <v>154.979996</v>
      </c>
      <c r="E539" s="9" t="n">
        <v>153.940002</v>
      </c>
      <c r="F539" s="9" t="n">
        <v>154.789993</v>
      </c>
      <c r="G539" s="9" t="n">
        <v>149.271347</v>
      </c>
      <c r="H539" s="9" t="n">
        <v>149.271347</v>
      </c>
      <c r="I539" s="2" t="str">
        <f aca="false">IF(COUNT(C539:F539)&lt;4,"",IF(OR(D539&lt;MAX(C539,F539)-0.000001,E539&gt;MIN(C539,F539)+0.000001),"FAIL","OK"))</f>
        <v>OK</v>
      </c>
      <c r="J539" s="10" t="n">
        <f aca="false">IF(COUNT(F539,G539)&lt;2,"",G539/F539)</f>
        <v>0.96434752729784</v>
      </c>
      <c r="K539" s="10" t="n">
        <f aca="false">H539/H538-1</f>
        <v>0.00207130909241315</v>
      </c>
      <c r="L539" s="10" t="n">
        <f aca="false">H544/H539-1</f>
        <v>0.021771512519412</v>
      </c>
      <c r="M539" s="10" t="n">
        <f aca="false">IF(COUNT(B480:B539)&lt;60,"",(B539-AVERAGE(B480:B539))/STDEV(B480:B539))</f>
        <v>-0.0421314371130237</v>
      </c>
      <c r="N539" s="10" t="n">
        <f aca="false">(H539-AVERAGE(H480:H539))/STDEV(H480:H539)</f>
        <v>1.87974913111313</v>
      </c>
      <c r="O539" s="10" t="n">
        <f aca="false">IF(COUNT(B539)=0,"",B539-('Signal Analysis'!$C$6+'Signal Analysis'!$C$5*H539))</f>
        <v>-0.882275679192016</v>
      </c>
    </row>
    <row r="540" customFormat="false" ht="15" hidden="false" customHeight="false" outlineLevel="0" collapsed="false">
      <c r="A540" s="8" t="n">
        <v>43108</v>
      </c>
      <c r="B540" s="9" t="n">
        <v>17.314863324</v>
      </c>
      <c r="C540" s="9" t="n">
        <v>154.729996</v>
      </c>
      <c r="D540" s="9" t="n">
        <v>155.270004</v>
      </c>
      <c r="E540" s="9" t="n">
        <v>153.5</v>
      </c>
      <c r="F540" s="9" t="n">
        <v>155.029999</v>
      </c>
      <c r="G540" s="9" t="n">
        <v>149.502808</v>
      </c>
      <c r="H540" s="9" t="n">
        <v>149.502808</v>
      </c>
      <c r="I540" s="2" t="str">
        <f aca="false">IF(COUNT(C540:F540)&lt;4,"",IF(OR(D540&lt;MAX(C540,F540)-0.000001,E540&gt;MIN(C540,F540)+0.000001),"FAIL","OK"))</f>
        <v>OK</v>
      </c>
      <c r="J540" s="10" t="n">
        <f aca="false">IF(COUNT(F540,G540)&lt;2,"",G540/F540)</f>
        <v>0.964347603459637</v>
      </c>
      <c r="K540" s="10" t="n">
        <f aca="false">H540/H539-1</f>
        <v>0.00155060568991838</v>
      </c>
      <c r="L540" s="10" t="n">
        <f aca="false">H545/H540-1</f>
        <v>0.00715995916277379</v>
      </c>
      <c r="M540" s="10" t="n">
        <f aca="false">IF(COUNT(B481:B540)&lt;60,"",(B540-AVERAGE(B481:B540))/STDEV(B481:B540))</f>
        <v>-0.22745876905089</v>
      </c>
      <c r="N540" s="10" t="n">
        <f aca="false">(H540-AVERAGE(H481:H540))/STDEV(H481:H540)</f>
        <v>1.87814732245353</v>
      </c>
      <c r="O540" s="10" t="n">
        <f aca="false">IF(COUNT(B540)=0,"",B540-('Signal Analysis'!$C$6+'Signal Analysis'!$C$5*H540))</f>
        <v>-1.33823878930537</v>
      </c>
    </row>
    <row r="541" customFormat="false" ht="15" hidden="false" customHeight="false" outlineLevel="0" collapsed="false">
      <c r="A541" s="8" t="n">
        <v>43109</v>
      </c>
      <c r="B541" s="9" t="n">
        <v>19.034647008</v>
      </c>
      <c r="C541" s="9" t="n">
        <v>155.240005</v>
      </c>
      <c r="D541" s="9" t="n">
        <v>155.5</v>
      </c>
      <c r="E541" s="9" t="n">
        <v>154.729996</v>
      </c>
      <c r="F541" s="9" t="n">
        <v>154.820007</v>
      </c>
      <c r="G541" s="9" t="n">
        <v>149.300323</v>
      </c>
      <c r="H541" s="9" t="n">
        <v>149.300323</v>
      </c>
      <c r="I541" s="2" t="str">
        <f aca="false">IF(COUNT(C541:F541)&lt;4,"",IF(OR(D541&lt;MAX(C541,F541)-0.000001,E541&gt;MIN(C541,F541)+0.000001),"FAIL","OK"))</f>
        <v>OK</v>
      </c>
      <c r="J541" s="10" t="n">
        <f aca="false">IF(COUNT(F541,G541)&lt;2,"",G541/F541)</f>
        <v>0.964347734463027</v>
      </c>
      <c r="K541" s="10" t="n">
        <f aca="false">H541/H540-1</f>
        <v>-0.00135438927675524</v>
      </c>
      <c r="L541" s="10" t="n">
        <f aca="false">H546/H541-1</f>
        <v>0.0180852589314224</v>
      </c>
      <c r="M541" s="10" t="n">
        <f aca="false">IF(COUNT(B482:B541)&lt;60,"",(B541-AVERAGE(B482:B541))/STDEV(B482:B541))</f>
        <v>0.492294132127121</v>
      </c>
      <c r="N541" s="10" t="n">
        <f aca="false">(H541-AVERAGE(H482:H541))/STDEV(H482:H541)</f>
        <v>1.71799139601827</v>
      </c>
      <c r="O541" s="10" t="n">
        <f aca="false">IF(COUNT(B541)=0,"",B541-('Signal Analysis'!$C$6+'Signal Analysis'!$C$5*H541))</f>
        <v>0.409243309422262</v>
      </c>
    </row>
    <row r="542" customFormat="false" ht="15" hidden="false" customHeight="false" outlineLevel="0" collapsed="false">
      <c r="A542" s="8" t="n">
        <v>43110</v>
      </c>
      <c r="B542" s="9" t="n">
        <v>18.2494769304</v>
      </c>
      <c r="C542" s="9" t="n">
        <v>154.470001</v>
      </c>
      <c r="D542" s="9" t="n">
        <v>155.169998</v>
      </c>
      <c r="E542" s="9" t="n">
        <v>153.919998</v>
      </c>
      <c r="F542" s="9" t="n">
        <v>154.839996</v>
      </c>
      <c r="G542" s="9" t="n">
        <v>149.319565</v>
      </c>
      <c r="H542" s="9" t="n">
        <v>149.319565</v>
      </c>
      <c r="I542" s="2" t="str">
        <f aca="false">IF(COUNT(C542:F542)&lt;4,"",IF(OR(D542&lt;MAX(C542,F542)-0.000001,E542&gt;MIN(C542,F542)+0.000001),"FAIL","OK"))</f>
        <v>OK</v>
      </c>
      <c r="J542" s="10" t="n">
        <f aca="false">IF(COUNT(F542,G542)&lt;2,"",G542/F542)</f>
        <v>0.964347512641372</v>
      </c>
      <c r="K542" s="10" t="n">
        <f aca="false">H542/H541-1</f>
        <v>0.000128881167926309</v>
      </c>
      <c r="L542" s="10" t="n">
        <f aca="false">H547/H542-1</f>
        <v>0.0109790635942451</v>
      </c>
      <c r="M542" s="10" t="n">
        <f aca="false">IF(COUNT(B483:B542)&lt;60,"",(B542-AVERAGE(B483:B542))/STDEV(B483:B542))</f>
        <v>0.155908651993989</v>
      </c>
      <c r="N542" s="10" t="n">
        <f aca="false">(H542-AVERAGE(H483:H542))/STDEV(H483:H542)</f>
        <v>1.65170338562104</v>
      </c>
      <c r="O542" s="10" t="n">
        <f aca="false">IF(COUNT(B542)=0,"",B542-('Signal Analysis'!$C$6+'Signal Analysis'!$C$5*H542))</f>
        <v>-0.378558928072003</v>
      </c>
    </row>
    <row r="543" customFormat="false" ht="15" hidden="false" customHeight="false" outlineLevel="0" collapsed="false">
      <c r="A543" s="8" t="n">
        <v>43111</v>
      </c>
      <c r="B543" s="9" t="n">
        <v>17.8752538608</v>
      </c>
      <c r="C543" s="9" t="n">
        <v>155.070007</v>
      </c>
      <c r="D543" s="9" t="n">
        <v>157.660004</v>
      </c>
      <c r="E543" s="9" t="n">
        <v>154.979996</v>
      </c>
      <c r="F543" s="9" t="n">
        <v>157.5</v>
      </c>
      <c r="G543" s="9" t="n">
        <v>151.884766</v>
      </c>
      <c r="H543" s="9" t="n">
        <v>151.884766</v>
      </c>
      <c r="I543" s="2" t="str">
        <f aca="false">IF(COUNT(C543:F543)&lt;4,"",IF(OR(D543&lt;MAX(C543,F543)-0.000001,E543&gt;MIN(C543,F543)+0.000001),"FAIL","OK"))</f>
        <v>OK</v>
      </c>
      <c r="J543" s="10" t="n">
        <f aca="false">IF(COUNT(F543,G543)&lt;2,"",G543/F543)</f>
        <v>0.964347720634921</v>
      </c>
      <c r="K543" s="10" t="n">
        <f aca="false">H543/H542-1</f>
        <v>0.0171792691734669</v>
      </c>
      <c r="L543" s="10" t="n">
        <f aca="false">H548/H543-1</f>
        <v>0.00698407765265929</v>
      </c>
      <c r="M543" s="10" t="n">
        <f aca="false">IF(COUNT(B484:B543)&lt;60,"",(B543-AVERAGE(B484:B543))/STDEV(B484:B543))</f>
        <v>-0.00927383992634777</v>
      </c>
      <c r="N543" s="10" t="n">
        <f aca="false">(H543-AVERAGE(H484:H543))/STDEV(H484:H543)</f>
        <v>2.44332036978044</v>
      </c>
      <c r="O543" s="10" t="n">
        <f aca="false">IF(COUNT(B543)=0,"",B543-('Signal Analysis'!$C$6+'Signal Analysis'!$C$5*H543))</f>
        <v>-1.10368207006127</v>
      </c>
    </row>
    <row r="544" customFormat="false" ht="15" hidden="false" customHeight="false" outlineLevel="0" collapsed="false">
      <c r="A544" s="8" t="n">
        <v>43112</v>
      </c>
      <c r="B544" s="9" t="n">
        <v>18.8396774592</v>
      </c>
      <c r="C544" s="9" t="n">
        <v>157.679993</v>
      </c>
      <c r="D544" s="9" t="n">
        <v>158.860001</v>
      </c>
      <c r="E544" s="9" t="n">
        <v>157.470001</v>
      </c>
      <c r="F544" s="9" t="n">
        <v>158.160004</v>
      </c>
      <c r="G544" s="9" t="n">
        <v>152.52121</v>
      </c>
      <c r="H544" s="9" t="n">
        <v>152.52121</v>
      </c>
      <c r="I544" s="2" t="str">
        <f aca="false">IF(COUNT(C544:F544)&lt;4,"",IF(OR(D544&lt;MAX(C544,F544)-0.000001,E544&gt;MIN(C544,F544)+0.000001),"FAIL","OK"))</f>
        <v>OK</v>
      </c>
      <c r="J544" s="10" t="n">
        <f aca="false">IF(COUNT(F544,G544)&lt;2,"",G544/F544)</f>
        <v>0.964347535044321</v>
      </c>
      <c r="K544" s="10" t="n">
        <f aca="false">H544/H543-1</f>
        <v>0.00419030832888123</v>
      </c>
      <c r="L544" s="10" t="n">
        <f aca="false">H549/H544-1</f>
        <v>0.00815605908188122</v>
      </c>
      <c r="M544" s="10" t="n">
        <f aca="false">IF(COUNT(B485:B544)&lt;60,"",(B544-AVERAGE(B485:B544))/STDEV(B485:B544))</f>
        <v>0.390954889150108</v>
      </c>
      <c r="N544" s="10" t="n">
        <f aca="false">(H544-AVERAGE(H485:H544))/STDEV(H485:H544)</f>
        <v>2.4851427944136</v>
      </c>
      <c r="O544" s="10" t="n">
        <f aca="false">IF(COUNT(B544)=0,"",B544-('Signal Analysis'!$C$6+'Signal Analysis'!$C$5*H544))</f>
        <v>-0.226319191531456</v>
      </c>
    </row>
    <row r="545" customFormat="false" ht="15" hidden="false" customHeight="false" outlineLevel="0" collapsed="false">
      <c r="A545" s="8" t="n">
        <v>43116</v>
      </c>
      <c r="B545" s="9" t="n">
        <v>18.7205342184</v>
      </c>
      <c r="C545" s="9" t="n">
        <v>158.860001</v>
      </c>
      <c r="D545" s="9" t="n">
        <v>159.410004</v>
      </c>
      <c r="E545" s="9" t="n">
        <v>155.800003</v>
      </c>
      <c r="F545" s="9" t="n">
        <v>156.139999</v>
      </c>
      <c r="G545" s="9" t="n">
        <v>150.573242</v>
      </c>
      <c r="H545" s="9" t="n">
        <v>150.573242</v>
      </c>
      <c r="I545" s="2" t="str">
        <f aca="false">IF(COUNT(C545:F545)&lt;4,"",IF(OR(D545&lt;MAX(C545,F545)-0.000001,E545&gt;MIN(C545,F545)+0.000001),"FAIL","OK"))</f>
        <v>OK</v>
      </c>
      <c r="J545" s="10" t="n">
        <f aca="false">IF(COUNT(F545,G545)&lt;2,"",G545/F545)</f>
        <v>0.964347655721453</v>
      </c>
      <c r="K545" s="10" t="n">
        <f aca="false">H545/H544-1</f>
        <v>-0.0127717843308481</v>
      </c>
      <c r="L545" s="10" t="n">
        <f aca="false">H550/H545-1</f>
        <v>0.0244652233761427</v>
      </c>
      <c r="M545" s="10" t="n">
        <f aca="false">IF(COUNT(B486:B545)&lt;60,"",(B545-AVERAGE(B486:B545))/STDEV(B486:B545))</f>
        <v>0.327523197695227</v>
      </c>
      <c r="N545" s="10" t="n">
        <f aca="false">(H545-AVERAGE(H486:H545))/STDEV(H486:H545)</f>
        <v>1.73590365802198</v>
      </c>
      <c r="O545" s="10" t="n">
        <f aca="false">IF(COUNT(B545)=0,"",B545-('Signal Analysis'!$C$6+'Signal Analysis'!$C$5*H545))</f>
        <v>-0.0789951604833661</v>
      </c>
    </row>
    <row r="546" customFormat="false" ht="15" hidden="false" customHeight="false" outlineLevel="0" collapsed="false">
      <c r="A546" s="8" t="n">
        <v>43117</v>
      </c>
      <c r="B546" s="9" t="n">
        <v>18.0827854032</v>
      </c>
      <c r="C546" s="9" t="n">
        <v>156.800003</v>
      </c>
      <c r="D546" s="9" t="n">
        <v>157.940002</v>
      </c>
      <c r="E546" s="9" t="n">
        <v>156.279999</v>
      </c>
      <c r="F546" s="9" t="n">
        <v>157.619995</v>
      </c>
      <c r="G546" s="9" t="n">
        <v>152.000458</v>
      </c>
      <c r="H546" s="9" t="n">
        <v>152.000458</v>
      </c>
      <c r="I546" s="2" t="str">
        <f aca="false">IF(COUNT(C546:F546)&lt;4,"",IF(OR(D546&lt;MAX(C546,F546)-0.000001,E546&gt;MIN(C546,F546)+0.000001),"FAIL","OK"))</f>
        <v>OK</v>
      </c>
      <c r="J546" s="10" t="n">
        <f aca="false">IF(COUNT(F546,G546)&lt;2,"",G546/F546)</f>
        <v>0.964347562629982</v>
      </c>
      <c r="K546" s="10" t="n">
        <f aca="false">H546/H545-1</f>
        <v>0.00947854998034781</v>
      </c>
      <c r="L546" s="10" t="n">
        <f aca="false">H551/H546-1</f>
        <v>0.00856486892953967</v>
      </c>
      <c r="M546" s="10" t="n">
        <f aca="false">IF(COUNT(B487:B546)&lt;60,"",(B546-AVERAGE(B487:B546))/STDEV(B487:B546))</f>
        <v>0.0576384720812845</v>
      </c>
      <c r="N546" s="10" t="n">
        <f aca="false">(H546-AVERAGE(H487:H546))/STDEV(H487:H546)</f>
        <v>2.09018873545422</v>
      </c>
      <c r="O546" s="10" t="n">
        <f aca="false">IF(COUNT(B546)=0,"",B546-('Signal Analysis'!$C$6+'Signal Analysis'!$C$5*H546))</f>
        <v>-0.911976317209483</v>
      </c>
    </row>
    <row r="547" customFormat="false" ht="15" hidden="false" customHeight="false" outlineLevel="0" collapsed="false">
      <c r="A547" s="8" t="n">
        <v>43118</v>
      </c>
      <c r="B547" s="9" t="n">
        <v>18.69595446</v>
      </c>
      <c r="C547" s="9" t="n">
        <v>157.220001</v>
      </c>
      <c r="D547" s="9" t="n">
        <v>157.5</v>
      </c>
      <c r="E547" s="9" t="n">
        <v>156.389999</v>
      </c>
      <c r="F547" s="9" t="n">
        <v>156.539993</v>
      </c>
      <c r="G547" s="9" t="n">
        <v>150.958954</v>
      </c>
      <c r="H547" s="9" t="n">
        <v>150.958954</v>
      </c>
      <c r="I547" s="2" t="str">
        <f aca="false">IF(COUNT(C547:F547)&lt;4,"",IF(OR(D547&lt;MAX(C547,F547)-0.000001,E547&gt;MIN(C547,F547)+0.000001),"FAIL","OK"))</f>
        <v>OK</v>
      </c>
      <c r="J547" s="10" t="n">
        <f aca="false">IF(COUNT(F547,G547)&lt;2,"",G547/F547)</f>
        <v>0.964347519806009</v>
      </c>
      <c r="K547" s="10" t="n">
        <f aca="false">H547/H546-1</f>
        <v>-0.00685197935390436</v>
      </c>
      <c r="L547" s="10" t="n">
        <f aca="false">H552/H547-1</f>
        <v>0.0159066086268722</v>
      </c>
      <c r="M547" s="10" t="n">
        <f aca="false">IF(COUNT(B488:B547)&lt;60,"",(B547-AVERAGE(B488:B547))/STDEV(B488:B547))</f>
        <v>0.309205446952862</v>
      </c>
      <c r="N547" s="10" t="n">
        <f aca="false">(H547-AVERAGE(H488:H547))/STDEV(H488:H547)</f>
        <v>1.67785444039424</v>
      </c>
      <c r="O547" s="10" t="n">
        <f aca="false">IF(COUNT(B547)=0,"",B547-('Signal Analysis'!$C$6+'Signal Analysis'!$C$5*H547))</f>
        <v>-0.156337399765537</v>
      </c>
    </row>
    <row r="548" customFormat="false" ht="15" hidden="false" customHeight="false" outlineLevel="0" collapsed="false">
      <c r="A548" s="8" t="n">
        <v>43119</v>
      </c>
      <c r="B548" s="9" t="n">
        <v>18.7642042128</v>
      </c>
      <c r="C548" s="9" t="n">
        <v>156.729996</v>
      </c>
      <c r="D548" s="9" t="n">
        <v>158.690002</v>
      </c>
      <c r="E548" s="9" t="n">
        <v>156.550003</v>
      </c>
      <c r="F548" s="9" t="n">
        <v>158.600006</v>
      </c>
      <c r="G548" s="9" t="n">
        <v>152.945541</v>
      </c>
      <c r="H548" s="9" t="n">
        <v>152.945541</v>
      </c>
      <c r="I548" s="2" t="str">
        <f aca="false">IF(COUNT(C548:F548)&lt;4,"",IF(OR(D548&lt;MAX(C548,F548)-0.000001,E548&gt;MIN(C548,F548)+0.000001),"FAIL","OK"))</f>
        <v>OK</v>
      </c>
      <c r="J548" s="10" t="n">
        <f aca="false">IF(COUNT(F548,G548)&lt;2,"",G548/F548)</f>
        <v>0.964347636909925</v>
      </c>
      <c r="K548" s="10" t="n">
        <f aca="false">H548/H547-1</f>
        <v>0.0131597824929284</v>
      </c>
      <c r="L548" s="10" t="n">
        <f aca="false">H553/H548-1</f>
        <v>0.00630502199472427</v>
      </c>
      <c r="M548" s="10" t="n">
        <f aca="false">IF(COUNT(B489:B548)&lt;60,"",(B548-AVERAGE(B489:B548))/STDEV(B489:B548))</f>
        <v>0.332400939967868</v>
      </c>
      <c r="N548" s="10" t="n">
        <f aca="false">(H548-AVERAGE(H489:H548))/STDEV(H489:H548)</f>
        <v>2.17192635149259</v>
      </c>
      <c r="O548" s="10" t="n">
        <f aca="false">IF(COUNT(B548)=0,"",B548-('Signal Analysis'!$C$6+'Signal Analysis'!$C$5*H548))</f>
        <v>-0.359837705579881</v>
      </c>
    </row>
    <row r="549" customFormat="false" ht="15" hidden="false" customHeight="false" outlineLevel="0" collapsed="false">
      <c r="A549" s="8" t="n">
        <v>43122</v>
      </c>
      <c r="B549" s="9" t="n">
        <v>17.483062686</v>
      </c>
      <c r="C549" s="9" t="n">
        <v>158.399994</v>
      </c>
      <c r="D549" s="9" t="n">
        <v>159.449997</v>
      </c>
      <c r="E549" s="9" t="n">
        <v>158.309998</v>
      </c>
      <c r="F549" s="9" t="n">
        <v>159.449997</v>
      </c>
      <c r="G549" s="9" t="n">
        <v>153.765182</v>
      </c>
      <c r="H549" s="9" t="n">
        <v>153.765182</v>
      </c>
      <c r="I549" s="2" t="str">
        <f aca="false">IF(COUNT(C549:F549)&lt;4,"",IF(OR(D549&lt;MAX(C549,F549)-0.000001,E549&gt;MIN(C549,F549)+0.000001),"FAIL","OK"))</f>
        <v>OK</v>
      </c>
      <c r="J549" s="10" t="n">
        <f aca="false">IF(COUNT(F549,G549)&lt;2,"",G549/F549)</f>
        <v>0.964347349595748</v>
      </c>
      <c r="K549" s="10" t="n">
        <f aca="false">H549/H548-1</f>
        <v>0.00535903822132355</v>
      </c>
      <c r="L549" s="10" t="n">
        <f aca="false">H554/H549-1</f>
        <v>-0.00470340548226322</v>
      </c>
      <c r="M549" s="10" t="n">
        <f aca="false">IF(COUNT(B490:B549)&lt;60,"",(B549-AVERAGE(B490:B549))/STDEV(B490:B549))</f>
        <v>-0.212728406784138</v>
      </c>
      <c r="N549" s="10" t="n">
        <f aca="false">(H549-AVERAGE(H490:H549))/STDEV(H490:H549)</f>
        <v>2.27184566029188</v>
      </c>
      <c r="O549" s="10" t="n">
        <f aca="false">IF(COUNT(B549)=0,"",B549-('Signal Analysis'!$C$6+'Signal Analysis'!$C$5*H549))</f>
        <v>-1.75309991463177</v>
      </c>
    </row>
    <row r="550" customFormat="false" ht="15" hidden="false" customHeight="false" outlineLevel="0" collapsed="false">
      <c r="A550" s="8" t="n">
        <v>43123</v>
      </c>
      <c r="B550" s="9" t="n">
        <v>19.2079512768</v>
      </c>
      <c r="C550" s="9" t="n">
        <v>159.240005</v>
      </c>
      <c r="D550" s="9" t="n">
        <v>160.300003</v>
      </c>
      <c r="E550" s="9" t="n">
        <v>158.669998</v>
      </c>
      <c r="F550" s="9" t="n">
        <v>159.960007</v>
      </c>
      <c r="G550" s="9" t="n">
        <v>154.25705</v>
      </c>
      <c r="H550" s="9" t="n">
        <v>154.25705</v>
      </c>
      <c r="I550" s="2" t="str">
        <f aca="false">IF(COUNT(C550:F550)&lt;4,"",IF(OR(D550&lt;MAX(C550,F550)-0.000001,E550&gt;MIN(C550,F550)+0.000001),"FAIL","OK"))</f>
        <v>OK</v>
      </c>
      <c r="J550" s="10" t="n">
        <f aca="false">IF(COUNT(F550,G550)&lt;2,"",G550/F550)</f>
        <v>0.964347607211595</v>
      </c>
      <c r="K550" s="10" t="n">
        <f aca="false">H550/H549-1</f>
        <v>0.00319882559629114</v>
      </c>
      <c r="L550" s="10" t="n">
        <f aca="false">H555/H550-1</f>
        <v>-0.0173794909211604</v>
      </c>
      <c r="M550" s="10" t="n">
        <f aca="false">IF(COUNT(B491:B550)&lt;60,"",(B550-AVERAGE(B491:B550))/STDEV(B491:B550))</f>
        <v>0.504167006410921</v>
      </c>
      <c r="N550" s="10" t="n">
        <f aca="false">(H550-AVERAGE(H491:H550))/STDEV(H491:H550)</f>
        <v>2.27050707134243</v>
      </c>
      <c r="O550" s="10" t="n">
        <f aca="false">IF(COUNT(B550)=0,"",B550-('Signal Analysis'!$C$6+'Signal Analysis'!$C$5*H550))</f>
        <v>-0.0954951416713676</v>
      </c>
    </row>
    <row r="551" customFormat="false" ht="15" hidden="false" customHeight="false" outlineLevel="0" collapsed="false">
      <c r="A551" s="8" t="n">
        <v>43124</v>
      </c>
      <c r="B551" s="9" t="n">
        <v>17.446783668</v>
      </c>
      <c r="C551" s="9" t="n">
        <v>160.360001</v>
      </c>
      <c r="D551" s="9" t="n">
        <v>160.630005</v>
      </c>
      <c r="E551" s="9" t="n">
        <v>158.399994</v>
      </c>
      <c r="F551" s="9" t="n">
        <v>158.970001</v>
      </c>
      <c r="G551" s="9" t="n">
        <v>153.302322</v>
      </c>
      <c r="H551" s="9" t="n">
        <v>153.302322</v>
      </c>
      <c r="I551" s="2" t="str">
        <f aca="false">IF(COUNT(C551:F551)&lt;4,"",IF(OR(D551&lt;MAX(C551,F551)-0.000001,E551&gt;MIN(C551,F551)+0.000001),"FAIL","OK"))</f>
        <v>OK</v>
      </c>
      <c r="J551" s="10" t="n">
        <f aca="false">IF(COUNT(F551,G551)&lt;2,"",G551/F551)</f>
        <v>0.96434749346199</v>
      </c>
      <c r="K551" s="10" t="n">
        <f aca="false">H551/H550-1</f>
        <v>-0.00618920172530191</v>
      </c>
      <c r="L551" s="10" t="n">
        <f aca="false">H556/H551-1</f>
        <v>-0.016418127052244</v>
      </c>
      <c r="M551" s="10" t="n">
        <f aca="false">IF(COUNT(B492:B551)&lt;60,"",(B551-AVERAGE(B492:B551))/STDEV(B492:B551))</f>
        <v>-0.243406702991997</v>
      </c>
      <c r="N551" s="10" t="n">
        <f aca="false">(H551-AVERAGE(H492:H551))/STDEV(H492:H551)</f>
        <v>1.90534904742349</v>
      </c>
      <c r="O551" s="10" t="n">
        <f aca="false">IF(COUNT(B551)=0,"",B551-('Signal Analysis'!$C$6+'Signal Analysis'!$C$5*H551))</f>
        <v>-1.72606318953557</v>
      </c>
    </row>
    <row r="552" customFormat="false" ht="15" hidden="false" customHeight="false" outlineLevel="0" collapsed="false">
      <c r="A552" s="8" t="n">
        <v>43125</v>
      </c>
      <c r="B552" s="9" t="n">
        <v>17.4615714432</v>
      </c>
      <c r="C552" s="9" t="n">
        <v>159.639999</v>
      </c>
      <c r="D552" s="9" t="n">
        <v>159.919998</v>
      </c>
      <c r="E552" s="9" t="n">
        <v>158.210007</v>
      </c>
      <c r="F552" s="9" t="n">
        <v>159.029999</v>
      </c>
      <c r="G552" s="9" t="n">
        <v>153.360199</v>
      </c>
      <c r="H552" s="9" t="n">
        <v>153.360199</v>
      </c>
      <c r="I552" s="2" t="str">
        <f aca="false">IF(COUNT(C552:F552)&lt;4,"",IF(OR(D552&lt;MAX(C552,F552)-0.000001,E552&gt;MIN(C552,F552)+0.000001),"FAIL","OK"))</f>
        <v>OK</v>
      </c>
      <c r="J552" s="10" t="n">
        <f aca="false">IF(COUNT(F552,G552)&lt;2,"",G552/F552)</f>
        <v>0.964347607145492</v>
      </c>
      <c r="K552" s="10" t="n">
        <f aca="false">H552/H551-1</f>
        <v>0.000377535051295563</v>
      </c>
      <c r="L552" s="10" t="n">
        <f aca="false">H557/H552-1</f>
        <v>-0.0137081199275179</v>
      </c>
      <c r="M552" s="10" t="n">
        <f aca="false">IF(COUNT(B493:B552)&lt;60,"",(B552-AVERAGE(B493:B552))/STDEV(B493:B552))</f>
        <v>-0.236089530700376</v>
      </c>
      <c r="N552" s="10" t="n">
        <f aca="false">(H552-AVERAGE(H493:H552))/STDEV(H493:H552)</f>
        <v>1.83010044382324</v>
      </c>
      <c r="O552" s="10" t="n">
        <f aca="false">IF(COUNT(B552)=0,"",B552-('Signal Analysis'!$C$6+'Signal Analysis'!$C$5*H552))</f>
        <v>-1.71919254967494</v>
      </c>
    </row>
    <row r="553" customFormat="false" ht="15" hidden="false" customHeight="false" outlineLevel="0" collapsed="false">
      <c r="A553" s="8" t="n">
        <v>43126</v>
      </c>
      <c r="B553" s="9" t="n">
        <v>18.637073586</v>
      </c>
      <c r="C553" s="9" t="n">
        <v>159.529999</v>
      </c>
      <c r="D553" s="9" t="n">
        <v>159.690002</v>
      </c>
      <c r="E553" s="9" t="n">
        <v>158.770004</v>
      </c>
      <c r="F553" s="9" t="n">
        <v>159.600006</v>
      </c>
      <c r="G553" s="9" t="n">
        <v>153.909866</v>
      </c>
      <c r="H553" s="9" t="n">
        <v>153.909866</v>
      </c>
      <c r="I553" s="2" t="str">
        <f aca="false">IF(COUNT(C553:F553)&lt;4,"",IF(OR(D553&lt;MAX(C553,F553)-0.000001,E553&gt;MIN(C553,F553)+0.000001),"FAIL","OK"))</f>
        <v>OK</v>
      </c>
      <c r="J553" s="10" t="n">
        <f aca="false">IF(COUNT(F553,G553)&lt;2,"",G553/F553)</f>
        <v>0.964347495074655</v>
      </c>
      <c r="K553" s="10" t="n">
        <f aca="false">H553/H552-1</f>
        <v>0.00358415679937929</v>
      </c>
      <c r="L553" s="10" t="n">
        <f aca="false">H558/H553-1</f>
        <v>-0.0361528805437332</v>
      </c>
      <c r="M553" s="10" t="n">
        <f aca="false">IF(COUNT(B494:B553)&lt;60,"",(B553-AVERAGE(B494:B553))/STDEV(B494:B553))</f>
        <v>0.253565385186138</v>
      </c>
      <c r="N553" s="10" t="n">
        <f aca="false">(H553-AVERAGE(H494:H553))/STDEV(H494:H553)</f>
        <v>1.88543605260753</v>
      </c>
      <c r="O553" s="10" t="n">
        <f aca="false">IF(COUNT(B553)=0,"",B553-('Signal Analysis'!$C$6+'Signal Analysis'!$C$5*H553))</f>
        <v>-0.618880690244541</v>
      </c>
    </row>
    <row r="554" customFormat="false" ht="15" hidden="false" customHeight="false" outlineLevel="0" collapsed="false">
      <c r="A554" s="8" t="n">
        <v>43129</v>
      </c>
      <c r="B554" s="9" t="n">
        <v>17.243402766</v>
      </c>
      <c r="C554" s="9" t="n">
        <v>159.059998</v>
      </c>
      <c r="D554" s="9" t="n">
        <v>159.860001</v>
      </c>
      <c r="E554" s="9" t="n">
        <v>158.619995</v>
      </c>
      <c r="F554" s="9" t="n">
        <v>158.699997</v>
      </c>
      <c r="G554" s="9" t="n">
        <v>153.041962</v>
      </c>
      <c r="H554" s="9" t="n">
        <v>153.041962</v>
      </c>
      <c r="I554" s="2" t="str">
        <f aca="false">IF(COUNT(C554:F554)&lt;4,"",IF(OR(D554&lt;MAX(C554,F554)-0.000001,E554&gt;MIN(C554,F554)+0.000001),"FAIL","OK"))</f>
        <v>OK</v>
      </c>
      <c r="J554" s="10" t="n">
        <f aca="false">IF(COUNT(F554,G554)&lt;2,"",G554/F554)</f>
        <v>0.964347604871095</v>
      </c>
      <c r="K554" s="10" t="n">
        <f aca="false">H554/H553-1</f>
        <v>-0.00563904070970978</v>
      </c>
      <c r="L554" s="10" t="n">
        <f aca="false">H559/H554-1</f>
        <v>-0.0679269650241416</v>
      </c>
      <c r="M554" s="10" t="n">
        <f aca="false">IF(COUNT(B495:B554)&lt;60,"",(B554-AVERAGE(B495:B554))/STDEV(B495:B554))</f>
        <v>-0.331961821523139</v>
      </c>
      <c r="N554" s="10" t="n">
        <f aca="false">(H554-AVERAGE(H495:H554))/STDEV(H495:H554)</f>
        <v>1.59108143236601</v>
      </c>
      <c r="O554" s="10" t="n">
        <f aca="false">IF(COUNT(B554)=0,"",B554-('Signal Analysis'!$C$6+'Signal Analysis'!$C$5*H554))</f>
        <v>-1.89382881505343</v>
      </c>
    </row>
    <row r="555" customFormat="false" ht="15" hidden="false" customHeight="false" outlineLevel="0" collapsed="false">
      <c r="A555" s="8" t="n">
        <v>43130</v>
      </c>
      <c r="B555" s="9" t="n">
        <v>17.0894109312</v>
      </c>
      <c r="C555" s="9" t="n">
        <v>157.660004</v>
      </c>
      <c r="D555" s="9" t="n">
        <v>158.220001</v>
      </c>
      <c r="E555" s="9" t="n">
        <v>156.729996</v>
      </c>
      <c r="F555" s="9" t="n">
        <v>157.179993</v>
      </c>
      <c r="G555" s="9" t="n">
        <v>151.576141</v>
      </c>
      <c r="H555" s="9" t="n">
        <v>151.576141</v>
      </c>
      <c r="I555" s="2" t="str">
        <f aca="false">IF(COUNT(C555:F555)&lt;4,"",IF(OR(D555&lt;MAX(C555,F555)-0.000001,E555&gt;MIN(C555,F555)+0.000001),"FAIL","OK"))</f>
        <v>OK</v>
      </c>
      <c r="J555" s="10" t="n">
        <f aca="false">IF(COUNT(F555,G555)&lt;2,"",G555/F555)</f>
        <v>0.964347548991175</v>
      </c>
      <c r="K555" s="10" t="n">
        <f aca="false">H555/H554-1</f>
        <v>-0.00957790256243585</v>
      </c>
      <c r="L555" s="10" t="n">
        <f aca="false">H560/H555-1</f>
        <v>-0.047652262106343</v>
      </c>
      <c r="M555" s="10" t="n">
        <f aca="false">IF(COUNT(B496:B555)&lt;60,"",(B555-AVERAGE(B496:B555))/STDEV(B496:B555))</f>
        <v>-0.391190563162753</v>
      </c>
      <c r="N555" s="10" t="n">
        <f aca="false">(H555-AVERAGE(H496:H555))/STDEV(H496:H555)</f>
        <v>1.17378814970956</v>
      </c>
      <c r="O555" s="10" t="n">
        <f aca="false">IF(COUNT(B555)=0,"",B555-('Signal Analysis'!$C$6+'Signal Analysis'!$C$5*H555))</f>
        <v>-1.84730743665504</v>
      </c>
    </row>
    <row r="556" customFormat="false" ht="15" hidden="false" customHeight="false" outlineLevel="0" collapsed="false">
      <c r="A556" s="8" t="n">
        <v>43131</v>
      </c>
      <c r="B556" s="9" t="n">
        <v>16.7752032336</v>
      </c>
      <c r="C556" s="9" t="n">
        <v>157.740005</v>
      </c>
      <c r="D556" s="9" t="n">
        <v>158.419998</v>
      </c>
      <c r="E556" s="9" t="n">
        <v>155.919998</v>
      </c>
      <c r="F556" s="9" t="n">
        <v>156.360001</v>
      </c>
      <c r="G556" s="9" t="n">
        <v>150.785385</v>
      </c>
      <c r="H556" s="9" t="n">
        <v>150.785385</v>
      </c>
      <c r="I556" s="2" t="str">
        <f aca="false">IF(COUNT(C556:F556)&lt;4,"",IF(OR(D556&lt;MAX(C556,F556)-0.000001,E556&gt;MIN(C556,F556)+0.000001),"FAIL","OK"))</f>
        <v>OK</v>
      </c>
      <c r="J556" s="10" t="n">
        <f aca="false">IF(COUNT(F556,G556)&lt;2,"",G556/F556)</f>
        <v>0.964347557147943</v>
      </c>
      <c r="K556" s="10" t="n">
        <f aca="false">H556/H555-1</f>
        <v>-0.00521688964228229</v>
      </c>
      <c r="L556" s="10" t="n">
        <f aca="false">H561/H556-1</f>
        <v>-0.0416986831979769</v>
      </c>
      <c r="M556" s="10" t="n">
        <f aca="false">IF(COUNT(B497:B556)&lt;60,"",(B556-AVERAGE(B497:B556))/STDEV(B497:B556))</f>
        <v>-0.516592282338086</v>
      </c>
      <c r="N556" s="10" t="n">
        <f aca="false">(H556-AVERAGE(H497:H556))/STDEV(H497:H556)</f>
        <v>0.938602913315418</v>
      </c>
      <c r="O556" s="10" t="n">
        <f aca="false">IF(COUNT(B556)=0,"",B556-('Signal Analysis'!$C$6+'Signal Analysis'!$C$5*H556))</f>
        <v>-2.05334570127796</v>
      </c>
    </row>
    <row r="557" customFormat="false" ht="15" hidden="false" customHeight="false" outlineLevel="0" collapsed="false">
      <c r="A557" s="8" t="n">
        <v>43132</v>
      </c>
      <c r="B557" s="9" t="n">
        <v>16.975935732</v>
      </c>
      <c r="C557" s="9" t="n">
        <v>155.729996</v>
      </c>
      <c r="D557" s="9" t="n">
        <v>157.210007</v>
      </c>
      <c r="E557" s="9" t="n">
        <v>155.529999</v>
      </c>
      <c r="F557" s="9" t="n">
        <v>156.850006</v>
      </c>
      <c r="G557" s="9" t="n">
        <v>151.257919</v>
      </c>
      <c r="H557" s="9" t="n">
        <v>151.257919</v>
      </c>
      <c r="I557" s="2" t="str">
        <f aca="false">IF(COUNT(C557:F557)&lt;4,"",IF(OR(D557&lt;MAX(C557,F557)-0.000001,E557&gt;MIN(C557,F557)+0.000001),"FAIL","OK"))</f>
        <v>OK</v>
      </c>
      <c r="J557" s="10" t="n">
        <f aca="false">IF(COUNT(F557,G557)&lt;2,"",G557/F557)</f>
        <v>0.964347549977142</v>
      </c>
      <c r="K557" s="10" t="n">
        <f aca="false">H557/H556-1</f>
        <v>0.00313381830739101</v>
      </c>
      <c r="L557" s="10" t="n">
        <f aca="false">H562/H557-1</f>
        <v>-0.072744647505034</v>
      </c>
      <c r="M557" s="10" t="n">
        <f aca="false">IF(COUNT(B498:B557)&lt;60,"",(B557-AVERAGE(B498:B557))/STDEV(B498:B557))</f>
        <v>-0.430810401455146</v>
      </c>
      <c r="N557" s="10" t="n">
        <f aca="false">(H557-AVERAGE(H498:H557))/STDEV(H498:H557)</f>
        <v>1.02589350728299</v>
      </c>
      <c r="O557" s="10" t="n">
        <f aca="false">IF(COUNT(B557)=0,"",B557-('Signal Analysis'!$C$6+'Signal Analysis'!$C$5*H557))</f>
        <v>-1.91725227591995</v>
      </c>
    </row>
    <row r="558" customFormat="false" ht="15" hidden="false" customHeight="false" outlineLevel="0" collapsed="false">
      <c r="A558" s="8" t="n">
        <v>43133</v>
      </c>
      <c r="B558" s="9" t="n">
        <v>16.9929451608</v>
      </c>
      <c r="C558" s="9" t="n">
        <v>156.130005</v>
      </c>
      <c r="D558" s="9" t="n">
        <v>156.149994</v>
      </c>
      <c r="E558" s="9" t="n">
        <v>153.509995</v>
      </c>
      <c r="F558" s="9" t="n">
        <v>153.830002</v>
      </c>
      <c r="G558" s="9" t="n">
        <v>148.345581</v>
      </c>
      <c r="H558" s="9" t="n">
        <v>148.345581</v>
      </c>
      <c r="I558" s="2" t="str">
        <f aca="false">IF(COUNT(C558:F558)&lt;4,"",IF(OR(D558&lt;MAX(C558,F558)-0.000001,E558&gt;MIN(C558,F558)+0.000001),"FAIL","OK"))</f>
        <v>OK</v>
      </c>
      <c r="J558" s="10" t="n">
        <f aca="false">IF(COUNT(F558,G558)&lt;2,"",G558/F558)</f>
        <v>0.96434752045313</v>
      </c>
      <c r="K558" s="10" t="n">
        <f aca="false">H558/H557-1</f>
        <v>-0.0192541191843316</v>
      </c>
      <c r="L558" s="10" t="n">
        <f aca="false">H563/H558-1</f>
        <v>-0.045894680206214</v>
      </c>
      <c r="M558" s="10" t="n">
        <f aca="false">IF(COUNT(B499:B558)&lt;60,"",(B558-AVERAGE(B499:B558))/STDEV(B499:B558))</f>
        <v>-0.422950196614613</v>
      </c>
      <c r="N558" s="10" t="n">
        <f aca="false">(H558-AVERAGE(H499:H558))/STDEV(H499:H558)</f>
        <v>0.253206570813137</v>
      </c>
      <c r="O558" s="10" t="n">
        <f aca="false">IF(COUNT(B558)=0,"",B558-('Signal Analysis'!$C$6+'Signal Analysis'!$C$5*H558))</f>
        <v>-1.50185706174796</v>
      </c>
    </row>
    <row r="559" customFormat="false" ht="15" hidden="false" customHeight="false" outlineLevel="0" collapsed="false">
      <c r="A559" s="8" t="n">
        <v>43136</v>
      </c>
      <c r="B559" s="9" t="n">
        <v>16.662260142</v>
      </c>
      <c r="C559" s="9" t="n">
        <v>152.669998</v>
      </c>
      <c r="D559" s="9" t="n">
        <v>153.789993</v>
      </c>
      <c r="E559" s="9" t="n">
        <v>147.860001</v>
      </c>
      <c r="F559" s="9" t="n">
        <v>147.919998</v>
      </c>
      <c r="G559" s="9" t="n">
        <v>142.646286</v>
      </c>
      <c r="H559" s="9" t="n">
        <v>142.646286</v>
      </c>
      <c r="I559" s="2" t="str">
        <f aca="false">IF(COUNT(C559:F559)&lt;4,"",IF(OR(D559&lt;MAX(C559,F559)-0.000001,E559&gt;MIN(C559,F559)+0.000001),"FAIL","OK"))</f>
        <v>OK</v>
      </c>
      <c r="J559" s="10" t="n">
        <f aca="false">IF(COUNT(F559,G559)&lt;2,"",G559/F559)</f>
        <v>0.964347538728334</v>
      </c>
      <c r="K559" s="10" t="n">
        <f aca="false">H559/H558-1</f>
        <v>-0.0384190412790254</v>
      </c>
      <c r="L559" s="10" t="n">
        <f aca="false">H564/H559-1</f>
        <v>0.00162250982125123</v>
      </c>
      <c r="M559" s="10" t="n">
        <f aca="false">IF(COUNT(B500:B559)&lt;60,"",(B559-AVERAGE(B500:B559))/STDEV(B500:B559))</f>
        <v>-0.55982201544812</v>
      </c>
      <c r="N559" s="10" t="n">
        <f aca="false">(H559-AVERAGE(H500:H559))/STDEV(H500:H559)</f>
        <v>-1.25136222916125</v>
      </c>
      <c r="O559" s="10" t="n">
        <f aca="false">IF(COUNT(B559)=0,"",B559-('Signal Analysis'!$C$6+'Signal Analysis'!$C$5*H559))</f>
        <v>-1.05292168118439</v>
      </c>
    </row>
    <row r="560" customFormat="false" ht="15" hidden="false" customHeight="false" outlineLevel="0" collapsed="false">
      <c r="A560" s="8" t="n">
        <v>43137</v>
      </c>
      <c r="B560" s="9" t="n">
        <v>16.98447696</v>
      </c>
      <c r="C560" s="9" t="n">
        <v>145.529999</v>
      </c>
      <c r="D560" s="9" t="n">
        <v>150.369995</v>
      </c>
      <c r="E560" s="9" t="n">
        <v>144.240005</v>
      </c>
      <c r="F560" s="9" t="n">
        <v>149.690002</v>
      </c>
      <c r="G560" s="9" t="n">
        <v>144.353195</v>
      </c>
      <c r="H560" s="9" t="n">
        <v>144.353195</v>
      </c>
      <c r="I560" s="2" t="str">
        <f aca="false">IF(COUNT(C560:F560)&lt;4,"",IF(OR(D560&lt;MAX(C560,F560)-0.000001,E560&gt;MIN(C560,F560)+0.000001),"FAIL","OK"))</f>
        <v>OK</v>
      </c>
      <c r="J560" s="10" t="n">
        <f aca="false">IF(COUNT(F560,G560)&lt;2,"",G560/F560)</f>
        <v>0.964347605526787</v>
      </c>
      <c r="K560" s="10" t="n">
        <f aca="false">H560/H559-1</f>
        <v>0.011966024828715</v>
      </c>
      <c r="L560" s="10" t="n">
        <f aca="false">H565/H560-1</f>
        <v>-0.0080835412059983</v>
      </c>
      <c r="M560" s="10" t="n">
        <f aca="false">IF(COUNT(B501:B560)&lt;60,"",(B560-AVERAGE(B501:B560))/STDEV(B501:B560))</f>
        <v>-0.425187876516482</v>
      </c>
      <c r="N560" s="10" t="n">
        <f aca="false">(H560-AVERAGE(H501:H560))/STDEV(H501:H560)</f>
        <v>-0.827893399963546</v>
      </c>
      <c r="O560" s="10" t="n">
        <f aca="false">IF(COUNT(B560)=0,"",B560-('Signal Analysis'!$C$6+'Signal Analysis'!$C$5*H560))</f>
        <v>-0.964197089197835</v>
      </c>
    </row>
    <row r="561" customFormat="false" ht="15" hidden="false" customHeight="false" outlineLevel="0" collapsed="false">
      <c r="A561" s="8" t="n">
        <v>43138</v>
      </c>
      <c r="B561" s="9" t="n">
        <v>16.288061334</v>
      </c>
      <c r="C561" s="9" t="n">
        <v>149.610001</v>
      </c>
      <c r="D561" s="9" t="n">
        <v>150.789993</v>
      </c>
      <c r="E561" s="9" t="n">
        <v>148.610001</v>
      </c>
      <c r="F561" s="9" t="n">
        <v>149.839996</v>
      </c>
      <c r="G561" s="9" t="n">
        <v>144.497833</v>
      </c>
      <c r="H561" s="9" t="n">
        <v>144.497833</v>
      </c>
      <c r="I561" s="2" t="str">
        <f aca="false">IF(COUNT(C561:F561)&lt;4,"",IF(OR(D561&lt;MAX(C561,F561)-0.000001,E561&gt;MIN(C561,F561)+0.000001),"FAIL","OK"))</f>
        <v>OK</v>
      </c>
      <c r="J561" s="10" t="n">
        <f aca="false">IF(COUNT(F561,G561)&lt;2,"",G561/F561)</f>
        <v>0.964347549769022</v>
      </c>
      <c r="K561" s="10" t="n">
        <f aca="false">H561/H560-1</f>
        <v>0.00100197297330351</v>
      </c>
      <c r="L561" s="10" t="n">
        <f aca="false">H566/H561-1</f>
        <v>0.00874283699465583</v>
      </c>
      <c r="M561" s="10" t="n">
        <f aca="false">IF(COUNT(B502:B561)&lt;60,"",(B561-AVERAGE(B502:B561))/STDEV(B502:B561))</f>
        <v>-0.707587709132701</v>
      </c>
      <c r="N561" s="10" t="n">
        <f aca="false">(H561-AVERAGE(H502:H561))/STDEV(H502:H561)</f>
        <v>-0.822391112851475</v>
      </c>
      <c r="O561" s="10" t="n">
        <f aca="false">IF(COUNT(B561)=0,"",B561-('Signal Analysis'!$C$6+'Signal Analysis'!$C$5*H561))</f>
        <v>-1.68039809835894</v>
      </c>
    </row>
    <row r="562" customFormat="false" ht="15" hidden="false" customHeight="false" outlineLevel="0" collapsed="false">
      <c r="A562" s="8" t="n">
        <v>43139</v>
      </c>
      <c r="B562" s="9" t="n">
        <v>16.838710056</v>
      </c>
      <c r="C562" s="9" t="n">
        <v>149.990005</v>
      </c>
      <c r="D562" s="9" t="n">
        <v>150</v>
      </c>
      <c r="E562" s="9" t="n">
        <v>145.440002</v>
      </c>
      <c r="F562" s="9" t="n">
        <v>145.440002</v>
      </c>
      <c r="G562" s="9" t="n">
        <v>140.254715</v>
      </c>
      <c r="H562" s="9" t="n">
        <v>140.254715</v>
      </c>
      <c r="I562" s="2" t="str">
        <f aca="false">IF(COUNT(C562:F562)&lt;4,"",IF(OR(D562&lt;MAX(C562,F562)-0.000001,E562&gt;MIN(C562,F562)+0.000001),"FAIL","OK"))</f>
        <v>OK</v>
      </c>
      <c r="J562" s="10" t="n">
        <f aca="false">IF(COUNT(F562,G562)&lt;2,"",G562/F562)</f>
        <v>0.964347587123933</v>
      </c>
      <c r="K562" s="10" t="n">
        <f aca="false">H562/H561-1</f>
        <v>-0.0293645787753787</v>
      </c>
      <c r="L562" s="10" t="n">
        <f aca="false">H567/H562-1</f>
        <v>0.0506050367005486</v>
      </c>
      <c r="M562" s="10" t="n">
        <f aca="false">IF(COUNT(B503:B562)&lt;60,"",(B562-AVERAGE(B503:B562))/STDEV(B503:B562))</f>
        <v>-0.470805716449736</v>
      </c>
      <c r="N562" s="10" t="n">
        <f aca="false">(H562-AVERAGE(H503:H562))/STDEV(H503:H562)</f>
        <v>-1.96963698527056</v>
      </c>
      <c r="O562" s="10" t="n">
        <f aca="false">IF(COUNT(B562)=0,"",B562-('Signal Analysis'!$C$6+'Signal Analysis'!$C$5*H562))</f>
        <v>-0.549322964020792</v>
      </c>
    </row>
    <row r="563" customFormat="false" ht="15" hidden="false" customHeight="false" outlineLevel="0" collapsed="false">
      <c r="A563" s="8" t="n">
        <v>43140</v>
      </c>
      <c r="B563" s="9" t="n">
        <v>18.0160786344</v>
      </c>
      <c r="C563" s="9" t="n">
        <v>146.759995</v>
      </c>
      <c r="D563" s="9" t="n">
        <v>147.940002</v>
      </c>
      <c r="E563" s="9" t="n">
        <v>142.5</v>
      </c>
      <c r="F563" s="9" t="n">
        <v>146.770004</v>
      </c>
      <c r="G563" s="9" t="n">
        <v>141.537308</v>
      </c>
      <c r="H563" s="9" t="n">
        <v>141.537308</v>
      </c>
      <c r="I563" s="2" t="str">
        <f aca="false">IF(COUNT(C563:F563)&lt;4,"",IF(OR(D563&lt;MAX(C563,F563)-0.000001,E563&gt;MIN(C563,F563)+0.000001),"FAIL","OK"))</f>
        <v>OK</v>
      </c>
      <c r="J563" s="10" t="n">
        <f aca="false">IF(COUNT(F563,G563)&lt;2,"",G563/F563)</f>
        <v>0.964347646948351</v>
      </c>
      <c r="K563" s="10" t="n">
        <f aca="false">H563/H562-1</f>
        <v>0.00914474069552673</v>
      </c>
      <c r="L563" s="10" t="n">
        <f aca="false">H568/H563-1</f>
        <v>0.0447638441731562</v>
      </c>
      <c r="M563" s="10" t="n">
        <f aca="false">IF(COUNT(B504:B563)&lt;60,"",(B563-AVERAGE(B504:B563))/STDEV(B504:B563))</f>
        <v>0.496540553389155</v>
      </c>
      <c r="N563" s="10" t="n">
        <f aca="false">(H563-AVERAGE(H504:H563))/STDEV(H504:H563)</f>
        <v>-1.63290724855213</v>
      </c>
      <c r="O563" s="10" t="n">
        <f aca="false">IF(COUNT(B563)=0,"",B563-('Signal Analysis'!$C$6+'Signal Analysis'!$C$5*H563))</f>
        <v>0.45259660412778</v>
      </c>
    </row>
    <row r="564" customFormat="false" ht="15" hidden="false" customHeight="false" outlineLevel="0" collapsed="false">
      <c r="A564" s="8" t="n">
        <v>43143</v>
      </c>
      <c r="B564" s="9" t="n">
        <v>18.035922744</v>
      </c>
      <c r="C564" s="9" t="n">
        <v>146.919998</v>
      </c>
      <c r="D564" s="9" t="n">
        <v>148.919998</v>
      </c>
      <c r="E564" s="9" t="n">
        <v>145.479996</v>
      </c>
      <c r="F564" s="9" t="n">
        <v>148.160004</v>
      </c>
      <c r="G564" s="9" t="n">
        <v>142.877731</v>
      </c>
      <c r="H564" s="9" t="n">
        <v>142.877731</v>
      </c>
      <c r="I564" s="2" t="str">
        <f aca="false">IF(COUNT(C564:F564)&lt;4,"",IF(OR(D564&lt;MAX(C564,F564)-0.000001,E564&gt;MIN(C564,F564)+0.000001),"FAIL","OK"))</f>
        <v>OK</v>
      </c>
      <c r="J564" s="10" t="n">
        <f aca="false">IF(COUNT(F564,G564)&lt;2,"",G564/F564)</f>
        <v>0.964347510411785</v>
      </c>
      <c r="K564" s="10" t="n">
        <f aca="false">H564/H563-1</f>
        <v>0.00947045707552952</v>
      </c>
      <c r="L564" s="10" t="n">
        <f aca="false">H569/H564-1</f>
        <v>0.0264577829836896</v>
      </c>
      <c r="M564" s="10" t="n">
        <f aca="false">IF(COUNT(B505:B564)&lt;60,"",(B564-AVERAGE(B505:B564))/STDEV(B505:B564))</f>
        <v>0.510675966838678</v>
      </c>
      <c r="N564" s="10" t="n">
        <f aca="false">(H564-AVERAGE(H505:H564))/STDEV(H505:H564)</f>
        <v>-1.30092984784632</v>
      </c>
      <c r="O564" s="10" t="n">
        <f aca="false">IF(COUNT(B564)=0,"",B564-('Signal Analysis'!$C$6+'Signal Analysis'!$C$5*H564))</f>
        <v>0.289080997381092</v>
      </c>
    </row>
    <row r="565" customFormat="false" ht="15" hidden="false" customHeight="false" outlineLevel="0" collapsed="false">
      <c r="A565" s="8" t="n">
        <v>43144</v>
      </c>
      <c r="B565" s="9" t="n">
        <v>18.9869011608</v>
      </c>
      <c r="C565" s="9" t="n">
        <v>147.380005</v>
      </c>
      <c r="D565" s="9" t="n">
        <v>148.789993</v>
      </c>
      <c r="E565" s="9" t="n">
        <v>146.899994</v>
      </c>
      <c r="F565" s="9" t="n">
        <v>148.479996</v>
      </c>
      <c r="G565" s="9" t="n">
        <v>143.18631</v>
      </c>
      <c r="H565" s="9" t="n">
        <v>143.18631</v>
      </c>
      <c r="I565" s="2" t="str">
        <f aca="false">IF(COUNT(C565:F565)&lt;4,"",IF(OR(D565&lt;MAX(C565,F565)-0.000001,E565&gt;MIN(C565,F565)+0.000001),"FAIL","OK"))</f>
        <v>OK</v>
      </c>
      <c r="J565" s="10" t="n">
        <f aca="false">IF(COUNT(F565,G565)&lt;2,"",G565/F565)</f>
        <v>0.964347480181775</v>
      </c>
      <c r="K565" s="10" t="n">
        <f aca="false">H565/H564-1</f>
        <v>0.00215974174449896</v>
      </c>
      <c r="L565" s="10" t="n">
        <f aca="false">H570/H565-1</f>
        <v>0.0253233776329596</v>
      </c>
      <c r="M565" s="10" t="n">
        <f aca="false">IF(COUNT(B506:B565)&lt;60,"",(B565-AVERAGE(B506:B565))/STDEV(B506:B565))</f>
        <v>1.81668408619927</v>
      </c>
      <c r="N565" s="10" t="n">
        <f aca="false">(H565-AVERAGE(H506:H565))/STDEV(H506:H565)</f>
        <v>-1.26348523032726</v>
      </c>
      <c r="O565" s="10" t="n">
        <f aca="false">IF(COUNT(B565)=0,"",B565-('Signal Analysis'!$C$6+'Signal Analysis'!$C$5*H565))</f>
        <v>1.19784814362654</v>
      </c>
    </row>
    <row r="566" customFormat="false" ht="15" hidden="false" customHeight="false" outlineLevel="0" collapsed="false">
      <c r="A566" s="8" t="n">
        <v>43145</v>
      </c>
      <c r="B566" s="9" t="n">
        <v>18.5315812032</v>
      </c>
      <c r="C566" s="9" t="n">
        <v>147.630005</v>
      </c>
      <c r="D566" s="9" t="n">
        <v>151.520004</v>
      </c>
      <c r="E566" s="9" t="n">
        <v>147.179993</v>
      </c>
      <c r="F566" s="9" t="n">
        <v>151.149994</v>
      </c>
      <c r="G566" s="9" t="n">
        <v>145.761154</v>
      </c>
      <c r="H566" s="9" t="n">
        <v>145.761154</v>
      </c>
      <c r="I566" s="2" t="str">
        <f aca="false">IF(COUNT(C566:F566)&lt;4,"",IF(OR(D566&lt;MAX(C566,F566)-0.000001,E566&gt;MIN(C566,F566)+0.000001),"FAIL","OK"))</f>
        <v>OK</v>
      </c>
      <c r="J566" s="10" t="n">
        <f aca="false">IF(COUNT(F566,G566)&lt;2,"",G566/F566)</f>
        <v>0.964347732623794</v>
      </c>
      <c r="K566" s="10" t="n">
        <f aca="false">H566/H565-1</f>
        <v>0.01798247332444</v>
      </c>
      <c r="L566" s="10" t="n">
        <f aca="false">H571/H566-1</f>
        <v>0.00562328835568904</v>
      </c>
      <c r="M566" s="10" t="n">
        <f aca="false">IF(COUNT(B507:B566)&lt;60,"",(B566-AVERAGE(B507:B566))/STDEV(B507:B566))</f>
        <v>1.15280298015006</v>
      </c>
      <c r="N566" s="10" t="n">
        <f aca="false">(H566-AVERAGE(H507:H566))/STDEV(H507:H566)</f>
        <v>-0.556426445721662</v>
      </c>
      <c r="O566" s="10" t="n">
        <f aca="false">IF(COUNT(B566)=0,"",B566-('Signal Analysis'!$C$6+'Signal Analysis'!$C$5*H566))</f>
        <v>0.390309024256727</v>
      </c>
    </row>
    <row r="567" customFormat="false" ht="15" hidden="false" customHeight="false" outlineLevel="0" collapsed="false">
      <c r="A567" s="8" t="n">
        <v>43146</v>
      </c>
      <c r="B567" s="9" t="n">
        <v>17.93570796</v>
      </c>
      <c r="C567" s="9" t="n">
        <v>152.220001</v>
      </c>
      <c r="D567" s="9" t="n">
        <v>152.869995</v>
      </c>
      <c r="E567" s="9" t="n">
        <v>150.559998</v>
      </c>
      <c r="F567" s="9" t="n">
        <v>152.800003</v>
      </c>
      <c r="G567" s="9" t="n">
        <v>147.35231</v>
      </c>
      <c r="H567" s="9" t="n">
        <v>147.35231</v>
      </c>
      <c r="I567" s="2" t="str">
        <f aca="false">IF(COUNT(C567:F567)&lt;4,"",IF(OR(D567&lt;MAX(C567,F567)-0.000001,E567&gt;MIN(C567,F567)+0.000001),"FAIL","OK"))</f>
        <v>OK</v>
      </c>
      <c r="J567" s="10" t="n">
        <f aca="false">IF(COUNT(F567,G567)&lt;2,"",G567/F567)</f>
        <v>0.964347559600506</v>
      </c>
      <c r="K567" s="10" t="n">
        <f aca="false">H567/H566-1</f>
        <v>0.0109161869012095</v>
      </c>
      <c r="L567" s="10" t="n">
        <f aca="false">H572/H567-1</f>
        <v>0.00772247140204319</v>
      </c>
      <c r="M567" s="10" t="n">
        <f aca="false">IF(COUNT(B508:B567)&lt;60,"",(B567-AVERAGE(B508:B567))/STDEV(B508:B567))</f>
        <v>0.321327124354315</v>
      </c>
      <c r="N567" s="10" t="n">
        <f aca="false">(H567-AVERAGE(H508:H567))/STDEV(H508:H567)</f>
        <v>-0.117325908245394</v>
      </c>
      <c r="O567" s="10" t="n">
        <f aca="false">IF(COUNT(B567)=0,"",B567-('Signal Analysis'!$C$6+'Signal Analysis'!$C$5*H567))</f>
        <v>-0.423222311070408</v>
      </c>
    </row>
    <row r="568" customFormat="false" ht="15" hidden="false" customHeight="false" outlineLevel="0" collapsed="false">
      <c r="A568" s="8" t="n">
        <v>43147</v>
      </c>
      <c r="B568" s="9" t="n">
        <v>18.915079722</v>
      </c>
      <c r="C568" s="9" t="n">
        <v>152.610001</v>
      </c>
      <c r="D568" s="9" t="n">
        <v>154.289993</v>
      </c>
      <c r="E568" s="9" t="n">
        <v>152.539993</v>
      </c>
      <c r="F568" s="9" t="n">
        <v>153.339996</v>
      </c>
      <c r="G568" s="9" t="n">
        <v>147.873062</v>
      </c>
      <c r="H568" s="9" t="n">
        <v>147.873062</v>
      </c>
      <c r="I568" s="2" t="str">
        <f aca="false">IF(COUNT(C568:F568)&lt;4,"",IF(OR(D568&lt;MAX(C568,F568)-0.000001,E568&gt;MIN(C568,F568)+0.000001),"FAIL","OK"))</f>
        <v>OK</v>
      </c>
      <c r="J568" s="10" t="n">
        <f aca="false">IF(COUNT(F568,G568)&lt;2,"",G568/F568)</f>
        <v>0.9643476317816</v>
      </c>
      <c r="K568" s="10" t="n">
        <f aca="false">H568/H567-1</f>
        <v>0.00353406064689454</v>
      </c>
      <c r="L568" s="10" t="n">
        <f aca="false">H573/H568-1</f>
        <v>0.0107603844708375</v>
      </c>
      <c r="M568" s="10" t="n">
        <f aca="false">IF(COUNT(B509:B568)&lt;60,"",(B568-AVERAGE(B509:B568))/STDEV(B509:B568))</f>
        <v>1.62558843026469</v>
      </c>
      <c r="N568" s="10" t="n">
        <f aca="false">(H568-AVERAGE(H509:H568))/STDEV(H509:H568)</f>
        <v>0.0168571086464163</v>
      </c>
      <c r="O568" s="10" t="n">
        <f aca="false">IF(COUNT(B568)=0,"",B568-('Signal Analysis'!$C$6+'Signal Analysis'!$C$5*H568))</f>
        <v>0.484914520607621</v>
      </c>
    </row>
    <row r="569" customFormat="false" ht="15" hidden="false" customHeight="false" outlineLevel="0" collapsed="false">
      <c r="A569" s="8" t="n">
        <v>43151</v>
      </c>
      <c r="B569" s="9" t="n">
        <v>18.26869842</v>
      </c>
      <c r="C569" s="9" t="n">
        <v>152.550003</v>
      </c>
      <c r="D569" s="9" t="n">
        <v>153.770004</v>
      </c>
      <c r="E569" s="9" t="n">
        <v>151.669998</v>
      </c>
      <c r="F569" s="9" t="n">
        <v>152.080002</v>
      </c>
      <c r="G569" s="9" t="n">
        <v>146.657959</v>
      </c>
      <c r="H569" s="9" t="n">
        <v>146.657959</v>
      </c>
      <c r="I569" s="2" t="str">
        <f aca="false">IF(COUNT(C569:F569)&lt;4,"",IF(OR(D569&lt;MAX(C569,F569)-0.000001,E569&gt;MIN(C569,F569)+0.000001),"FAIL","OK"))</f>
        <v>OK</v>
      </c>
      <c r="J569" s="10" t="n">
        <f aca="false">IF(COUNT(F569,G569)&lt;2,"",G569/F569)</f>
        <v>0.964347429453611</v>
      </c>
      <c r="K569" s="10" t="n">
        <f aca="false">H569/H568-1</f>
        <v>-0.00821720321176556</v>
      </c>
      <c r="L569" s="10" t="n">
        <f aca="false">H574/H569-1</f>
        <v>0.00447126091533834</v>
      </c>
      <c r="M569" s="10" t="n">
        <f aca="false">IF(COUNT(B510:B569)&lt;60,"",(B569-AVERAGE(B510:B569))/STDEV(B510:B569))</f>
        <v>0.710600026446942</v>
      </c>
      <c r="N569" s="10" t="n">
        <f aca="false">(H569-AVERAGE(H510:H569))/STDEV(H510:H569)</f>
        <v>-0.358384907227944</v>
      </c>
      <c r="O569" s="10" t="n">
        <f aca="false">IF(COUNT(B569)=0,"",B569-('Signal Analysis'!$C$6+'Signal Analysis'!$C$5*H569))</f>
        <v>0.00475010791197406</v>
      </c>
    </row>
    <row r="570" customFormat="false" ht="15" hidden="false" customHeight="false" outlineLevel="0" collapsed="false">
      <c r="A570" s="8" t="n">
        <v>43152</v>
      </c>
      <c r="B570" s="9" t="n">
        <v>18.0465663456</v>
      </c>
      <c r="C570" s="9" t="n">
        <v>152.419998</v>
      </c>
      <c r="D570" s="9" t="n">
        <v>154.809998</v>
      </c>
      <c r="E570" s="9" t="n">
        <v>152.009995</v>
      </c>
      <c r="F570" s="9" t="n">
        <v>152.240005</v>
      </c>
      <c r="G570" s="9" t="n">
        <v>146.812271</v>
      </c>
      <c r="H570" s="9" t="n">
        <v>146.812271</v>
      </c>
      <c r="I570" s="2" t="str">
        <f aca="false">IF(COUNT(C570:F570)&lt;4,"",IF(OR(D570&lt;MAX(C570,F570)-0.000001,E570&gt;MIN(C570,F570)+0.000001),"FAIL","OK"))</f>
        <v>OK</v>
      </c>
      <c r="J570" s="10" t="n">
        <f aca="false">IF(COUNT(F570,G570)&lt;2,"",G570/F570)</f>
        <v>0.964347518249228</v>
      </c>
      <c r="K570" s="10" t="n">
        <f aca="false">H570/H569-1</f>
        <v>0.00105218974171062</v>
      </c>
      <c r="L570" s="10" t="n">
        <f aca="false">H575/H570-1</f>
        <v>-0.0124145004200638</v>
      </c>
      <c r="M570" s="10" t="n">
        <f aca="false">IF(COUNT(B511:B570)&lt;60,"",(B570-AVERAGE(B511:B570))/STDEV(B511:B570))</f>
        <v>0.41810754217727</v>
      </c>
      <c r="N570" s="10" t="n">
        <f aca="false">(H570-AVERAGE(H511:H570))/STDEV(H511:H570)</f>
        <v>-0.322856108269745</v>
      </c>
      <c r="O570" s="10" t="n">
        <f aca="false">IF(COUNT(B570)=0,"",B570-('Signal Analysis'!$C$6+'Signal Analysis'!$C$5*H570))</f>
        <v>-0.238490679594928</v>
      </c>
    </row>
    <row r="571" customFormat="false" ht="15" hidden="false" customHeight="false" outlineLevel="0" collapsed="false">
      <c r="A571" s="8" t="n">
        <v>43153</v>
      </c>
      <c r="B571" s="9" t="n">
        <v>19.040620104</v>
      </c>
      <c r="C571" s="9" t="n">
        <v>152.809998</v>
      </c>
      <c r="D571" s="9" t="n">
        <v>154.029999</v>
      </c>
      <c r="E571" s="9" t="n">
        <v>151.910004</v>
      </c>
      <c r="F571" s="9" t="n">
        <v>152</v>
      </c>
      <c r="G571" s="9" t="n">
        <v>146.580811</v>
      </c>
      <c r="H571" s="9" t="n">
        <v>146.580811</v>
      </c>
      <c r="I571" s="2" t="str">
        <f aca="false">IF(COUNT(C571:F571)&lt;4,"",IF(OR(D571&lt;MAX(C571,F571)-0.000001,E571&gt;MIN(C571,F571)+0.000001),"FAIL","OK"))</f>
        <v>OK</v>
      </c>
      <c r="J571" s="10" t="n">
        <f aca="false">IF(COUNT(F571,G571)&lt;2,"",G571/F571)</f>
        <v>0.964347440789474</v>
      </c>
      <c r="K571" s="10" t="n">
        <f aca="false">H571/H570-1</f>
        <v>-0.00157657121181642</v>
      </c>
      <c r="L571" s="10" t="n">
        <f aca="false">H576/H571-1</f>
        <v>-0.0134868540193848</v>
      </c>
      <c r="M571" s="10" t="n">
        <f aca="false">IF(COUNT(B512:B571)&lt;60,"",(B571-AVERAGE(B512:B571))/STDEV(B512:B571))</f>
        <v>1.73935063701848</v>
      </c>
      <c r="N571" s="10" t="n">
        <f aca="false">(H571-AVERAGE(H512:H571))/STDEV(H512:H571)</f>
        <v>-0.403296141544028</v>
      </c>
      <c r="O571" s="10" t="n">
        <f aca="false">IF(COUNT(B571)=0,"",B571-('Signal Analysis'!$C$6+'Signal Analysis'!$C$5*H571))</f>
        <v>0.787225054125997</v>
      </c>
    </row>
    <row r="572" customFormat="false" ht="15" hidden="false" customHeight="false" outlineLevel="0" collapsed="false">
      <c r="A572" s="8" t="n">
        <v>43154</v>
      </c>
      <c r="B572" s="9" t="n">
        <v>18.676966014</v>
      </c>
      <c r="C572" s="9" t="n">
        <v>152.979996</v>
      </c>
      <c r="D572" s="9" t="n">
        <v>154.020004</v>
      </c>
      <c r="E572" s="9" t="n">
        <v>152.149994</v>
      </c>
      <c r="F572" s="9" t="n">
        <v>153.979996</v>
      </c>
      <c r="G572" s="9" t="n">
        <v>148.490234</v>
      </c>
      <c r="H572" s="9" t="n">
        <v>148.490234</v>
      </c>
      <c r="I572" s="2" t="str">
        <f aca="false">IF(COUNT(C572:F572)&lt;4,"",IF(OR(D572&lt;MAX(C572,F572)-0.000001,E572&gt;MIN(C572,F572)+0.000001),"FAIL","OK"))</f>
        <v>OK</v>
      </c>
      <c r="J572" s="10" t="n">
        <f aca="false">IF(COUNT(F572,G572)&lt;2,"",G572/F572)</f>
        <v>0.964347563692624</v>
      </c>
      <c r="K572" s="10" t="n">
        <f aca="false">H572/H571-1</f>
        <v>0.0130264185808058</v>
      </c>
      <c r="L572" s="10" t="n">
        <f aca="false">H577/H572-1</f>
        <v>-0.0105856725904276</v>
      </c>
      <c r="M572" s="10" t="n">
        <f aca="false">IF(COUNT(B513:B572)&lt;60,"",(B572-AVERAGE(B513:B572))/STDEV(B513:B572))</f>
        <v>1.20299168880309</v>
      </c>
      <c r="N572" s="10" t="n">
        <f aca="false">(H572-AVERAGE(H513:H572))/STDEV(H513:H572)</f>
        <v>0.162313750549252</v>
      </c>
      <c r="O572" s="10" t="n">
        <f aca="false">IF(COUNT(B572)=0,"",B572-('Signal Analysis'!$C$6+'Signal Analysis'!$C$5*H572))</f>
        <v>0.162376356404529</v>
      </c>
    </row>
    <row r="573" customFormat="false" ht="15" hidden="false" customHeight="false" outlineLevel="0" collapsed="false">
      <c r="A573" s="8" t="n">
        <v>43157</v>
      </c>
      <c r="B573" s="9" t="n">
        <v>18.5190750144</v>
      </c>
      <c r="C573" s="9" t="n">
        <v>154.529999</v>
      </c>
      <c r="D573" s="9" t="n">
        <v>155.259995</v>
      </c>
      <c r="E573" s="9" t="n">
        <v>153.470001</v>
      </c>
      <c r="F573" s="9" t="n">
        <v>154.990005</v>
      </c>
      <c r="G573" s="9" t="n">
        <v>149.464233</v>
      </c>
      <c r="H573" s="9" t="n">
        <v>149.464233</v>
      </c>
      <c r="I573" s="2" t="str">
        <f aca="false">IF(COUNT(C573:F573)&lt;4,"",IF(OR(D573&lt;MAX(C573,F573)-0.000001,E573&gt;MIN(C573,F573)+0.000001),"FAIL","OK"))</f>
        <v>OK</v>
      </c>
      <c r="J573" s="10" t="n">
        <f aca="false">IF(COUNT(F573,G573)&lt;2,"",G573/F573)</f>
        <v>0.964347559057115</v>
      </c>
      <c r="K573" s="10" t="n">
        <f aca="false">H573/H572-1</f>
        <v>0.00655934719585671</v>
      </c>
      <c r="L573" s="10" t="n">
        <f aca="false">H578/H573-1</f>
        <v>-0.00825845739294717</v>
      </c>
      <c r="M573" s="10" t="n">
        <f aca="false">IF(COUNT(B514:B573)&lt;60,"",(B573-AVERAGE(B514:B573))/STDEV(B514:B573))</f>
        <v>0.962989813060406</v>
      </c>
      <c r="N573" s="10" t="n">
        <f aca="false">(H573-AVERAGE(H514:H573))/STDEV(H514:H573)</f>
        <v>0.449154416638398</v>
      </c>
      <c r="O573" s="10" t="n">
        <f aca="false">IF(COUNT(B573)=0,"",B573-('Signal Analysis'!$C$6+'Signal Analysis'!$C$5*H573))</f>
        <v>-0.128750331005936</v>
      </c>
    </row>
    <row r="574" customFormat="false" ht="15" hidden="false" customHeight="false" outlineLevel="0" collapsed="false">
      <c r="A574" s="8" t="n">
        <v>43158</v>
      </c>
      <c r="B574" s="9" t="n">
        <v>18.682367424</v>
      </c>
      <c r="C574" s="9" t="n">
        <v>155.179993</v>
      </c>
      <c r="D574" s="9" t="n">
        <v>155.880005</v>
      </c>
      <c r="E574" s="9" t="n">
        <v>152.75</v>
      </c>
      <c r="F574" s="9" t="n">
        <v>152.759995</v>
      </c>
      <c r="G574" s="9" t="n">
        <v>147.313705</v>
      </c>
      <c r="H574" s="9" t="n">
        <v>147.313705</v>
      </c>
      <c r="I574" s="2" t="str">
        <f aca="false">IF(COUNT(C574:F574)&lt;4,"",IF(OR(D574&lt;MAX(C574,F574)-0.000001,E574&gt;MIN(C574,F574)+0.000001),"FAIL","OK"))</f>
        <v>OK</v>
      </c>
      <c r="J574" s="10" t="n">
        <f aca="false">IF(COUNT(F574,G574)&lt;2,"",G574/F574)</f>
        <v>0.964347406531402</v>
      </c>
      <c r="K574" s="10" t="n">
        <f aca="false">H574/H573-1</f>
        <v>-0.0143882449789844</v>
      </c>
      <c r="L574" s="10" t="n">
        <f aca="false">H579/H574-1</f>
        <v>0.0170859798821841</v>
      </c>
      <c r="M574" s="10" t="n">
        <f aca="false">IF(COUNT(B515:B574)&lt;60,"",(B574-AVERAGE(B515:B574))/STDEV(B515:B574))</f>
        <v>1.14584383941869</v>
      </c>
      <c r="N574" s="10" t="n">
        <f aca="false">(H574-AVERAGE(H515:H574))/STDEV(H515:H574)</f>
        <v>-0.213897185323955</v>
      </c>
      <c r="O574" s="10" t="n">
        <f aca="false">IF(COUNT(B574)=0,"",B574-('Signal Analysis'!$C$6+'Signal Analysis'!$C$5*H574))</f>
        <v>0.328718024601866</v>
      </c>
    </row>
    <row r="575" customFormat="false" ht="15" hidden="false" customHeight="false" outlineLevel="0" collapsed="false">
      <c r="A575" s="8" t="n">
        <v>43159</v>
      </c>
      <c r="B575" s="9" t="n">
        <v>18.6442271832</v>
      </c>
      <c r="C575" s="9" t="n">
        <v>153.139999</v>
      </c>
      <c r="D575" s="9" t="n">
        <v>153.600006</v>
      </c>
      <c r="E575" s="9" t="n">
        <v>150.309998</v>
      </c>
      <c r="F575" s="9" t="n">
        <v>150.350006</v>
      </c>
      <c r="G575" s="9" t="n">
        <v>144.98967</v>
      </c>
      <c r="H575" s="9" t="n">
        <v>144.98967</v>
      </c>
      <c r="I575" s="2" t="str">
        <f aca="false">IF(COUNT(C575:F575)&lt;4,"",IF(OR(D575&lt;MAX(C575,F575)-0.000001,E575&gt;MIN(C575,F575)+0.000001),"FAIL","OK"))</f>
        <v>OK</v>
      </c>
      <c r="J575" s="10" t="n">
        <f aca="false">IF(COUNT(F575,G575)&lt;2,"",G575/F575)</f>
        <v>0.96434761698646</v>
      </c>
      <c r="K575" s="10" t="n">
        <f aca="false">H575/H574-1</f>
        <v>-0.0157760949668601</v>
      </c>
      <c r="L575" s="10" t="n">
        <f aca="false">H580/H575-1</f>
        <v>0.0425007519501217</v>
      </c>
      <c r="M575" s="10" t="n">
        <f aca="false">IF(COUNT(B516:B575)&lt;60,"",(B575-AVERAGE(B516:B575))/STDEV(B516:B575))</f>
        <v>1.06771014153689</v>
      </c>
      <c r="N575" s="10" t="n">
        <f aca="false">(H575-AVERAGE(H516:H575))/STDEV(H516:H575)</f>
        <v>-0.910651339795864</v>
      </c>
      <c r="O575" s="10" t="n">
        <f aca="false">IF(COUNT(B575)=0,"",B575-('Signal Analysis'!$C$6+'Signal Analysis'!$C$5*H575))</f>
        <v>0.608488173566727</v>
      </c>
    </row>
    <row r="576" customFormat="false" ht="15" hidden="false" customHeight="false" outlineLevel="0" collapsed="false">
      <c r="A576" s="8" t="n">
        <v>43160</v>
      </c>
      <c r="B576" s="9" t="n">
        <v>18.758302452</v>
      </c>
      <c r="C576" s="9" t="n">
        <v>150.050003</v>
      </c>
      <c r="D576" s="9" t="n">
        <v>151.570007</v>
      </c>
      <c r="E576" s="9" t="n">
        <v>148.380005</v>
      </c>
      <c r="F576" s="9" t="n">
        <v>149.949997</v>
      </c>
      <c r="G576" s="9" t="n">
        <v>144.603897</v>
      </c>
      <c r="H576" s="9" t="n">
        <v>144.603897</v>
      </c>
      <c r="I576" s="2" t="str">
        <f aca="false">IF(COUNT(C576:F576)&lt;4,"",IF(OR(D576&lt;MAX(C576,F576)-0.000001,E576&gt;MIN(C576,F576)+0.000001),"FAIL","OK"))</f>
        <v>OK</v>
      </c>
      <c r="J576" s="10" t="n">
        <f aca="false">IF(COUNT(F576,G576)&lt;2,"",G576/F576)</f>
        <v>0.964347448436428</v>
      </c>
      <c r="K576" s="10" t="n">
        <f aca="false">H576/H575-1</f>
        <v>-0.00266069299971505</v>
      </c>
      <c r="L576" s="10" t="n">
        <f aca="false">H581/H576-1</f>
        <v>0.0431479726995188</v>
      </c>
      <c r="M576" s="10" t="n">
        <f aca="false">IF(COUNT(B517:B576)&lt;60,"",(B576-AVERAGE(B517:B576))/STDEV(B517:B576))</f>
        <v>1.17862098113121</v>
      </c>
      <c r="N576" s="10" t="n">
        <f aca="false">(H576-AVERAGE(H517:H576))/STDEV(H517:H576)</f>
        <v>-1.00831239283223</v>
      </c>
      <c r="O576" s="10" t="n">
        <f aca="false">IF(COUNT(B576)=0,"",B576-('Signal Analysis'!$C$6+'Signal Analysis'!$C$5*H576))</f>
        <v>0.775334267586977</v>
      </c>
    </row>
    <row r="577" customFormat="false" ht="15" hidden="false" customHeight="false" outlineLevel="0" collapsed="false">
      <c r="A577" s="8" t="n">
        <v>43161</v>
      </c>
      <c r="B577" s="9" t="n">
        <v>20.265182388</v>
      </c>
      <c r="C577" s="9" t="n">
        <v>148.710007</v>
      </c>
      <c r="D577" s="9" t="n">
        <v>152.75</v>
      </c>
      <c r="E577" s="9" t="n">
        <v>148.399994</v>
      </c>
      <c r="F577" s="9" t="n">
        <v>152.350006</v>
      </c>
      <c r="G577" s="9" t="n">
        <v>146.918365</v>
      </c>
      <c r="H577" s="9" t="n">
        <v>146.918365</v>
      </c>
      <c r="I577" s="2" t="str">
        <f aca="false">IF(COUNT(C577:F577)&lt;4,"",IF(OR(D577&lt;MAX(C577,F577)-0.000001,E577&gt;MIN(C577,F577)+0.000001),"FAIL","OK"))</f>
        <v>OK</v>
      </c>
      <c r="J577" s="10" t="n">
        <f aca="false">IF(COUNT(F577,G577)&lt;2,"",G577/F577)</f>
        <v>0.964347615450701</v>
      </c>
      <c r="K577" s="10" t="n">
        <f aca="false">H577/H576-1</f>
        <v>0.0160055714127816</v>
      </c>
      <c r="L577" s="10" t="n">
        <f aca="false">H582/H577-1</f>
        <v>0.0431242207194453</v>
      </c>
      <c r="M577" s="10" t="n">
        <f aca="false">IF(COUNT(B518:B577)&lt;60,"",(B577-AVERAGE(B518:B577))/STDEV(B518:B577))</f>
        <v>2.91659008339094</v>
      </c>
      <c r="N577" s="10" t="n">
        <f aca="false">(H577-AVERAGE(H518:H577))/STDEV(H518:H577)</f>
        <v>-0.307906613475513</v>
      </c>
      <c r="O577" s="10" t="n">
        <f aca="false">IF(COUNT(B577)=0,"",B577-('Signal Analysis'!$C$6+'Signal Analysis'!$C$5*H577))</f>
        <v>1.96561250697815</v>
      </c>
    </row>
    <row r="578" customFormat="false" ht="15" hidden="false" customHeight="false" outlineLevel="0" collapsed="false">
      <c r="A578" s="8" t="n">
        <v>43164</v>
      </c>
      <c r="B578" s="9" t="n">
        <v>19.0707523968</v>
      </c>
      <c r="C578" s="9" t="n">
        <v>151.820007</v>
      </c>
      <c r="D578" s="9" t="n">
        <v>154.259995</v>
      </c>
      <c r="E578" s="9" t="n">
        <v>151.470001</v>
      </c>
      <c r="F578" s="9" t="n">
        <v>153.710007</v>
      </c>
      <c r="G578" s="9" t="n">
        <v>148.229889</v>
      </c>
      <c r="H578" s="9" t="n">
        <v>148.229889</v>
      </c>
      <c r="I578" s="2" t="str">
        <f aca="false">IF(COUNT(C578:F578)&lt;4,"",IF(OR(D578&lt;MAX(C578,F578)-0.000001,E578&gt;MIN(C578,F578)+0.000001),"FAIL","OK"))</f>
        <v>OK</v>
      </c>
      <c r="J578" s="10" t="n">
        <f aca="false">IF(COUNT(F578,G578)&lt;2,"",G578/F578)</f>
        <v>0.964347682321035</v>
      </c>
      <c r="K578" s="10" t="n">
        <f aca="false">H578/H577-1</f>
        <v>0.00892688943278119</v>
      </c>
      <c r="L578" s="10" t="n">
        <f aca="false">H583/H578-1</f>
        <v>0.0357162785165415</v>
      </c>
      <c r="M578" s="10" t="n">
        <f aca="false">IF(COUNT(B519:B578)&lt;60,"",(B578-AVERAGE(B519:B578))/STDEV(B519:B578))</f>
        <v>1.3744569991364</v>
      </c>
      <c r="N578" s="10" t="n">
        <f aca="false">(H578-AVERAGE(H519:H578))/STDEV(H519:H578)</f>
        <v>0.0749558565864253</v>
      </c>
      <c r="O578" s="10" t="n">
        <f aca="false">IF(COUNT(B578)=0,"",B578-('Signal Analysis'!$C$6+'Signal Analysis'!$C$5*H578))</f>
        <v>0.591775963800256</v>
      </c>
    </row>
    <row r="579" customFormat="false" ht="15" hidden="false" customHeight="false" outlineLevel="0" collapsed="false">
      <c r="A579" s="8" t="n">
        <v>43165</v>
      </c>
      <c r="B579" s="9" t="n">
        <v>18.797985954</v>
      </c>
      <c r="C579" s="9" t="n">
        <v>154.429993</v>
      </c>
      <c r="D579" s="9" t="n">
        <v>155.389999</v>
      </c>
      <c r="E579" s="9" t="n">
        <v>152.800003</v>
      </c>
      <c r="F579" s="9" t="n">
        <v>155.369995</v>
      </c>
      <c r="G579" s="9" t="n">
        <v>149.830704</v>
      </c>
      <c r="H579" s="9" t="n">
        <v>149.830704</v>
      </c>
      <c r="I579" s="2" t="str">
        <f aca="false">IF(COUNT(C579:F579)&lt;4,"",IF(OR(D579&lt;MAX(C579,F579)-0.000001,E579&gt;MIN(C579,F579)+0.000001),"FAIL","OK"))</f>
        <v>OK</v>
      </c>
      <c r="J579" s="10" t="n">
        <f aca="false">IF(COUNT(F579,G579)&lt;2,"",G579/F579)</f>
        <v>0.964347742947408</v>
      </c>
      <c r="K579" s="10" t="n">
        <f aca="false">H579/H578-1</f>
        <v>0.010799542594274</v>
      </c>
      <c r="L579" s="10" t="n">
        <f aca="false">H584/H579-1</f>
        <v>0.0198878595671552</v>
      </c>
      <c r="M579" s="10" t="n">
        <f aca="false">IF(COUNT(B520:B579)&lt;60,"",(B579-AVERAGE(B520:B579))/STDEV(B520:B579))</f>
        <v>1.02062018160317</v>
      </c>
      <c r="N579" s="10" t="n">
        <f aca="false">(H579-AVERAGE(H520:H579))/STDEV(H520:H579)</f>
        <v>0.541393182932977</v>
      </c>
      <c r="O579" s="10" t="n">
        <f aca="false">IF(COUNT(B579)=0,"",B579-('Signal Analysis'!$C$6+'Signal Analysis'!$C$5*H579))</f>
        <v>0.100030150813737</v>
      </c>
    </row>
    <row r="580" customFormat="false" ht="15" hidden="false" customHeight="false" outlineLevel="0" collapsed="false">
      <c r="A580" s="8" t="n">
        <v>43166</v>
      </c>
      <c r="B580" s="9" t="n">
        <v>18.8854110432</v>
      </c>
      <c r="C580" s="9" t="n">
        <v>154.460007</v>
      </c>
      <c r="D580" s="9" t="n">
        <v>156.929993</v>
      </c>
      <c r="E580" s="11" t="n">
        <v>154.460007</v>
      </c>
      <c r="F580" s="9" t="n">
        <v>156.740005</v>
      </c>
      <c r="G580" s="9" t="n">
        <v>151.15184</v>
      </c>
      <c r="H580" s="9" t="n">
        <v>151.15184</v>
      </c>
      <c r="I580" s="2" t="str">
        <f aca="false">IF(COUNT(C580:F580)&lt;4,"",IF(OR(D580&lt;MAX(C580,F580)-0.000001,E580&gt;MIN(C580,F580)+0.000001),"FAIL","OK"))</f>
        <v>OK</v>
      </c>
      <c r="J580" s="10" t="n">
        <f aca="false">IF(COUNT(F580,G580)&lt;2,"",G580/F580)</f>
        <v>0.964347551220252</v>
      </c>
      <c r="K580" s="10" t="n">
        <f aca="false">H580/H579-1</f>
        <v>0.00881752514491296</v>
      </c>
      <c r="L580" s="10" t="n">
        <f aca="false">H585/H580-1</f>
        <v>0.00618864447829415</v>
      </c>
      <c r="M580" s="10" t="n">
        <f aca="false">IF(COUNT(B521:B580)&lt;60,"",(B580-AVERAGE(B521:B580))/STDEV(B521:B580))</f>
        <v>1.09166301649669</v>
      </c>
      <c r="N580" s="10" t="n">
        <f aca="false">(H580-AVERAGE(H521:H580))/STDEV(H521:H580)</f>
        <v>0.918270538405276</v>
      </c>
      <c r="O580" s="10" t="n">
        <f aca="false">IF(COUNT(B580)=0,"",B580-('Signal Analysis'!$C$6+'Signal Analysis'!$C$5*H580))</f>
        <v>0.00673383922055493</v>
      </c>
    </row>
    <row r="581" customFormat="false" ht="15" hidden="false" customHeight="false" outlineLevel="0" collapsed="false">
      <c r="A581" s="8" t="n">
        <v>43167</v>
      </c>
      <c r="B581" s="9" t="n">
        <v>19.7217558432</v>
      </c>
      <c r="C581" s="9" t="n">
        <v>156.899994</v>
      </c>
      <c r="D581" s="9" t="n">
        <v>157.470001</v>
      </c>
      <c r="E581" s="9" t="n">
        <v>155.5</v>
      </c>
      <c r="F581" s="9" t="n">
        <v>156.419998</v>
      </c>
      <c r="G581" s="9" t="n">
        <v>150.843262</v>
      </c>
      <c r="H581" s="9" t="n">
        <v>150.843262</v>
      </c>
      <c r="I581" s="2" t="str">
        <f aca="false">IF(COUNT(C581:F581)&lt;4,"",IF(OR(D581&lt;MAX(C581,F581)-0.000001,E581&gt;MIN(C581,F581)+0.000001),"FAIL","OK"))</f>
        <v>OK</v>
      </c>
      <c r="J581" s="10" t="n">
        <f aca="false">IF(COUNT(F581,G581)&lt;2,"",G581/F581)</f>
        <v>0.964347678869041</v>
      </c>
      <c r="K581" s="10" t="n">
        <f aca="false">H581/H580-1</f>
        <v>-0.00204151004711539</v>
      </c>
      <c r="L581" s="10" t="n">
        <f aca="false">H586/H581-1</f>
        <v>0.0031963442954448</v>
      </c>
      <c r="M581" s="10" t="n">
        <f aca="false">IF(COUNT(B522:B581)&lt;60,"",(B581-AVERAGE(B522:B581))/STDEV(B522:B581))</f>
        <v>2.00035780533896</v>
      </c>
      <c r="N581" s="10" t="n">
        <f aca="false">(H581-AVERAGE(H522:H581))/STDEV(H522:H581)</f>
        <v>0.795913446455148</v>
      </c>
      <c r="O581" s="10" t="n">
        <f aca="false">IF(COUNT(B581)=0,"",B581-('Signal Analysis'!$C$6+'Signal Analysis'!$C$5*H581))</f>
        <v>0.885289772982677</v>
      </c>
    </row>
    <row r="582" customFormat="false" ht="15" hidden="false" customHeight="false" outlineLevel="0" collapsed="false">
      <c r="A582" s="8" t="n">
        <v>43168</v>
      </c>
      <c r="B582" s="9" t="n">
        <v>19.1700857112</v>
      </c>
      <c r="C582" s="9" t="n">
        <v>157.309998</v>
      </c>
      <c r="D582" s="9" t="n">
        <v>159</v>
      </c>
      <c r="E582" s="9" t="n">
        <v>156.869995</v>
      </c>
      <c r="F582" s="9" t="n">
        <v>158.919998</v>
      </c>
      <c r="G582" s="9" t="n">
        <v>153.254105</v>
      </c>
      <c r="H582" s="9" t="n">
        <v>153.254105</v>
      </c>
      <c r="I582" s="2" t="str">
        <f aca="false">IF(COUNT(C582:F582)&lt;4,"",IF(OR(D582&lt;MAX(C582,F582)-0.000001,E582&gt;MIN(C582,F582)+0.000001),"FAIL","OK"))</f>
        <v>OK</v>
      </c>
      <c r="J582" s="10" t="n">
        <f aca="false">IF(COUNT(F582,G582)&lt;2,"",G582/F582)</f>
        <v>0.964347514024006</v>
      </c>
      <c r="K582" s="10" t="n">
        <f aca="false">H582/H581-1</f>
        <v>0.0159824374521946</v>
      </c>
      <c r="L582" s="10" t="n">
        <f aca="false">H587/H582-1</f>
        <v>-0.00704753063547647</v>
      </c>
      <c r="M582" s="10" t="n">
        <f aca="false">IF(COUNT(B523:B582)&lt;60,"",(B582-AVERAGE(B523:B582))/STDEV(B523:B582))</f>
        <v>1.30853465467197</v>
      </c>
      <c r="N582" s="10" t="n">
        <f aca="false">(H582-AVERAGE(H523:H582))/STDEV(H523:H582)</f>
        <v>1.48076623556704</v>
      </c>
      <c r="O582" s="10" t="n">
        <f aca="false">IF(COUNT(B582)=0,"",B582-('Signal Analysis'!$C$6+'Signal Analysis'!$C$5*H582))</f>
        <v>0.00383457415198052</v>
      </c>
    </row>
    <row r="583" customFormat="false" ht="15" hidden="false" customHeight="false" outlineLevel="0" collapsed="false">
      <c r="A583" s="8" t="n">
        <v>43171</v>
      </c>
      <c r="B583" s="9" t="n">
        <v>19.888393404</v>
      </c>
      <c r="C583" s="9" t="n">
        <v>159.25</v>
      </c>
      <c r="D583" s="9" t="n">
        <v>159.649994</v>
      </c>
      <c r="E583" s="9" t="n">
        <v>158.490005</v>
      </c>
      <c r="F583" s="9" t="n">
        <v>159.199997</v>
      </c>
      <c r="G583" s="9" t="n">
        <v>153.524109</v>
      </c>
      <c r="H583" s="9" t="n">
        <v>153.524109</v>
      </c>
      <c r="I583" s="2" t="str">
        <f aca="false">IF(COUNT(C583:F583)&lt;4,"",IF(OR(D583&lt;MAX(C583,F583)-0.000001,E583&gt;MIN(C583,F583)+0.000001),"FAIL","OK"))</f>
        <v>OK</v>
      </c>
      <c r="J583" s="10" t="n">
        <f aca="false">IF(COUNT(F583,G583)&lt;2,"",G583/F583)</f>
        <v>0.964347436514085</v>
      </c>
      <c r="K583" s="10" t="n">
        <f aca="false">H583/H582-1</f>
        <v>0.00176180598881848</v>
      </c>
      <c r="L583" s="10" t="n">
        <f aca="false">H588/H583-1</f>
        <v>-0.018341666454485</v>
      </c>
      <c r="M583" s="10" t="n">
        <f aca="false">IF(COUNT(B524:B583)&lt;60,"",(B583-AVERAGE(B524:B583))/STDEV(B524:B583))</f>
        <v>2.04072702888026</v>
      </c>
      <c r="N583" s="10" t="n">
        <f aca="false">(H583-AVERAGE(H524:H583))/STDEV(H524:H583)</f>
        <v>1.50392460282013</v>
      </c>
      <c r="O583" s="10" t="n">
        <f aca="false">IF(COUNT(B583)=0,"",B583-('Signal Analysis'!$C$6+'Signal Analysis'!$C$5*H583))</f>
        <v>0.68520776429687</v>
      </c>
    </row>
    <row r="584" customFormat="false" ht="15" hidden="false" customHeight="false" outlineLevel="0" collapsed="false">
      <c r="A584" s="8" t="n">
        <v>43172</v>
      </c>
      <c r="B584" s="9" t="n">
        <v>19.4586657444</v>
      </c>
      <c r="C584" s="9" t="n">
        <v>160</v>
      </c>
      <c r="D584" s="9" t="n">
        <v>160.300003</v>
      </c>
      <c r="E584" s="9" t="n">
        <v>158.139999</v>
      </c>
      <c r="F584" s="9" t="n">
        <v>158.460007</v>
      </c>
      <c r="G584" s="9" t="n">
        <v>152.810516</v>
      </c>
      <c r="H584" s="9" t="n">
        <v>152.810516</v>
      </c>
      <c r="I584" s="2" t="str">
        <f aca="false">IF(COUNT(C584:F584)&lt;4,"",IF(OR(D584&lt;MAX(C584,F584)-0.000001,E584&gt;MIN(C584,F584)+0.000001),"FAIL","OK"))</f>
        <v>OK</v>
      </c>
      <c r="J584" s="10" t="n">
        <f aca="false">IF(COUNT(F584,G584)&lt;2,"",G584/F584)</f>
        <v>0.964347527764529</v>
      </c>
      <c r="K584" s="10" t="n">
        <f aca="false">H584/H583-1</f>
        <v>-0.0046480842953468</v>
      </c>
      <c r="L584" s="10" t="n">
        <f aca="false">H589/H584-1</f>
        <v>-0.0140099585816463</v>
      </c>
      <c r="M584" s="10" t="n">
        <f aca="false">IF(COUNT(B525:B584)&lt;60,"",(B584-AVERAGE(B525:B584))/STDEV(B525:B584))</f>
        <v>1.49632220416703</v>
      </c>
      <c r="N584" s="10" t="n">
        <f aca="false">(H584-AVERAGE(H525:H584))/STDEV(H525:H584)</f>
        <v>1.24396747723972</v>
      </c>
      <c r="O584" s="10" t="n">
        <f aca="false">IF(COUNT(B584)=0,"",B584-('Signal Analysis'!$C$6+'Signal Analysis'!$C$5*H584))</f>
        <v>0.35309422357351</v>
      </c>
    </row>
    <row r="585" customFormat="false" ht="15" hidden="false" customHeight="false" outlineLevel="0" collapsed="false">
      <c r="A585" s="8" t="n">
        <v>43173</v>
      </c>
      <c r="B585" s="9" t="n">
        <v>19.565585952</v>
      </c>
      <c r="C585" s="9" t="n">
        <v>159.220001</v>
      </c>
      <c r="D585" s="9" t="n">
        <v>159.389999</v>
      </c>
      <c r="E585" s="9" t="n">
        <v>157.410004</v>
      </c>
      <c r="F585" s="9" t="n">
        <v>157.710007</v>
      </c>
      <c r="G585" s="9" t="n">
        <v>152.087265</v>
      </c>
      <c r="H585" s="9" t="n">
        <v>152.087265</v>
      </c>
      <c r="I585" s="2" t="str">
        <f aca="false">IF(COUNT(C585:F585)&lt;4,"",IF(OR(D585&lt;MAX(C585,F585)-0.000001,E585&gt;MIN(C585,F585)+0.000001),"FAIL","OK"))</f>
        <v>OK</v>
      </c>
      <c r="J585" s="10" t="n">
        <f aca="false">IF(COUNT(F585,G585)&lt;2,"",G585/F585)</f>
        <v>0.964347588926301</v>
      </c>
      <c r="K585" s="10" t="n">
        <f aca="false">H585/H584-1</f>
        <v>-0.0047329923288788</v>
      </c>
      <c r="L585" s="10" t="n">
        <f aca="false">H590/H585-1</f>
        <v>-0.00355075094551793</v>
      </c>
      <c r="M585" s="10" t="n">
        <f aca="false">IF(COUNT(B526:B585)&lt;60,"",(B585-AVERAGE(B526:B585))/STDEV(B526:B585))</f>
        <v>1.55981995468528</v>
      </c>
      <c r="N585" s="10" t="n">
        <f aca="false">(H585-AVERAGE(H526:H585))/STDEV(H526:H585)</f>
        <v>0.995053370588485</v>
      </c>
      <c r="O585" s="10" t="n">
        <f aca="false">IF(COUNT(B585)=0,"",B585-('Signal Analysis'!$C$6+'Signal Analysis'!$C$5*H585))</f>
        <v>0.558949691317107</v>
      </c>
    </row>
    <row r="586" customFormat="false" ht="15" hidden="false" customHeight="false" outlineLevel="0" collapsed="false">
      <c r="A586" s="8" t="n">
        <v>43174</v>
      </c>
      <c r="B586" s="9" t="n">
        <v>18.1002979872</v>
      </c>
      <c r="C586" s="9" t="n">
        <v>158.100006</v>
      </c>
      <c r="D586" s="9" t="n">
        <v>158.139999</v>
      </c>
      <c r="E586" s="9" t="n">
        <v>156.369995</v>
      </c>
      <c r="F586" s="9" t="n">
        <v>156.919998</v>
      </c>
      <c r="G586" s="9" t="n">
        <v>151.325409</v>
      </c>
      <c r="H586" s="9" t="n">
        <v>151.325409</v>
      </c>
      <c r="I586" s="2" t="str">
        <f aca="false">IF(COUNT(C586:F586)&lt;4,"",IF(OR(D586&lt;MAX(C586,F586)-0.000001,E586&gt;MIN(C586,F586)+0.000001),"FAIL","OK"))</f>
        <v>OK</v>
      </c>
      <c r="J586" s="10" t="n">
        <f aca="false">IF(COUNT(F586,G586)&lt;2,"",G586/F586)</f>
        <v>0.964347507830073</v>
      </c>
      <c r="K586" s="10" t="n">
        <f aca="false">H586/H585-1</f>
        <v>-0.00500933460799624</v>
      </c>
      <c r="L586" s="10" t="n">
        <f aca="false">H591/H586-1</f>
        <v>-0.0204940665318144</v>
      </c>
      <c r="M586" s="10" t="n">
        <f aca="false">IF(COUNT(B527:B586)&lt;60,"",(B586-AVERAGE(B527:B586))/STDEV(B527:B586))</f>
        <v>-0.0600338931876404</v>
      </c>
      <c r="N586" s="10" t="n">
        <f aca="false">(H586-AVERAGE(H527:H586))/STDEV(H527:H586)</f>
        <v>0.740213512892907</v>
      </c>
      <c r="O586" s="10" t="n">
        <f aca="false">IF(COUNT(B586)=0,"",B586-('Signal Analysis'!$C$6+'Signal Analysis'!$C$5*H586))</f>
        <v>-0.802122141667024</v>
      </c>
    </row>
    <row r="587" customFormat="false" ht="15" hidden="false" customHeight="false" outlineLevel="0" collapsed="false">
      <c r="A587" s="8" t="n">
        <v>43175</v>
      </c>
      <c r="B587" s="9" t="n">
        <v>19.3851862704</v>
      </c>
      <c r="C587" s="9" t="n">
        <v>156.979996</v>
      </c>
      <c r="D587" s="9" t="n">
        <v>158.270004</v>
      </c>
      <c r="E587" s="9" t="n">
        <v>156.75</v>
      </c>
      <c r="F587" s="9" t="n">
        <v>157.800003</v>
      </c>
      <c r="G587" s="9" t="n">
        <v>152.174042</v>
      </c>
      <c r="H587" s="9" t="n">
        <v>152.174042</v>
      </c>
      <c r="I587" s="2" t="str">
        <f aca="false">IF(COUNT(C587:F587)&lt;4,"",IF(OR(D587&lt;MAX(C587,F587)-0.000001,E587&gt;MIN(C587,F587)+0.000001),"FAIL","OK"))</f>
        <v>OK</v>
      </c>
      <c r="J587" s="10" t="n">
        <f aca="false">IF(COUNT(F587,G587)&lt;2,"",G587/F587)</f>
        <v>0.964347522857778</v>
      </c>
      <c r="K587" s="10" t="n">
        <f aca="false">H587/H586-1</f>
        <v>0.00560800070264467</v>
      </c>
      <c r="L587" s="10" t="n">
        <f aca="false">H592/H587-1</f>
        <v>-0.0469173513837531</v>
      </c>
      <c r="M587" s="10" t="n">
        <f aca="false">IF(COUNT(B528:B587)&lt;60,"",(B587-AVERAGE(B528:B587))/STDEV(B528:B587))</f>
        <v>1.31604820923049</v>
      </c>
      <c r="N587" s="10" t="n">
        <f aca="false">(H587-AVERAGE(H528:H587))/STDEV(H528:H587)</f>
        <v>0.968630094929318</v>
      </c>
      <c r="O587" s="10" t="n">
        <f aca="false">IF(COUNT(B587)=0,"",B587-('Signal Analysis'!$C$6+'Signal Analysis'!$C$5*H587))</f>
        <v>0.366679573216526</v>
      </c>
    </row>
    <row r="588" customFormat="false" ht="15" hidden="false" customHeight="false" outlineLevel="0" collapsed="false">
      <c r="A588" s="8" t="n">
        <v>43178</v>
      </c>
      <c r="B588" s="9" t="n">
        <v>18.6608972844</v>
      </c>
      <c r="C588" s="9" t="n">
        <v>157.169998</v>
      </c>
      <c r="D588" s="9" t="n">
        <v>157.210007</v>
      </c>
      <c r="E588" s="9" t="n">
        <v>154.449997</v>
      </c>
      <c r="F588" s="11" t="n">
        <v>156.280005</v>
      </c>
      <c r="G588" s="9" t="n">
        <v>150.708221</v>
      </c>
      <c r="H588" s="9" t="n">
        <v>150.708221</v>
      </c>
      <c r="I588" s="2" t="str">
        <f aca="false">IF(COUNT(C588:F588)&lt;4,"",IF(OR(D588&lt;MAX(C588,F588)-0.000001,E588&gt;MIN(C588,F588)+0.000001),"FAIL","OK"))</f>
        <v>OK</v>
      </c>
      <c r="J588" s="10" t="n">
        <f aca="false">IF(COUNT(F588,G588)&lt;2,"",G588/F588)</f>
        <v>0.964347428834546</v>
      </c>
      <c r="K588" s="10" t="n">
        <f aca="false">H588/H587-1</f>
        <v>-0.00963252983711882</v>
      </c>
      <c r="L588" s="10" t="n">
        <f aca="false">H593/H588-1</f>
        <v>-0.0166111243526655</v>
      </c>
      <c r="M588" s="10" t="n">
        <f aca="false">IF(COUNT(B529:B588)&lt;60,"",(B588-AVERAGE(B529:B588))/STDEV(B529:B588))</f>
        <v>0.50302022927373</v>
      </c>
      <c r="N588" s="10" t="n">
        <f aca="false">(H588-AVERAGE(H529:H588))/STDEV(H529:H588)</f>
        <v>0.512275022655172</v>
      </c>
      <c r="O588" s="10" t="n">
        <f aca="false">IF(COUNT(B588)=0,"",B588-('Signal Analysis'!$C$6+'Signal Analysis'!$C$5*H588))</f>
        <v>-0.157096199585087</v>
      </c>
    </row>
    <row r="589" customFormat="false" ht="15" hidden="false" customHeight="false" outlineLevel="0" collapsed="false">
      <c r="A589" s="8" t="n">
        <v>43179</v>
      </c>
      <c r="B589" s="9" t="n">
        <v>19.177721244</v>
      </c>
      <c r="C589" s="9" t="n">
        <v>156.669998</v>
      </c>
      <c r="D589" s="9" t="n">
        <v>157.020004</v>
      </c>
      <c r="E589" s="9" t="n">
        <v>155.770004</v>
      </c>
      <c r="F589" s="9" t="n">
        <v>156.240005</v>
      </c>
      <c r="G589" s="9" t="n">
        <v>150.669647</v>
      </c>
      <c r="H589" s="9" t="n">
        <v>150.669647</v>
      </c>
      <c r="I589" s="2" t="str">
        <f aca="false">IF(COUNT(C589:F589)&lt;4,"",IF(OR(D589&lt;MAX(C589,F589)-0.000001,E589&gt;MIN(C589,F589)+0.000001),"FAIL","OK"))</f>
        <v>OK</v>
      </c>
      <c r="J589" s="10" t="n">
        <f aca="false">IF(COUNT(F589,G589)&lt;2,"",G589/F589)</f>
        <v>0.964347428176286</v>
      </c>
      <c r="K589" s="10" t="n">
        <f aca="false">H589/H588-1</f>
        <v>-0.000255951531668686</v>
      </c>
      <c r="L589" s="10" t="n">
        <f aca="false">H594/H589-1</f>
        <v>-0.0354122818114786</v>
      </c>
      <c r="M589" s="10" t="n">
        <f aca="false">IF(COUNT(B530:B589)&lt;60,"",(B589-AVERAGE(B530:B589))/STDEV(B530:B589))</f>
        <v>1.03967758032734</v>
      </c>
      <c r="N589" s="10" t="n">
        <f aca="false">(H589-AVERAGE(H530:H589))/STDEV(H530:H589)</f>
        <v>0.484223869843767</v>
      </c>
      <c r="O589" s="10" t="n">
        <f aca="false">IF(COUNT(B589)=0,"",B589-('Signal Analysis'!$C$6+'Signal Analysis'!$C$5*H589))</f>
        <v>0.365004391121929</v>
      </c>
    </row>
    <row r="590" customFormat="false" ht="15" hidden="false" customHeight="false" outlineLevel="0" collapsed="false">
      <c r="A590" s="8" t="n">
        <v>43180</v>
      </c>
      <c r="B590" s="9" t="n">
        <v>19.0194387984</v>
      </c>
      <c r="C590" s="9" t="n">
        <v>156.320007</v>
      </c>
      <c r="D590" s="9" t="n">
        <v>158.259995</v>
      </c>
      <c r="E590" s="9" t="n">
        <v>156.199997</v>
      </c>
      <c r="F590" s="9" t="n">
        <v>157.149994</v>
      </c>
      <c r="G590" s="9" t="n">
        <v>151.547241</v>
      </c>
      <c r="H590" s="9" t="n">
        <v>151.547241</v>
      </c>
      <c r="I590" s="2" t="str">
        <f aca="false">IF(COUNT(C590:F590)&lt;4,"",IF(OR(D590&lt;MAX(C590,F590)-0.000001,E590&gt;MIN(C590,F590)+0.000001),"FAIL","OK"))</f>
        <v>OK</v>
      </c>
      <c r="J590" s="10" t="n">
        <f aca="false">IF(COUNT(F590,G590)&lt;2,"",G590/F590)</f>
        <v>0.964347736468892</v>
      </c>
      <c r="K590" s="10" t="n">
        <f aca="false">H590/H589-1</f>
        <v>0.00582462372132597</v>
      </c>
      <c r="L590" s="10" t="n">
        <f aca="false">H595/H590-1</f>
        <v>-0.0413169778524706</v>
      </c>
      <c r="M590" s="10" t="n">
        <f aca="false">IF(COUNT(B531:B590)&lt;60,"",(B590-AVERAGE(B531:B590))/STDEV(B531:B590))</f>
        <v>0.836434717290547</v>
      </c>
      <c r="N590" s="10" t="n">
        <f aca="false">(H590-AVERAGE(H531:H590))/STDEV(H531:H590)</f>
        <v>0.726437344408347</v>
      </c>
      <c r="O590" s="10" t="n">
        <f aca="false">IF(COUNT(B590)=0,"",B590-('Signal Analysis'!$C$6+'Signal Analysis'!$C$5*H590))</f>
        <v>0.0866737317061705</v>
      </c>
    </row>
    <row r="591" customFormat="false" ht="15" hidden="false" customHeight="false" outlineLevel="0" collapsed="false">
      <c r="A591" s="8" t="n">
        <v>43181</v>
      </c>
      <c r="B591" s="9" t="n">
        <v>18.89957982</v>
      </c>
      <c r="C591" s="9" t="n">
        <v>155.660004</v>
      </c>
      <c r="D591" s="9" t="n">
        <v>156.619995</v>
      </c>
      <c r="E591" s="9" t="n">
        <v>153.309998</v>
      </c>
      <c r="F591" s="9" t="n">
        <v>153.350006</v>
      </c>
      <c r="G591" s="9" t="n">
        <v>148.224136</v>
      </c>
      <c r="H591" s="9" t="n">
        <v>148.224136</v>
      </c>
      <c r="I591" s="2" t="str">
        <f aca="false">IF(COUNT(C591:F591)&lt;4,"",IF(OR(D591&lt;MAX(C591,F591)-0.000001,E591&gt;MIN(C591,F591)+0.000001),"FAIL","OK"))</f>
        <v>OK</v>
      </c>
      <c r="J591" s="10" t="n">
        <f aca="false">IF(COUNT(F591,G591)&lt;2,"",G591/F591)</f>
        <v>0.966574047607145</v>
      </c>
      <c r="K591" s="10" t="n">
        <f aca="false">H591/H590-1</f>
        <v>-0.0219278488877276</v>
      </c>
      <c r="L591" s="10" t="n">
        <f aca="false">H596/H591-1</f>
        <v>-0.00991206317438065</v>
      </c>
      <c r="M591" s="10" t="n">
        <f aca="false">IF(COUNT(B532:B591)&lt;60,"",(B591-AVERAGE(B532:B591))/STDEV(B532:B591))</f>
        <v>0.67770172861485</v>
      </c>
      <c r="N591" s="10" t="n">
        <f aca="false">(H591-AVERAGE(H532:H591))/STDEV(H532:H591)</f>
        <v>-0.266986763355661</v>
      </c>
      <c r="O591" s="10" t="n">
        <f aca="false">IF(COUNT(B591)=0,"",B591-('Signal Analysis'!$C$6+'Signal Analysis'!$C$5*H591))</f>
        <v>0.421390353836948</v>
      </c>
    </row>
    <row r="592" customFormat="false" ht="15" hidden="false" customHeight="false" outlineLevel="0" collapsed="false">
      <c r="A592" s="8" t="n">
        <v>43182</v>
      </c>
      <c r="B592" s="9" t="n">
        <v>17.7758788032</v>
      </c>
      <c r="C592" s="9" t="n">
        <v>153.559998</v>
      </c>
      <c r="D592" s="9" t="n">
        <v>153.940002</v>
      </c>
      <c r="E592" s="9" t="n">
        <v>150</v>
      </c>
      <c r="F592" s="9" t="n">
        <v>150.050003</v>
      </c>
      <c r="G592" s="9" t="n">
        <v>145.034439</v>
      </c>
      <c r="H592" s="9" t="n">
        <v>145.034439</v>
      </c>
      <c r="I592" s="2" t="str">
        <f aca="false">IF(COUNT(C592:F592)&lt;4,"",IF(OR(D592&lt;MAX(C592,F592)-0.000001,E592&gt;MIN(C592,F592)+0.000001),"FAIL","OK"))</f>
        <v>OK</v>
      </c>
      <c r="J592" s="10" t="n">
        <f aca="false">IF(COUNT(F592,G592)&lt;2,"",G592/F592)</f>
        <v>0.966574049318746</v>
      </c>
      <c r="K592" s="10" t="n">
        <f aca="false">H592/H591-1</f>
        <v>-0.0215194170536437</v>
      </c>
      <c r="L592" s="10" t="n">
        <f aca="false">H597/H592-1</f>
        <v>-0.0127956091863118</v>
      </c>
      <c r="M592" s="10" t="n">
        <f aca="false">IF(COUNT(B533:B592)&lt;60,"",(B592-AVERAGE(B533:B592))/STDEV(B533:B592))</f>
        <v>-0.594401777686571</v>
      </c>
      <c r="N592" s="10" t="n">
        <f aca="false">(H592-AVERAGE(H533:H592))/STDEV(H533:H592)</f>
        <v>-1.19164509800243</v>
      </c>
      <c r="O592" s="10" t="n">
        <f aca="false">IF(COUNT(B592)=0,"",B592-('Signal Analysis'!$C$6+'Signal Analysis'!$C$5*H592))</f>
        <v>-0.265984266630039</v>
      </c>
    </row>
    <row r="593" customFormat="false" ht="15" hidden="false" customHeight="false" outlineLevel="0" collapsed="false">
      <c r="A593" s="8" t="n">
        <v>43185</v>
      </c>
      <c r="B593" s="9" t="n">
        <v>18.0018470736</v>
      </c>
      <c r="C593" s="9" t="n">
        <v>152.089996</v>
      </c>
      <c r="D593" s="9" t="n">
        <v>153.380005</v>
      </c>
      <c r="E593" s="9" t="n">
        <v>150.429993</v>
      </c>
      <c r="F593" s="9" t="n">
        <v>153.330002</v>
      </c>
      <c r="G593" s="9" t="n">
        <v>148.204788</v>
      </c>
      <c r="H593" s="9" t="n">
        <v>148.204788</v>
      </c>
      <c r="I593" s="2" t="str">
        <f aca="false">IF(COUNT(C593:F593)&lt;4,"",IF(OR(D593&lt;MAX(C593,F593)-0.000001,E593&gt;MIN(C593,F593)+0.000001),"FAIL","OK"))</f>
        <v>OK</v>
      </c>
      <c r="J593" s="10" t="n">
        <f aca="false">IF(COUNT(F593,G593)&lt;2,"",G593/F593)</f>
        <v>0.966573965087407</v>
      </c>
      <c r="K593" s="10" t="n">
        <f aca="false">H593/H592-1</f>
        <v>0.0218592840559753</v>
      </c>
      <c r="L593" s="10" t="n">
        <f aca="false">H598/H593-1</f>
        <v>-0.0200872052797647</v>
      </c>
      <c r="M593" s="10" t="n">
        <f aca="false">IF(COUNT(B534:B593)&lt;60,"",(B593-AVERAGE(B534:B593))/STDEV(B534:B593))</f>
        <v>-0.356595819527554</v>
      </c>
      <c r="N593" s="10" t="n">
        <f aca="false">(H593-AVERAGE(H534:H593))/STDEV(H534:H593)</f>
        <v>-0.258936916031511</v>
      </c>
      <c r="O593" s="10" t="n">
        <f aca="false">IF(COUNT(B593)=0,"",B593-('Signal Analysis'!$C$6+'Signal Analysis'!$C$5*H593))</f>
        <v>-0.473695732671455</v>
      </c>
    </row>
    <row r="594" customFormat="false" ht="15" hidden="false" customHeight="false" outlineLevel="0" collapsed="false">
      <c r="A594" s="8" t="n">
        <v>43186</v>
      </c>
      <c r="B594" s="9" t="n">
        <v>19.574516808</v>
      </c>
      <c r="C594" s="9" t="n">
        <v>153.660004</v>
      </c>
      <c r="D594" s="9" t="n">
        <v>153.699997</v>
      </c>
      <c r="E594" s="9" t="n">
        <v>149.710007</v>
      </c>
      <c r="F594" s="9" t="n">
        <v>150.360001</v>
      </c>
      <c r="G594" s="9" t="n">
        <v>145.334091</v>
      </c>
      <c r="H594" s="9" t="n">
        <v>145.334091</v>
      </c>
      <c r="I594" s="2" t="str">
        <f aca="false">IF(COUNT(C594:F594)&lt;4,"",IF(OR(D594&lt;MAX(C594,F594)-0.000001,E594&gt;MIN(C594,F594)+0.000001),"FAIL","OK"))</f>
        <v>OK</v>
      </c>
      <c r="J594" s="10" t="n">
        <f aca="false">IF(COUNT(F594,G594)&lt;2,"",G594/F594)</f>
        <v>0.966574155582774</v>
      </c>
      <c r="K594" s="10" t="n">
        <f aca="false">H594/H593-1</f>
        <v>-0.0193697993076986</v>
      </c>
      <c r="L594" s="10" t="n">
        <f aca="false">H599/H594-1</f>
        <v>0.0119711967648388</v>
      </c>
      <c r="M594" s="10" t="n">
        <f aca="false">IF(COUNT(B535:B594)&lt;60,"",(B594-AVERAGE(B535:B594))/STDEV(B535:B594))</f>
        <v>1.39601080373689</v>
      </c>
      <c r="N594" s="10" t="n">
        <f aca="false">(H594-AVERAGE(H535:H594))/STDEV(H535:H594)</f>
        <v>-1.08197563505969</v>
      </c>
      <c r="O594" s="10" t="n">
        <f aca="false">IF(COUNT(B594)=0,"",B594-('Signal Analysis'!$C$6+'Signal Analysis'!$C$5*H594))</f>
        <v>1.4916636136177</v>
      </c>
    </row>
    <row r="595" customFormat="false" ht="15" hidden="false" customHeight="false" outlineLevel="0" collapsed="false">
      <c r="A595" s="8" t="n">
        <v>43187</v>
      </c>
      <c r="B595" s="9" t="n">
        <v>19.0096991028</v>
      </c>
      <c r="C595" s="9" t="n">
        <v>150.740005</v>
      </c>
      <c r="D595" s="9" t="n">
        <v>151.350006</v>
      </c>
      <c r="E595" s="9" t="n">
        <v>149.389999</v>
      </c>
      <c r="F595" s="9" t="n">
        <v>150.309998</v>
      </c>
      <c r="G595" s="9" t="n">
        <v>145.285767</v>
      </c>
      <c r="H595" s="9" t="n">
        <v>145.285767</v>
      </c>
      <c r="I595" s="2" t="str">
        <f aca="false">IF(COUNT(C595:F595)&lt;4,"",IF(OR(D595&lt;MAX(C595,F595)-0.000001,E595&gt;MIN(C595,F595)+0.000001),"FAIL","OK"))</f>
        <v>OK</v>
      </c>
      <c r="J595" s="10" t="n">
        <f aca="false">IF(COUNT(F595,G595)&lt;2,"",G595/F595)</f>
        <v>0.966574206194853</v>
      </c>
      <c r="K595" s="10" t="n">
        <f aca="false">H595/H594-1</f>
        <v>-0.000332502853717998</v>
      </c>
      <c r="L595" s="10" t="n">
        <f aca="false">H600/H595-1</f>
        <v>0.0206904438202815</v>
      </c>
      <c r="M595" s="10" t="n">
        <f aca="false">IF(COUNT(B536:B595)&lt;60,"",(B595-AVERAGE(B536:B595))/STDEV(B536:B595))</f>
        <v>0.738672297133155</v>
      </c>
      <c r="N595" s="10" t="n">
        <f aca="false">(H595-AVERAGE(H536:H595))/STDEV(H536:H595)</f>
        <v>-1.07986589559135</v>
      </c>
      <c r="O595" s="10" t="n">
        <f aca="false">IF(COUNT(B595)=0,"",B595-('Signal Analysis'!$C$6+'Signal Analysis'!$C$5*H595))</f>
        <v>0.933456265695018</v>
      </c>
    </row>
    <row r="596" customFormat="false" ht="15" hidden="false" customHeight="false" outlineLevel="0" collapsed="false">
      <c r="A596" s="8" t="n">
        <v>43188</v>
      </c>
      <c r="B596" s="9" t="n">
        <v>18.6832305384</v>
      </c>
      <c r="C596" s="9" t="n">
        <v>151.080002</v>
      </c>
      <c r="D596" s="9" t="n">
        <v>153.100006</v>
      </c>
      <c r="E596" s="9" t="n">
        <v>150.75</v>
      </c>
      <c r="F596" s="9" t="n">
        <v>151.830002</v>
      </c>
      <c r="G596" s="9" t="n">
        <v>146.754929</v>
      </c>
      <c r="H596" s="9" t="n">
        <v>146.754929</v>
      </c>
      <c r="I596" s="2" t="str">
        <f aca="false">IF(COUNT(C596:F596)&lt;4,"",IF(OR(D596&lt;MAX(C596,F596)-0.000001,E596&gt;MIN(C596,F596)+0.000001),"FAIL","OK"))</f>
        <v>OK</v>
      </c>
      <c r="J596" s="10" t="n">
        <f aca="false">IF(COUNT(F596,G596)&lt;2,"",G596/F596)</f>
        <v>0.966573977915116</v>
      </c>
      <c r="K596" s="10" t="n">
        <f aca="false">H596/H595-1</f>
        <v>0.0101122224863226</v>
      </c>
      <c r="L596" s="10" t="n">
        <f aca="false">H601/H596-1</f>
        <v>-0.00968170547784464</v>
      </c>
      <c r="M596" s="10" t="n">
        <f aca="false">IF(COUNT(B537:B596)&lt;60,"",(B596-AVERAGE(B537:B596))/STDEV(B537:B596))</f>
        <v>0.351791501440604</v>
      </c>
      <c r="N596" s="10" t="n">
        <f aca="false">(H596-AVERAGE(H537:H596))/STDEV(H537:H596)</f>
        <v>-0.643006963510281</v>
      </c>
      <c r="O596" s="10" t="n">
        <f aca="false">IF(COUNT(B596)=0,"",B596-('Signal Analysis'!$C$6+'Signal Analysis'!$C$5*H596))</f>
        <v>0.406017464595607</v>
      </c>
    </row>
    <row r="597" customFormat="false" ht="15" hidden="false" customHeight="false" outlineLevel="0" collapsed="false">
      <c r="A597" s="8" t="n">
        <v>43192</v>
      </c>
      <c r="B597" s="9" t="n">
        <v>19.2136053888</v>
      </c>
      <c r="C597" s="9" t="n">
        <v>151.520004</v>
      </c>
      <c r="D597" s="9" t="n">
        <v>152.070007</v>
      </c>
      <c r="E597" s="9" t="n">
        <v>147.179993</v>
      </c>
      <c r="F597" s="9" t="n">
        <v>148.130005</v>
      </c>
      <c r="G597" s="9" t="n">
        <v>143.178635</v>
      </c>
      <c r="H597" s="9" t="n">
        <v>143.178635</v>
      </c>
      <c r="I597" s="2" t="str">
        <f aca="false">IF(COUNT(C597:F597)&lt;4,"",IF(OR(D597&lt;MAX(C597,F597)-0.000001,E597&gt;MIN(C597,F597)+0.000001),"FAIL","OK"))</f>
        <v>OK</v>
      </c>
      <c r="J597" s="10" t="n">
        <f aca="false">IF(COUNT(F597,G597)&lt;2,"",G597/F597)</f>
        <v>0.966574158962595</v>
      </c>
      <c r="K597" s="10" t="n">
        <f aca="false">H597/H596-1</f>
        <v>-0.024369157645124</v>
      </c>
      <c r="L597" s="10" t="n">
        <f aca="false">H602/H597-1</f>
        <v>0.0162691242307205</v>
      </c>
      <c r="M597" s="10" t="n">
        <f aca="false">IF(COUNT(B538:B597)&lt;60,"",(B597-AVERAGE(B538:B597))/STDEV(B538:B597))</f>
        <v>0.934761527042315</v>
      </c>
      <c r="N597" s="10" t="n">
        <f aca="false">(H597-AVERAGE(H538:H597))/STDEV(H538:H597)</f>
        <v>-1.61487174651933</v>
      </c>
      <c r="O597" s="10" t="n">
        <f aca="false">IF(COUNT(B597)=0,"",B597-('Signal Analysis'!$C$6+'Signal Analysis'!$C$5*H597))</f>
        <v>1.42560225350932</v>
      </c>
    </row>
    <row r="598" customFormat="false" ht="15" hidden="false" customHeight="false" outlineLevel="0" collapsed="false">
      <c r="A598" s="8" t="n">
        <v>43193</v>
      </c>
      <c r="B598" s="9" t="n">
        <v>19.0766612352</v>
      </c>
      <c r="C598" s="9" t="n">
        <v>149.020004</v>
      </c>
      <c r="D598" s="9" t="n">
        <v>150.600006</v>
      </c>
      <c r="E598" s="9" t="n">
        <v>148.300003</v>
      </c>
      <c r="F598" s="9" t="n">
        <v>150.25</v>
      </c>
      <c r="G598" s="9" t="n">
        <v>145.227768</v>
      </c>
      <c r="H598" s="9" t="n">
        <v>145.227768</v>
      </c>
      <c r="I598" s="2" t="str">
        <f aca="false">IF(COUNT(C598:F598)&lt;4,"",IF(OR(D598&lt;MAX(C598,F598)-0.000001,E598&gt;MIN(C598,F598)+0.000001),"FAIL","OK"))</f>
        <v>OK</v>
      </c>
      <c r="J598" s="10" t="n">
        <f aca="false">IF(COUNT(F598,G598)&lt;2,"",G598/F598)</f>
        <v>0.966574163061564</v>
      </c>
      <c r="K598" s="10" t="n">
        <f aca="false">H598/H597-1</f>
        <v>0.0143117232539616</v>
      </c>
      <c r="L598" s="10" t="n">
        <f aca="false">H603/H598-1</f>
        <v>0.0208318288001232</v>
      </c>
      <c r="M598" s="10" t="n">
        <f aca="false">IF(COUNT(B539:B598)&lt;60,"",(B598-AVERAGE(B539:B598))/STDEV(B539:B598))</f>
        <v>0.759449646901444</v>
      </c>
      <c r="N598" s="10" t="n">
        <f aca="false">(H598-AVERAGE(H539:H598))/STDEV(H539:H598)</f>
        <v>-1.00855717159062</v>
      </c>
      <c r="O598" s="10" t="n">
        <f aca="false">IF(COUNT(B598)=0,"",B598-('Signal Analysis'!$C$6+'Signal Analysis'!$C$5*H598))</f>
        <v>1.00835222211056</v>
      </c>
    </row>
    <row r="599" customFormat="false" ht="15" hidden="false" customHeight="false" outlineLevel="0" collapsed="false">
      <c r="A599" s="8" t="n">
        <v>43194</v>
      </c>
      <c r="B599" s="9" t="n">
        <v>18.129943188</v>
      </c>
      <c r="C599" s="9" t="n">
        <v>148.5</v>
      </c>
      <c r="D599" s="9" t="n">
        <v>152.580002</v>
      </c>
      <c r="E599" s="9" t="n">
        <v>148.270004</v>
      </c>
      <c r="F599" s="9" t="n">
        <v>152.160004</v>
      </c>
      <c r="G599" s="9" t="n">
        <v>147.073914</v>
      </c>
      <c r="H599" s="9" t="n">
        <v>147.073914</v>
      </c>
      <c r="I599" s="2" t="str">
        <f aca="false">IF(COUNT(C599:F599)&lt;4,"",IF(OR(D599&lt;MAX(C599,F599)-0.000001,E599&gt;MIN(C599,F599)+0.000001),"FAIL","OK"))</f>
        <v>OK</v>
      </c>
      <c r="J599" s="10" t="n">
        <f aca="false">IF(COUNT(F599,G599)&lt;2,"",G599/F599)</f>
        <v>0.966574067650524</v>
      </c>
      <c r="K599" s="10" t="n">
        <f aca="false">H599/H598-1</f>
        <v>0.012712073079578</v>
      </c>
      <c r="L599" s="10" t="n">
        <f aca="false">H604/H599-1</f>
        <v>0.010186809878467</v>
      </c>
      <c r="M599" s="10" t="n">
        <f aca="false">IF(COUNT(B540:B599)&lt;60,"",(B599-AVERAGE(B540:B599))/STDEV(B540:B599))</f>
        <v>-0.30802580232253</v>
      </c>
      <c r="N599" s="10" t="n">
        <f aca="false">(H599-AVERAGE(H540:H599))/STDEV(H540:H599)</f>
        <v>-0.479677225552718</v>
      </c>
      <c r="O599" s="10" t="n">
        <f aca="false">IF(COUNT(B599)=0,"",B599-('Signal Analysis'!$C$6+'Signal Analysis'!$C$5*H599))</f>
        <v>-0.190904618361841</v>
      </c>
    </row>
    <row r="600" customFormat="false" ht="15" hidden="false" customHeight="false" outlineLevel="0" collapsed="false">
      <c r="A600" s="8" t="n">
        <v>43195</v>
      </c>
      <c r="B600" s="9" t="n">
        <v>19.1064434868</v>
      </c>
      <c r="C600" s="9" t="n">
        <v>153.039993</v>
      </c>
      <c r="D600" s="9" t="n">
        <v>153.610001</v>
      </c>
      <c r="E600" s="9" t="n">
        <v>152.320007</v>
      </c>
      <c r="F600" s="9" t="n">
        <v>153.419998</v>
      </c>
      <c r="G600" s="9" t="n">
        <v>148.291794</v>
      </c>
      <c r="H600" s="9" t="n">
        <v>148.291794</v>
      </c>
      <c r="I600" s="2" t="str">
        <f aca="false">IF(COUNT(C600:F600)&lt;4,"",IF(OR(D600&lt;MAX(C600,F600)-0.000001,E600&gt;MIN(C600,F600)+0.000001),"FAIL","OK"))</f>
        <v>OK</v>
      </c>
      <c r="J600" s="10" t="n">
        <f aca="false">IF(COUNT(F600,G600)&lt;2,"",G600/F600)</f>
        <v>0.966574083777527</v>
      </c>
      <c r="K600" s="10" t="n">
        <f aca="false">H600/H599-1</f>
        <v>0.00828073427079668</v>
      </c>
      <c r="L600" s="10" t="n">
        <f aca="false">H605/H600-1</f>
        <v>0.00873410432946797</v>
      </c>
      <c r="M600" s="10" t="n">
        <f aca="false">IF(COUNT(B541:B600)&lt;60,"",(B600-AVERAGE(B541:B600))/STDEV(B541:B600))</f>
        <v>0.761103394744734</v>
      </c>
      <c r="N600" s="10" t="n">
        <f aca="false">(H600-AVERAGE(H541:H600))/STDEV(H541:H600)</f>
        <v>-0.133151031376751</v>
      </c>
      <c r="O600" s="10" t="n">
        <f aca="false">IF(COUNT(B600)=0,"",B600-('Signal Analysis'!$C$6+'Signal Analysis'!$C$5*H600))</f>
        <v>0.618998918562017</v>
      </c>
    </row>
    <row r="601" customFormat="false" ht="15" hidden="false" customHeight="false" outlineLevel="0" collapsed="false">
      <c r="A601" s="8" t="n">
        <v>43196</v>
      </c>
      <c r="B601" s="9" t="n">
        <v>18.5618322096</v>
      </c>
      <c r="C601" s="9" t="n">
        <v>152.369995</v>
      </c>
      <c r="D601" s="9" t="n">
        <v>153.399994</v>
      </c>
      <c r="E601" s="9" t="n">
        <v>149.149994</v>
      </c>
      <c r="F601" s="9" t="n">
        <v>150.360001</v>
      </c>
      <c r="G601" s="9" t="n">
        <v>145.334091</v>
      </c>
      <c r="H601" s="9" t="n">
        <v>145.334091</v>
      </c>
      <c r="I601" s="2" t="str">
        <f aca="false">IF(COUNT(C601:F601)&lt;4,"",IF(OR(D601&lt;MAX(C601,F601)-0.000001,E601&gt;MIN(C601,F601)+0.000001),"FAIL","OK"))</f>
        <v>OK</v>
      </c>
      <c r="J601" s="10" t="n">
        <f aca="false">IF(COUNT(F601,G601)&lt;2,"",G601/F601)</f>
        <v>0.966574155582774</v>
      </c>
      <c r="K601" s="10" t="n">
        <f aca="false">H601/H600-1</f>
        <v>-0.0199451562370336</v>
      </c>
      <c r="L601" s="10" t="n">
        <f aca="false">H606/H601-1</f>
        <v>0.0238759259862851</v>
      </c>
      <c r="M601" s="10" t="n">
        <f aca="false">IF(COUNT(B542:B601)&lt;60,"",(B601-AVERAGE(B542:B601))/STDEV(B542:B601))</f>
        <v>0.154095359573475</v>
      </c>
      <c r="N601" s="10" t="n">
        <f aca="false">(H601-AVERAGE(H542:H601))/STDEV(H542:H601)</f>
        <v>-0.935745932401362</v>
      </c>
      <c r="O601" s="10" t="n">
        <f aca="false">IF(COUNT(B601)=0,"",B601-('Signal Analysis'!$C$6+'Signal Analysis'!$C$5*H601))</f>
        <v>0.478979015217696</v>
      </c>
    </row>
    <row r="602" customFormat="false" ht="15" hidden="false" customHeight="false" outlineLevel="0" collapsed="false">
      <c r="A602" s="8" t="n">
        <v>43199</v>
      </c>
      <c r="B602" s="9" t="n">
        <v>18.399388362</v>
      </c>
      <c r="C602" s="9" t="n">
        <v>151.399994</v>
      </c>
      <c r="D602" s="9" t="n">
        <v>152.600006</v>
      </c>
      <c r="E602" s="9" t="n">
        <v>150.419998</v>
      </c>
      <c r="F602" s="9" t="n">
        <v>150.539993</v>
      </c>
      <c r="G602" s="9" t="n">
        <v>145.508026</v>
      </c>
      <c r="H602" s="9" t="n">
        <v>145.508026</v>
      </c>
      <c r="I602" s="2" t="str">
        <f aca="false">IF(COUNT(C602:F602)&lt;4,"",IF(OR(D602&lt;MAX(C602,F602)-0.000001,E602&gt;MIN(C602,F602)+0.000001),"FAIL","OK"))</f>
        <v>OK</v>
      </c>
      <c r="J602" s="10" t="n">
        <f aca="false">IF(COUNT(F602,G602)&lt;2,"",G602/F602)</f>
        <v>0.966573885784623</v>
      </c>
      <c r="K602" s="10" t="n">
        <f aca="false">H602/H601-1</f>
        <v>0.00119679421946506</v>
      </c>
      <c r="L602" s="10" t="n">
        <f aca="false">H607/H602-1</f>
        <v>0.0320848968152452</v>
      </c>
      <c r="M602" s="10" t="n">
        <f aca="false">IF(COUNT(B543:B602)&lt;60,"",(B602-AVERAGE(B543:B602))/STDEV(B543:B602))</f>
        <v>-0.0333442076758057</v>
      </c>
      <c r="N602" s="10" t="n">
        <f aca="false">(H602-AVERAGE(H543:H602))/STDEV(H543:H602)</f>
        <v>-0.864357029111184</v>
      </c>
      <c r="O602" s="10" t="n">
        <f aca="false">IF(COUNT(B602)=0,"",B602-('Signal Analysis'!$C$6+'Signal Analysis'!$C$5*H602))</f>
        <v>0.292742176701573</v>
      </c>
    </row>
    <row r="603" customFormat="false" ht="15" hidden="false" customHeight="false" outlineLevel="0" collapsed="false">
      <c r="A603" s="8" t="n">
        <v>43200</v>
      </c>
      <c r="B603" s="9" t="n">
        <v>19.361885376</v>
      </c>
      <c r="C603" s="9" t="n">
        <v>152.139999</v>
      </c>
      <c r="D603" s="9" t="n">
        <v>153.949997</v>
      </c>
      <c r="E603" s="9" t="n">
        <v>151.669998</v>
      </c>
      <c r="F603" s="9" t="n">
        <v>153.380005</v>
      </c>
      <c r="G603" s="9" t="n">
        <v>148.253128</v>
      </c>
      <c r="H603" s="9" t="n">
        <v>148.253128</v>
      </c>
      <c r="I603" s="2" t="str">
        <f aca="false">IF(COUNT(C603:F603)&lt;4,"",IF(OR(D603&lt;MAX(C603,F603)-0.000001,E603&gt;MIN(C603,F603)+0.000001),"FAIL","OK"))</f>
        <v>OK</v>
      </c>
      <c r="J603" s="10" t="n">
        <f aca="false">IF(COUNT(F603,G603)&lt;2,"",G603/F603)</f>
        <v>0.96657401986654</v>
      </c>
      <c r="K603" s="10" t="n">
        <f aca="false">H603/H602-1</f>
        <v>0.018865639755157</v>
      </c>
      <c r="L603" s="10" t="n">
        <f aca="false">H608/H603-1</f>
        <v>0.023992795619125</v>
      </c>
      <c r="M603" s="10" t="n">
        <f aca="false">IF(COUNT(B544:B603)&lt;60,"",(B603-AVERAGE(B544:B603))/STDEV(B544:B603))</f>
        <v>1.02665695739531</v>
      </c>
      <c r="N603" s="10" t="n">
        <f aca="false">(H603-AVERAGE(H544:H603))/STDEV(H544:H603)</f>
        <v>-0.0901298469297512</v>
      </c>
      <c r="O603" s="10" t="n">
        <f aca="false">IF(COUNT(B603)=0,"",B603-('Signal Analysis'!$C$6+'Signal Analysis'!$C$5*H603))</f>
        <v>0.879730023772382</v>
      </c>
    </row>
    <row r="604" customFormat="false" ht="15" hidden="false" customHeight="false" outlineLevel="0" collapsed="false">
      <c r="A604" s="8" t="n">
        <v>43201</v>
      </c>
      <c r="B604" s="9" t="n">
        <v>18.3208994844</v>
      </c>
      <c r="C604" s="9" t="n">
        <v>152.779999</v>
      </c>
      <c r="D604" s="9" t="n">
        <v>154.309998</v>
      </c>
      <c r="E604" s="9" t="n">
        <v>152.630005</v>
      </c>
      <c r="F604" s="9" t="n">
        <v>153.710007</v>
      </c>
      <c r="G604" s="9" t="n">
        <v>148.572128</v>
      </c>
      <c r="H604" s="9" t="n">
        <v>148.572128</v>
      </c>
      <c r="I604" s="2" t="str">
        <f aca="false">IF(COUNT(C604:F604)&lt;4,"",IF(OR(D604&lt;MAX(C604,F604)-0.000001,E604&gt;MIN(C604,F604)+0.000001),"FAIL","OK"))</f>
        <v>OK</v>
      </c>
      <c r="J604" s="10" t="n">
        <f aca="false">IF(COUNT(F604,G604)&lt;2,"",G604/F604)</f>
        <v>0.966574206193355</v>
      </c>
      <c r="K604" s="10" t="n">
        <f aca="false">H604/H603-1</f>
        <v>0.00215172525735841</v>
      </c>
      <c r="L604" s="10" t="n">
        <f aca="false">H609/H604-1</f>
        <v>0.0245264845368576</v>
      </c>
      <c r="M604" s="10" t="n">
        <f aca="false">IF(COUNT(B545:B604)&lt;60,"",(B604-AVERAGE(B545:B604))/STDEV(B545:B604))</f>
        <v>-0.14029915310588</v>
      </c>
      <c r="N604" s="10" t="n">
        <f aca="false">(H604-AVERAGE(H545:H604))/STDEV(H545:H604)</f>
        <v>0.0170622597288404</v>
      </c>
      <c r="O604" s="10" t="n">
        <f aca="false">IF(COUNT(B604)=0,"",B604-('Signal Analysis'!$C$6+'Signal Analysis'!$C$5*H604))</f>
        <v>-0.204892652271486</v>
      </c>
    </row>
    <row r="605" customFormat="false" ht="15" hidden="false" customHeight="false" outlineLevel="0" collapsed="false">
      <c r="A605" s="8" t="n">
        <v>43202</v>
      </c>
      <c r="B605" s="9" t="n">
        <v>18.944175726</v>
      </c>
      <c r="C605" s="9" t="n">
        <v>154.429993</v>
      </c>
      <c r="D605" s="9" t="n">
        <v>155.410004</v>
      </c>
      <c r="E605" s="9" t="n">
        <v>153.929993</v>
      </c>
      <c r="F605" s="9" t="n">
        <v>154.759995</v>
      </c>
      <c r="G605" s="9" t="n">
        <v>149.58699</v>
      </c>
      <c r="H605" s="9" t="n">
        <v>149.58699</v>
      </c>
      <c r="I605" s="2" t="str">
        <f aca="false">IF(COUNT(C605:F605)&lt;4,"",IF(OR(D605&lt;MAX(C605,F605)-0.000001,E605&gt;MIN(C605,F605)+0.000001),"FAIL","OK"))</f>
        <v>OK</v>
      </c>
      <c r="J605" s="10" t="n">
        <f aca="false">IF(COUNT(F605,G605)&lt;2,"",G605/F605)</f>
        <v>0.966574016754136</v>
      </c>
      <c r="K605" s="10" t="n">
        <f aca="false">H605/H604-1</f>
        <v>0.00683076976591468</v>
      </c>
      <c r="L605" s="10" t="n">
        <f aca="false">H610/H605-1</f>
        <v>0.0105326472576259</v>
      </c>
      <c r="M605" s="10" t="n">
        <f aca="false">IF(COUNT(B546:B605)&lt;60,"",(B605-AVERAGE(B546:B605))/STDEV(B546:B605))</f>
        <v>0.559900342434934</v>
      </c>
      <c r="N605" s="10" t="n">
        <f aca="false">(H605-AVERAGE(H546:H605))/STDEV(H546:H605)</f>
        <v>0.307517514666206</v>
      </c>
      <c r="O605" s="10" t="n">
        <f aca="false">IF(COUNT(B605)=0,"",B605-('Signal Analysis'!$C$6+'Signal Analysis'!$C$5*H605))</f>
        <v>0.279558152543991</v>
      </c>
    </row>
    <row r="606" customFormat="false" ht="15" hidden="false" customHeight="false" outlineLevel="0" collapsed="false">
      <c r="A606" s="8" t="n">
        <v>43203</v>
      </c>
      <c r="B606" s="9" t="n">
        <v>18.01539732</v>
      </c>
      <c r="C606" s="9" t="n">
        <v>155.289993</v>
      </c>
      <c r="D606" s="9" t="n">
        <v>155.330002</v>
      </c>
      <c r="E606" s="9" t="n">
        <v>153.509995</v>
      </c>
      <c r="F606" s="9" t="n">
        <v>153.949997</v>
      </c>
      <c r="G606" s="9" t="n">
        <v>148.804077</v>
      </c>
      <c r="H606" s="9" t="n">
        <v>148.804077</v>
      </c>
      <c r="I606" s="2" t="str">
        <f aca="false">IF(COUNT(C606:F606)&lt;4,"",IF(OR(D606&lt;MAX(C606,F606)-0.000001,E606&gt;MIN(C606,F606)+0.000001),"FAIL","OK"))</f>
        <v>OK</v>
      </c>
      <c r="J606" s="10" t="n">
        <f aca="false">IF(COUNT(F606,G606)&lt;2,"",G606/F606)</f>
        <v>0.966574081842951</v>
      </c>
      <c r="K606" s="10" t="n">
        <f aca="false">H606/H605-1</f>
        <v>-0.00523383082980666</v>
      </c>
      <c r="L606" s="10" t="n">
        <f aca="false">H611/H606-1</f>
        <v>0.0103930216912</v>
      </c>
      <c r="M606" s="10" t="n">
        <f aca="false">IF(COUNT(B547:B606)&lt;60,"",(B606-AVERAGE(B547:B606))/STDEV(B547:B606))</f>
        <v>-0.487837782076913</v>
      </c>
      <c r="N606" s="10" t="n">
        <f aca="false">(H606-AVERAGE(H547:H606))/STDEV(H547:H606)</f>
        <v>0.102905464298631</v>
      </c>
      <c r="O606" s="10" t="n">
        <f aca="false">IF(COUNT(B606)=0,"",B606-('Signal Analysis'!$C$6+'Signal Analysis'!$C$5*H606))</f>
        <v>-0.542123683489564</v>
      </c>
    </row>
    <row r="607" customFormat="false" ht="15" hidden="false" customHeight="false" outlineLevel="0" collapsed="false">
      <c r="A607" s="8" t="n">
        <v>43206</v>
      </c>
      <c r="B607" s="9" t="n">
        <v>18.986890236</v>
      </c>
      <c r="C607" s="9" t="n">
        <v>154.839996</v>
      </c>
      <c r="D607" s="9" t="n">
        <v>155.820007</v>
      </c>
      <c r="E607" s="9" t="n">
        <v>154.110001</v>
      </c>
      <c r="F607" s="9" t="n">
        <v>155.369995</v>
      </c>
      <c r="G607" s="9" t="n">
        <v>150.176636</v>
      </c>
      <c r="H607" s="9" t="n">
        <v>150.176636</v>
      </c>
      <c r="I607" s="2" t="str">
        <f aca="false">IF(COUNT(C607:F607)&lt;4,"",IF(OR(D607&lt;MAX(C607,F607)-0.000001,E607&gt;MIN(C607,F607)+0.000001),"FAIL","OK"))</f>
        <v>OK</v>
      </c>
      <c r="J607" s="10" t="n">
        <f aca="false">IF(COUNT(F607,G607)&lt;2,"",G607/F607)</f>
        <v>0.966574247492252</v>
      </c>
      <c r="K607" s="10" t="n">
        <f aca="false">H607/H606-1</f>
        <v>0.00922393409960121</v>
      </c>
      <c r="L607" s="10" t="n">
        <f aca="false">H612/H607-1</f>
        <v>-0.000321787738007395</v>
      </c>
      <c r="M607" s="10" t="n">
        <f aca="false">IF(COUNT(B548:B607)&lt;60,"",(B607-AVERAGE(B548:B607))/STDEV(B548:B607))</f>
        <v>0.602116815831006</v>
      </c>
      <c r="N607" s="10" t="n">
        <f aca="false">(H607-AVERAGE(H548:H607))/STDEV(H548:H607)</f>
        <v>0.497516128255702</v>
      </c>
      <c r="O607" s="10" t="n">
        <f aca="false">IF(COUNT(B607)=0,"",B607-('Signal Analysis'!$C$6+'Signal Analysis'!$C$5*H607))</f>
        <v>0.241613554706419</v>
      </c>
    </row>
    <row r="608" customFormat="false" ht="15" hidden="false" customHeight="false" outlineLevel="0" collapsed="false">
      <c r="A608" s="8" t="n">
        <v>43207</v>
      </c>
      <c r="B608" s="9" t="n">
        <v>18.2431974744</v>
      </c>
      <c r="C608" s="9" t="n">
        <v>156.210007</v>
      </c>
      <c r="D608" s="9" t="n">
        <v>157.490005</v>
      </c>
      <c r="E608" s="9" t="n">
        <v>155.960007</v>
      </c>
      <c r="F608" s="9" t="n">
        <v>157.059998</v>
      </c>
      <c r="G608" s="9" t="n">
        <v>151.810135</v>
      </c>
      <c r="H608" s="9" t="n">
        <v>151.810135</v>
      </c>
      <c r="I608" s="2" t="str">
        <f aca="false">IF(COUNT(C608:F608)&lt;4,"",IF(OR(D608&lt;MAX(C608,F608)-0.000001,E608&gt;MIN(C608,F608)+0.000001),"FAIL","OK"))</f>
        <v>OK</v>
      </c>
      <c r="J608" s="10" t="n">
        <f aca="false">IF(COUNT(F608,G608)&lt;2,"",G608/F608)</f>
        <v>0.966574155947716</v>
      </c>
      <c r="K608" s="10" t="n">
        <f aca="false">H608/H607-1</f>
        <v>0.0108771846507469</v>
      </c>
      <c r="L608" s="10" t="n">
        <f aca="false">H613/H608-1</f>
        <v>-0.016745456421602</v>
      </c>
      <c r="M608" s="10" t="n">
        <f aca="false">IF(COUNT(B549:B608)&lt;60,"",(B608-AVERAGE(B549:B608))/STDEV(B549:B608))</f>
        <v>-0.225885885073916</v>
      </c>
      <c r="N608" s="10" t="n">
        <f aca="false">(H608-AVERAGE(H549:H608))/STDEV(H549:H608)</f>
        <v>0.973865087802218</v>
      </c>
      <c r="O608" s="10" t="n">
        <f aca="false">IF(COUNT(B608)=0,"",B608-('Signal Analysis'!$C$6+'Signal Analysis'!$C$5*H608))</f>
        <v>-0.725529500787825</v>
      </c>
    </row>
    <row r="609" customFormat="false" ht="15" hidden="false" customHeight="false" outlineLevel="0" collapsed="false">
      <c r="A609" s="8" t="n">
        <v>43208</v>
      </c>
      <c r="B609" s="9" t="n">
        <v>19.405268496</v>
      </c>
      <c r="C609" s="9" t="n">
        <v>157.520004</v>
      </c>
      <c r="D609" s="9" t="n">
        <v>158.380005</v>
      </c>
      <c r="E609" s="9" t="n">
        <v>157.160004</v>
      </c>
      <c r="F609" s="9" t="n">
        <v>157.479996</v>
      </c>
      <c r="G609" s="9" t="n">
        <v>152.21608</v>
      </c>
      <c r="H609" s="9" t="n">
        <v>152.21608</v>
      </c>
      <c r="I609" s="2" t="str">
        <f aca="false">IF(COUNT(C609:F609)&lt;4,"",IF(OR(D609&lt;MAX(C609,F609)-0.000001,E609&gt;MIN(C609,F609)+0.000001),"FAIL","OK"))</f>
        <v>OK</v>
      </c>
      <c r="J609" s="10" t="n">
        <f aca="false">IF(COUNT(F609,G609)&lt;2,"",G609/F609)</f>
        <v>0.966574065699113</v>
      </c>
      <c r="K609" s="10" t="n">
        <f aca="false">H609/H608-1</f>
        <v>0.0026740309532034</v>
      </c>
      <c r="L609" s="10" t="n">
        <f aca="false">H614/H609-1</f>
        <v>-0.0208279506343877</v>
      </c>
      <c r="M609" s="10" t="n">
        <f aca="false">IF(COUNT(B550:B609)&lt;60,"",(B609-AVERAGE(B550:B609))/STDEV(B550:B609))</f>
        <v>1.04837049436182</v>
      </c>
      <c r="N609" s="10" t="n">
        <f aca="false">(H609-AVERAGE(H550:H609))/STDEV(H550:H609)</f>
        <v>1.10854296590472</v>
      </c>
      <c r="O609" s="10" t="n">
        <f aca="false">IF(COUNT(B609)=0,"",B609-('Signal Analysis'!$C$6+'Signal Analysis'!$C$5*H609))</f>
        <v>0.38101131873988</v>
      </c>
    </row>
    <row r="610" customFormat="false" ht="15" hidden="false" customHeight="false" outlineLevel="0" collapsed="false">
      <c r="A610" s="8" t="n">
        <v>43209</v>
      </c>
      <c r="B610" s="9" t="n">
        <v>17.94232176</v>
      </c>
      <c r="C610" s="9" t="n">
        <v>157.139999</v>
      </c>
      <c r="D610" s="9" t="n">
        <v>157.539993</v>
      </c>
      <c r="E610" s="9" t="n">
        <v>155.880005</v>
      </c>
      <c r="F610" s="9" t="n">
        <v>156.389999</v>
      </c>
      <c r="G610" s="9" t="n">
        <v>151.162537</v>
      </c>
      <c r="H610" s="9" t="n">
        <v>151.162537</v>
      </c>
      <c r="I610" s="2" t="str">
        <f aca="false">IF(COUNT(C610:F610)&lt;4,"",IF(OR(D610&lt;MAX(C610,F610)-0.000001,E610&gt;MIN(C610,F610)+0.000001),"FAIL","OK"))</f>
        <v>OK</v>
      </c>
      <c r="J610" s="10" t="n">
        <f aca="false">IF(COUNT(F610,G610)&lt;2,"",G610/F610)</f>
        <v>0.966574192509586</v>
      </c>
      <c r="K610" s="10" t="n">
        <f aca="false">H610/H609-1</f>
        <v>-0.00692136468105087</v>
      </c>
      <c r="L610" s="10" t="n">
        <f aca="false">H615/H610-1</f>
        <v>-0.00946350219036074</v>
      </c>
      <c r="M610" s="10" t="n">
        <f aca="false">IF(COUNT(B551:B610)&lt;60,"",(B610-AVERAGE(B551:B610))/STDEV(B551:B610))</f>
        <v>-0.579427463532689</v>
      </c>
      <c r="N610" s="10" t="n">
        <f aca="false">(H610-AVERAGE(H551:H610))/STDEV(H551:H610)</f>
        <v>0.834799142247995</v>
      </c>
      <c r="O610" s="10" t="n">
        <f aca="false">IF(COUNT(B610)=0,"",B610-('Signal Analysis'!$C$6+'Signal Analysis'!$C$5*H610))</f>
        <v>-0.937818712578807</v>
      </c>
    </row>
    <row r="611" customFormat="false" ht="15" hidden="false" customHeight="false" outlineLevel="0" collapsed="false">
      <c r="A611" s="8" t="n">
        <v>43210</v>
      </c>
      <c r="B611" s="9" t="n">
        <v>18.13908942</v>
      </c>
      <c r="C611" s="9" t="n">
        <v>156.050003</v>
      </c>
      <c r="D611" s="9" t="n">
        <v>156.720001</v>
      </c>
      <c r="E611" s="9" t="n">
        <v>155.149994</v>
      </c>
      <c r="F611" s="9" t="n">
        <v>155.550003</v>
      </c>
      <c r="G611" s="9" t="n">
        <v>150.350601</v>
      </c>
      <c r="H611" s="9" t="n">
        <v>150.350601</v>
      </c>
      <c r="I611" s="2" t="str">
        <f aca="false">IF(COUNT(C611:F611)&lt;4,"",IF(OR(D611&lt;MAX(C611,F611)-0.000001,E611&gt;MIN(C611,F611)+0.000001),"FAIL","OK"))</f>
        <v>OK</v>
      </c>
      <c r="J611" s="10" t="n">
        <f aca="false">IF(COUNT(F611,G611)&lt;2,"",G611/F611)</f>
        <v>0.966574079718919</v>
      </c>
      <c r="K611" s="10" t="n">
        <f aca="false">H611/H610-1</f>
        <v>-0.00537127793773384</v>
      </c>
      <c r="L611" s="10" t="n">
        <f aca="false">H616/H611-1</f>
        <v>-0.00552876406526637</v>
      </c>
      <c r="M611" s="10" t="n">
        <f aca="false">IF(COUNT(B552:B611)&lt;60,"",(B611-AVERAGE(B552:B611))/STDEV(B552:B611))</f>
        <v>-0.373667660457427</v>
      </c>
      <c r="N611" s="10" t="n">
        <f aca="false">(H611-AVERAGE(H552:H611))/STDEV(H552:H611)</f>
        <v>0.619379611114682</v>
      </c>
      <c r="O611" s="10" t="n">
        <f aca="false">IF(COUNT(B611)=0,"",B611-('Signal Analysis'!$C$6+'Signal Analysis'!$C$5*H611))</f>
        <v>-0.629984355982536</v>
      </c>
    </row>
    <row r="612" customFormat="false" ht="15" hidden="false" customHeight="false" outlineLevel="0" collapsed="false">
      <c r="A612" s="8" t="n">
        <v>43213</v>
      </c>
      <c r="B612" s="9" t="n">
        <v>19.65745386</v>
      </c>
      <c r="C612" s="9" t="n">
        <v>155.779999</v>
      </c>
      <c r="D612" s="9" t="n">
        <v>156.289993</v>
      </c>
      <c r="E612" s="9" t="n">
        <v>154.570007</v>
      </c>
      <c r="F612" s="9" t="n">
        <v>155.320007</v>
      </c>
      <c r="G612" s="9" t="n">
        <v>150.128311</v>
      </c>
      <c r="H612" s="9" t="n">
        <v>150.128311</v>
      </c>
      <c r="I612" s="2" t="str">
        <f aca="false">IF(COUNT(C612:F612)&lt;4,"",IF(OR(D612&lt;MAX(C612,F612)-0.000001,E612&gt;MIN(C612,F612)+0.000001),"FAIL","OK"))</f>
        <v>OK</v>
      </c>
      <c r="J612" s="10" t="n">
        <f aca="false">IF(COUNT(F612,G612)&lt;2,"",G612/F612)</f>
        <v>0.966574196716332</v>
      </c>
      <c r="K612" s="10" t="n">
        <f aca="false">H612/H611-1</f>
        <v>-0.00147847762843334</v>
      </c>
      <c r="L612" s="10" t="n">
        <f aca="false">H617/H612-1</f>
        <v>-0.0128765586392295</v>
      </c>
      <c r="M612" s="10" t="n">
        <f aca="false">IF(COUNT(B553:B612)&lt;60,"",(B612-AVERAGE(B553:B612))/STDEV(B553:B612))</f>
        <v>1.31470153954141</v>
      </c>
      <c r="N612" s="10" t="n">
        <f aca="false">(H612-AVERAGE(H553:H612))/STDEV(H553:H612)</f>
        <v>0.578936314607529</v>
      </c>
      <c r="O612" s="10" t="n">
        <f aca="false">IF(COUNT(B612)=0,"",B612-('Signal Analysis'!$C$6+'Signal Analysis'!$C$5*H612))</f>
        <v>0.918787672776166</v>
      </c>
    </row>
    <row r="613" customFormat="false" ht="15" hidden="false" customHeight="false" outlineLevel="0" collapsed="false">
      <c r="A613" s="8" t="n">
        <v>43214</v>
      </c>
      <c r="B613" s="9" t="n">
        <v>19.731454116</v>
      </c>
      <c r="C613" s="9" t="n">
        <v>155.899994</v>
      </c>
      <c r="D613" s="9" t="n">
        <v>156.630005</v>
      </c>
      <c r="E613" s="9" t="n">
        <v>153.190002</v>
      </c>
      <c r="F613" s="9" t="n">
        <v>154.429993</v>
      </c>
      <c r="G613" s="9" t="n">
        <v>149.268005</v>
      </c>
      <c r="H613" s="9" t="n">
        <v>149.268005</v>
      </c>
      <c r="I613" s="2" t="str">
        <f aca="false">IF(COUNT(C613:F613)&lt;4,"",IF(OR(D613&lt;MAX(C613,F613)-0.000001,E613&gt;MIN(C613,F613)+0.000001),"FAIL","OK"))</f>
        <v>OK</v>
      </c>
      <c r="J613" s="10" t="n">
        <f aca="false">IF(COUNT(F613,G613)&lt;2,"",G613/F613)</f>
        <v>0.966573928420757</v>
      </c>
      <c r="K613" s="10" t="n">
        <f aca="false">H613/H612-1</f>
        <v>-0.00573047144985206</v>
      </c>
      <c r="L613" s="10" t="n">
        <f aca="false">H618/H613-1</f>
        <v>-0.00233070710632177</v>
      </c>
      <c r="M613" s="10" t="n">
        <f aca="false">IF(COUNT(B554:B613)&lt;60,"",(B613-AVERAGE(B554:B613))/STDEV(B554:B613))</f>
        <v>1.35642989867228</v>
      </c>
      <c r="N613" s="10" t="n">
        <f aca="false">(H613-AVERAGE(H554:H613))/STDEV(H554:H613)</f>
        <v>0.349032493046141</v>
      </c>
      <c r="O613" s="10" t="n">
        <f aca="false">IF(COUNT(B613)=0,"",B613-('Signal Analysis'!$C$6+'Signal Analysis'!$C$5*H613))</f>
        <v>1.11047127510145</v>
      </c>
    </row>
    <row r="614" customFormat="false" ht="15" hidden="false" customHeight="false" outlineLevel="0" collapsed="false">
      <c r="A614" s="8" t="n">
        <v>43215</v>
      </c>
      <c r="B614" s="9" t="n">
        <v>18.9106684344</v>
      </c>
      <c r="C614" s="9" t="n">
        <v>154.360001</v>
      </c>
      <c r="D614" s="9" t="n">
        <v>154.800003</v>
      </c>
      <c r="E614" s="9" t="n">
        <v>152.960007</v>
      </c>
      <c r="F614" s="9" t="n">
        <v>154.199997</v>
      </c>
      <c r="G614" s="9" t="n">
        <v>149.045731</v>
      </c>
      <c r="H614" s="9" t="n">
        <v>149.045731</v>
      </c>
      <c r="I614" s="2" t="str">
        <f aca="false">IF(COUNT(C614:F614)&lt;4,"",IF(OR(D614&lt;MAX(C614,F614)-0.000001,E614&gt;MIN(C614,F614)+0.000001),"FAIL","OK"))</f>
        <v>OK</v>
      </c>
      <c r="J614" s="10" t="n">
        <f aca="false">IF(COUNT(F614,G614)&lt;2,"",G614/F614)</f>
        <v>0.966574149803648</v>
      </c>
      <c r="K614" s="10" t="n">
        <f aca="false">H614/H613-1</f>
        <v>-0.00148909339278702</v>
      </c>
      <c r="L614" s="10" t="n">
        <f aca="false">H619/H614-1</f>
        <v>0.00291844655382989</v>
      </c>
      <c r="M614" s="10" t="n">
        <f aca="false">IF(COUNT(B555:B614)&lt;60,"",(B614-AVERAGE(B555:B614))/STDEV(B555:B614))</f>
        <v>0.412320467791534</v>
      </c>
      <c r="N614" s="10" t="n">
        <f aca="false">(H614-AVERAGE(H555:H614))/STDEV(H555:H614)</f>
        <v>0.306344639230358</v>
      </c>
      <c r="O614" s="10" t="n">
        <f aca="false">IF(COUNT(B614)=0,"",B614-('Signal Analysis'!$C$6+'Signal Analysis'!$C$5*H614))</f>
        <v>0.320090993581296</v>
      </c>
    </row>
    <row r="615" customFormat="false" ht="15" hidden="false" customHeight="false" outlineLevel="0" collapsed="false">
      <c r="A615" s="8" t="n">
        <v>43216</v>
      </c>
      <c r="B615" s="9" t="n">
        <v>18.6048364812</v>
      </c>
      <c r="C615" s="9" t="n">
        <v>154.419998</v>
      </c>
      <c r="D615" s="9" t="n">
        <v>155.410004</v>
      </c>
      <c r="E615" s="9" t="n">
        <v>153.940002</v>
      </c>
      <c r="F615" s="9" t="n">
        <v>154.910004</v>
      </c>
      <c r="G615" s="9" t="n">
        <v>149.73201</v>
      </c>
      <c r="H615" s="9" t="n">
        <v>149.73201</v>
      </c>
      <c r="I615" s="2" t="str">
        <f aca="false">IF(COUNT(C615:F615)&lt;4,"",IF(OR(D615&lt;MAX(C615,F615)-0.000001,E615&gt;MIN(C615,F615)+0.000001),"FAIL","OK"))</f>
        <v>OK</v>
      </c>
      <c r="J615" s="10" t="n">
        <f aca="false">IF(COUNT(F615,G615)&lt;2,"",G615/F615)</f>
        <v>0.966574179418393</v>
      </c>
      <c r="K615" s="10" t="n">
        <f aca="false">H615/H614-1</f>
        <v>0.00460448612245057</v>
      </c>
      <c r="L615" s="10" t="n">
        <f aca="false">H620/H615-1</f>
        <v>-0.00710090647951633</v>
      </c>
      <c r="M615" s="10" t="n">
        <f aca="false">IF(COUNT(B556:B615)&lt;60,"",(B615-AVERAGE(B556:B615))/STDEV(B556:B615))</f>
        <v>0.036011713996308</v>
      </c>
      <c r="N615" s="10" t="n">
        <f aca="false">(H615-AVERAGE(H556:H615))/STDEV(H556:H615)</f>
        <v>0.539503885018554</v>
      </c>
      <c r="O615" s="10" t="n">
        <f aca="false">IF(COUNT(B615)=0,"",B615-('Signal Analysis'!$C$6+'Signal Analysis'!$C$5*H615))</f>
        <v>-0.0796187301245048</v>
      </c>
    </row>
    <row r="616" customFormat="false" ht="15" hidden="false" customHeight="false" outlineLevel="0" collapsed="false">
      <c r="A616" s="8" t="n">
        <v>43217</v>
      </c>
      <c r="B616" s="9" t="n">
        <v>19.8554983368</v>
      </c>
      <c r="C616" s="9" t="n">
        <v>154.880005</v>
      </c>
      <c r="D616" s="9" t="n">
        <v>155.369995</v>
      </c>
      <c r="E616" s="9" t="n">
        <v>153.779999</v>
      </c>
      <c r="F616" s="9" t="n">
        <v>154.690002</v>
      </c>
      <c r="G616" s="9" t="n">
        <v>149.519348</v>
      </c>
      <c r="H616" s="9" t="n">
        <v>149.519348</v>
      </c>
      <c r="I616" s="2" t="str">
        <f aca="false">IF(COUNT(C616:F616)&lt;4,"",IF(OR(D616&lt;MAX(C616,F616)-0.000001,E616&gt;MIN(C616,F616)+0.000001),"FAIL","OK"))</f>
        <v>OK</v>
      </c>
      <c r="J616" s="10" t="n">
        <f aca="false">IF(COUNT(F616,G616)&lt;2,"",G616/F616)</f>
        <v>0.966574090547882</v>
      </c>
      <c r="K616" s="10" t="n">
        <f aca="false">H616/H615-1</f>
        <v>-0.00142028414632245</v>
      </c>
      <c r="L616" s="10" t="n">
        <f aca="false">H621/H616-1</f>
        <v>0.00672300283171357</v>
      </c>
      <c r="M616" s="10" t="n">
        <f aca="false">IF(COUNT(B557:B616)&lt;60,"",(B616-AVERAGE(B557:B616))/STDEV(B557:B616))</f>
        <v>1.46597595835248</v>
      </c>
      <c r="N616" s="10" t="n">
        <f aca="false">(H616-AVERAGE(H557:H616))/STDEV(H557:H616)</f>
        <v>0.480145130018831</v>
      </c>
      <c r="O616" s="10" t="n">
        <f aca="false">IF(COUNT(B616)=0,"",B616-('Signal Analysis'!$C$6+'Signal Analysis'!$C$5*H616))</f>
        <v>1.20013367674007</v>
      </c>
    </row>
    <row r="617" customFormat="false" ht="15" hidden="false" customHeight="false" outlineLevel="0" collapsed="false">
      <c r="A617" s="8" t="n">
        <v>43220</v>
      </c>
      <c r="B617" s="9" t="n">
        <v>19.7710479072</v>
      </c>
      <c r="C617" s="9" t="n">
        <v>155.020004</v>
      </c>
      <c r="D617" s="9" t="n">
        <v>155.649994</v>
      </c>
      <c r="E617" s="9" t="n">
        <v>153.289993</v>
      </c>
      <c r="F617" s="9" t="n">
        <v>153.320007</v>
      </c>
      <c r="G617" s="9" t="n">
        <v>148.195175</v>
      </c>
      <c r="H617" s="9" t="n">
        <v>148.195175</v>
      </c>
      <c r="I617" s="2" t="str">
        <f aca="false">IF(COUNT(C617:F617)&lt;4,"",IF(OR(D617&lt;MAX(C617,F617)-0.000001,E617&gt;MIN(C617,F617)+0.000001),"FAIL","OK"))</f>
        <v>OK</v>
      </c>
      <c r="J617" s="10" t="n">
        <f aca="false">IF(COUNT(F617,G617)&lt;2,"",G617/F617)</f>
        <v>0.966574277550092</v>
      </c>
      <c r="K617" s="10" t="n">
        <f aca="false">H617/H616-1</f>
        <v>-0.00885619832959683</v>
      </c>
      <c r="L617" s="10" t="n">
        <f aca="false">H622/H617-1</f>
        <v>0.0243278568279972</v>
      </c>
      <c r="M617" s="10" t="n">
        <f aca="false">IF(COUNT(B558:B617)&lt;60,"",(B617-AVERAGE(B558:B617))/STDEV(B558:B617))</f>
        <v>1.33476214010306</v>
      </c>
      <c r="N617" s="10" t="n">
        <f aca="false">(H617-AVERAGE(H558:H617))/STDEV(H558:H617)</f>
        <v>0.0693943538667366</v>
      </c>
      <c r="O617" s="10" t="n">
        <f aca="false">IF(COUNT(B617)=0,"",B617-('Signal Analysis'!$C$6+'Signal Analysis'!$C$5*H617))</f>
        <v>1.29682008653625</v>
      </c>
    </row>
    <row r="618" customFormat="false" ht="15" hidden="false" customHeight="false" outlineLevel="0" collapsed="false">
      <c r="A618" s="8" t="n">
        <v>43221</v>
      </c>
      <c r="B618" s="9" t="n">
        <v>19.8775266192</v>
      </c>
      <c r="C618" s="9" t="n">
        <v>153.009995</v>
      </c>
      <c r="D618" s="9" t="n">
        <v>154.289993</v>
      </c>
      <c r="E618" s="9" t="n">
        <v>151.710007</v>
      </c>
      <c r="F618" s="9" t="n">
        <v>154.070007</v>
      </c>
      <c r="G618" s="9" t="n">
        <v>148.920105</v>
      </c>
      <c r="H618" s="9" t="n">
        <v>148.920105</v>
      </c>
      <c r="I618" s="2" t="str">
        <f aca="false">IF(COUNT(C618:F618)&lt;4,"",IF(OR(D618&lt;MAX(C618,F618)-0.000001,E618&gt;MIN(C618,F618)+0.000001),"FAIL","OK"))</f>
        <v>OK</v>
      </c>
      <c r="J618" s="10" t="n">
        <f aca="false">IF(COUNT(F618,G618)&lt;2,"",G618/F618)</f>
        <v>0.966574272953723</v>
      </c>
      <c r="K618" s="10" t="n">
        <f aca="false">H618/H617-1</f>
        <v>0.00489172471370947</v>
      </c>
      <c r="L618" s="10" t="n">
        <f aca="false">H623/H618-1</f>
        <v>0.0244042065374583</v>
      </c>
      <c r="M618" s="10" t="n">
        <f aca="false">IF(COUNT(B559:B618)&lt;60,"",(B618-AVERAGE(B559:B618))/STDEV(B559:B618))</f>
        <v>1.43287662709211</v>
      </c>
      <c r="N618" s="10" t="n">
        <f aca="false">(H618-AVERAGE(H559:H618))/STDEV(H559:H618)</f>
        <v>0.302536805197525</v>
      </c>
      <c r="O618" s="10" t="n">
        <f aca="false">IF(COUNT(B618)=0,"",B618-('Signal Analysis'!$C$6+'Signal Analysis'!$C$5*H618))</f>
        <v>1.30413386390651</v>
      </c>
    </row>
    <row r="619" customFormat="false" ht="15" hidden="false" customHeight="false" outlineLevel="0" collapsed="false">
      <c r="A619" s="8" t="n">
        <v>43222</v>
      </c>
      <c r="B619" s="9" t="n">
        <v>19.2438568608</v>
      </c>
      <c r="C619" s="9" t="n">
        <v>153.779999</v>
      </c>
      <c r="D619" s="9" t="n">
        <v>155.779999</v>
      </c>
      <c r="E619" s="9" t="n">
        <v>153.679993</v>
      </c>
      <c r="F619" s="9" t="n">
        <v>154.649994</v>
      </c>
      <c r="G619" s="9" t="n">
        <v>149.480713</v>
      </c>
      <c r="H619" s="9" t="n">
        <v>149.480713</v>
      </c>
      <c r="I619" s="2" t="str">
        <f aca="false">IF(COUNT(C619:F619)&lt;4,"",IF(OR(D619&lt;MAX(C619,F619)-0.000001,E619&gt;MIN(C619,F619)+0.000001),"FAIL","OK"))</f>
        <v>OK</v>
      </c>
      <c r="J619" s="10" t="n">
        <f aca="false">IF(COUNT(F619,G619)&lt;2,"",G619/F619)</f>
        <v>0.966574321367255</v>
      </c>
      <c r="K619" s="10" t="n">
        <f aca="false">H619/H618-1</f>
        <v>0.00376448834762777</v>
      </c>
      <c r="L619" s="10" t="n">
        <f aca="false">H624/H619-1</f>
        <v>0.0260586394179161</v>
      </c>
      <c r="M619" s="10" t="n">
        <f aca="false">IF(COUNT(B560:B619)&lt;60,"",(B619-AVERAGE(B560:B619))/STDEV(B560:B619))</f>
        <v>0.629421119224562</v>
      </c>
      <c r="N619" s="10" t="n">
        <f aca="false">(H619-AVERAGE(H560:H619))/STDEV(H560:H619)</f>
        <v>0.459521804532037</v>
      </c>
      <c r="O619" s="10" t="n">
        <f aca="false">IF(COUNT(B619)=0,"",B619-('Signal Analysis'!$C$6+'Signal Analysis'!$C$5*H619))</f>
        <v>0.593777176185181</v>
      </c>
    </row>
    <row r="620" customFormat="false" ht="15" hidden="false" customHeight="false" outlineLevel="0" collapsed="false">
      <c r="A620" s="8" t="n">
        <v>43223</v>
      </c>
      <c r="B620" s="9" t="n">
        <v>18.53966496</v>
      </c>
      <c r="C620" s="9" t="n">
        <v>154.110001</v>
      </c>
      <c r="D620" s="9" t="n">
        <v>154.5</v>
      </c>
      <c r="E620" s="9" t="n">
        <v>152.160004</v>
      </c>
      <c r="F620" s="9" t="n">
        <v>153.809998</v>
      </c>
      <c r="G620" s="9" t="n">
        <v>148.668777</v>
      </c>
      <c r="H620" s="9" t="n">
        <v>148.668777</v>
      </c>
      <c r="I620" s="2" t="str">
        <f aca="false">IF(COUNT(C620:F620)&lt;4,"",IF(OR(D620&lt;MAX(C620,F620)-0.000001,E620&gt;MIN(C620,F620)+0.000001),"FAIL","OK"))</f>
        <v>OK</v>
      </c>
      <c r="J620" s="10" t="n">
        <f aca="false">IF(COUNT(F620,G620)&lt;2,"",G620/F620)</f>
        <v>0.966574208004346</v>
      </c>
      <c r="K620" s="10" t="n">
        <f aca="false">H620/H619-1</f>
        <v>-0.00543171077863403</v>
      </c>
      <c r="L620" s="10" t="n">
        <f aca="false">H625/H620-1</f>
        <v>0.0371886694137533</v>
      </c>
      <c r="M620" s="10" t="n">
        <f aca="false">IF(COUNT(B561:B620)&lt;60,"",(B620-AVERAGE(B561:B620))/STDEV(B561:B620))</f>
        <v>-0.342343790218178</v>
      </c>
      <c r="N620" s="10" t="n">
        <f aca="false">(H620-AVERAGE(H561:H620))/STDEV(H561:H620)</f>
        <v>0.166324604775682</v>
      </c>
      <c r="O620" s="10" t="n">
        <f aca="false">IF(COUNT(B620)=0,"",B620-('Signal Analysis'!$C$6+'Signal Analysis'!$C$5*H620))</f>
        <v>0.000651971981451283</v>
      </c>
    </row>
    <row r="621" customFormat="false" ht="15" hidden="false" customHeight="false" outlineLevel="0" collapsed="false">
      <c r="A621" s="8" t="n">
        <v>43224</v>
      </c>
      <c r="B621" s="9" t="n">
        <v>18.8382875472</v>
      </c>
      <c r="C621" s="9" t="n">
        <v>153.259995</v>
      </c>
      <c r="D621" s="9" t="n">
        <v>156.5</v>
      </c>
      <c r="E621" s="9" t="n">
        <v>152.800003</v>
      </c>
      <c r="F621" s="9" t="n">
        <v>155.729996</v>
      </c>
      <c r="G621" s="9" t="n">
        <v>150.524567</v>
      </c>
      <c r="H621" s="9" t="n">
        <v>150.524567</v>
      </c>
      <c r="I621" s="2" t="str">
        <f aca="false">IF(COUNT(C621:F621)&lt;4,"",IF(OR(D621&lt;MAX(C621,F621)-0.000001,E621&gt;MIN(C621,F621)+0.000001),"FAIL","OK"))</f>
        <v>OK</v>
      </c>
      <c r="J621" s="10" t="n">
        <f aca="false">IF(COUNT(F621,G621)&lt;2,"",G621/F621)</f>
        <v>0.966574011855751</v>
      </c>
      <c r="K621" s="10" t="n">
        <f aca="false">H621/H620-1</f>
        <v>0.0124827151836999</v>
      </c>
      <c r="L621" s="10" t="n">
        <f aca="false">H626/H621-1</f>
        <v>0.0263919775965873</v>
      </c>
      <c r="M621" s="10" t="n">
        <f aca="false">IF(COUNT(B562:B621)&lt;60,"",(B621-AVERAGE(B562:B621))/STDEV(B562:B621))</f>
        <v>0.0105412840960194</v>
      </c>
      <c r="N621" s="10" t="n">
        <f aca="false">(H621-AVERAGE(H562:H621))/STDEV(H562:H621)</f>
        <v>0.767501876508833</v>
      </c>
      <c r="O621" s="10" t="n">
        <f aca="false">IF(COUNT(B621)=0,"",B621-('Signal Analysis'!$C$6+'Signal Analysis'!$C$5*H621))</f>
        <v>0.0454165397360846</v>
      </c>
    </row>
    <row r="622" customFormat="false" ht="15" hidden="false" customHeight="false" outlineLevel="0" collapsed="false">
      <c r="A622" s="8" t="n">
        <v>43227</v>
      </c>
      <c r="B622" s="9" t="n">
        <v>20.31963318</v>
      </c>
      <c r="C622" s="9" t="n">
        <v>156.190002</v>
      </c>
      <c r="D622" s="9" t="n">
        <v>157.860001</v>
      </c>
      <c r="E622" s="9" t="n">
        <v>156.100006</v>
      </c>
      <c r="F622" s="9" t="n">
        <v>157.050003</v>
      </c>
      <c r="G622" s="9" t="n">
        <v>151.800446</v>
      </c>
      <c r="H622" s="9" t="n">
        <v>151.800446</v>
      </c>
      <c r="I622" s="2" t="str">
        <f aca="false">IF(COUNT(C622:F622)&lt;4,"",IF(OR(D622&lt;MAX(C622,F622)-0.000001,E622&gt;MIN(C622,F622)+0.000001),"FAIL","OK"))</f>
        <v>OK</v>
      </c>
      <c r="J622" s="10" t="n">
        <f aca="false">IF(COUNT(F622,G622)&lt;2,"",G622/F622)</f>
        <v>0.966573977079134</v>
      </c>
      <c r="K622" s="10" t="n">
        <f aca="false">H622/H621-1</f>
        <v>0.00847621770604401</v>
      </c>
      <c r="L622" s="10" t="n">
        <f aca="false">H627/H622-1</f>
        <v>0.0138809341838166</v>
      </c>
      <c r="M622" s="10" t="n">
        <f aca="false">IF(COUNT(B563:B622)&lt;60,"",(B622-AVERAGE(B563:B622))/STDEV(B563:B622))</f>
        <v>2.29256173278981</v>
      </c>
      <c r="N622" s="10" t="n">
        <f aca="false">(H622-AVERAGE(H563:H622))/STDEV(H563:H622)</f>
        <v>1.20408149241776</v>
      </c>
      <c r="O622" s="10" t="n">
        <f aca="false">IF(COUNT(B622)=0,"",B622-('Signal Analysis'!$C$6+'Signal Analysis'!$C$5*H622))</f>
        <v>1.35223158664439</v>
      </c>
    </row>
    <row r="623" customFormat="false" ht="15" hidden="false" customHeight="false" outlineLevel="0" collapsed="false">
      <c r="A623" s="8" t="n">
        <v>43228</v>
      </c>
      <c r="B623" s="9" t="n">
        <v>18.8515821684</v>
      </c>
      <c r="C623" s="9" t="n">
        <v>156.919998</v>
      </c>
      <c r="D623" s="9" t="n">
        <v>157.830002</v>
      </c>
      <c r="E623" s="9" t="n">
        <v>156.75</v>
      </c>
      <c r="F623" s="9" t="n">
        <v>157.830002</v>
      </c>
      <c r="G623" s="9" t="n">
        <v>152.554382</v>
      </c>
      <c r="H623" s="9" t="n">
        <v>152.554382</v>
      </c>
      <c r="I623" s="2" t="str">
        <f aca="false">IF(COUNT(C623:F623)&lt;4,"",IF(OR(D623&lt;MAX(C623,F623)-0.000001,E623&gt;MIN(C623,F623)+0.000001),"FAIL","OK"))</f>
        <v>OK</v>
      </c>
      <c r="J623" s="10" t="n">
        <f aca="false">IF(COUNT(F623,G623)&lt;2,"",G623/F623)</f>
        <v>0.966574035778065</v>
      </c>
      <c r="K623" s="10" t="n">
        <f aca="false">H623/H622-1</f>
        <v>0.00496662572387963</v>
      </c>
      <c r="L623" s="10" t="n">
        <f aca="false">H628/H623-1</f>
        <v>0.00906059191403608</v>
      </c>
      <c r="M623" s="10" t="n">
        <f aca="false">IF(COUNT(B564:B623)&lt;60,"",(B623-AVERAGE(B564:B623))/STDEV(B564:B623))</f>
        <v>-0.0844607729292728</v>
      </c>
      <c r="N623" s="10" t="n">
        <f aca="false">(H623-AVERAGE(H564:H623))/STDEV(H564:H623)</f>
        <v>1.46564050561822</v>
      </c>
      <c r="O623" s="10" t="n">
        <f aca="false">IF(COUNT(B623)=0,"",B623-('Signal Analysis'!$C$6+'Signal Analysis'!$C$5*H623))</f>
        <v>-0.218952160743907</v>
      </c>
    </row>
    <row r="624" customFormat="false" ht="15" hidden="false" customHeight="false" outlineLevel="0" collapsed="false">
      <c r="A624" s="8" t="n">
        <v>43229</v>
      </c>
      <c r="B624" s="9" t="n">
        <v>20.4383342424</v>
      </c>
      <c r="C624" s="9" t="n">
        <v>158.009995</v>
      </c>
      <c r="D624" s="9" t="n">
        <v>159.100006</v>
      </c>
      <c r="E624" s="9" t="n">
        <v>157.380005</v>
      </c>
      <c r="F624" s="9" t="n">
        <v>158.679993</v>
      </c>
      <c r="G624" s="9" t="n">
        <v>153.375977</v>
      </c>
      <c r="H624" s="9" t="n">
        <v>153.375977</v>
      </c>
      <c r="I624" s="2" t="str">
        <f aca="false">IF(COUNT(C624:F624)&lt;4,"",IF(OR(D624&lt;MAX(C624,F624)-0.000001,E624&gt;MIN(C624,F624)+0.000001),"FAIL","OK"))</f>
        <v>OK</v>
      </c>
      <c r="J624" s="10" t="n">
        <f aca="false">IF(COUNT(F624,G624)&lt;2,"",G624/F624)</f>
        <v>0.966574135152628</v>
      </c>
      <c r="K624" s="10" t="n">
        <f aca="false">H624/H623-1</f>
        <v>0.00538558767849762</v>
      </c>
      <c r="L624" s="10" t="n">
        <f aca="false">H629/H624-1</f>
        <v>0.014116487094977</v>
      </c>
      <c r="M624" s="10" t="n">
        <f aca="false">IF(COUNT(B565:B624)&lt;60,"",(B624-AVERAGE(B565:B624))/STDEV(B565:B624))</f>
        <v>2.35890300123277</v>
      </c>
      <c r="N624" s="10" t="n">
        <f aca="false">(H624-AVERAGE(H565:H624))/STDEV(H565:H624)</f>
        <v>1.73567566957391</v>
      </c>
      <c r="O624" s="10" t="n">
        <f aca="false">IF(COUNT(B624)=0,"",B624-('Signal Analysis'!$C$6+'Signal Analysis'!$C$5*H624))</f>
        <v>1.25541193860044</v>
      </c>
    </row>
    <row r="625" customFormat="false" ht="15" hidden="false" customHeight="false" outlineLevel="0" collapsed="false">
      <c r="A625" s="8" t="n">
        <v>43230</v>
      </c>
      <c r="B625" s="9" t="n">
        <v>19.9016294472</v>
      </c>
      <c r="C625" s="9" t="n">
        <v>158.899994</v>
      </c>
      <c r="D625" s="9" t="n">
        <v>160.169998</v>
      </c>
      <c r="E625" s="9" t="n">
        <v>158.759995</v>
      </c>
      <c r="F625" s="9" t="n">
        <v>159.529999</v>
      </c>
      <c r="G625" s="9" t="n">
        <v>154.197571</v>
      </c>
      <c r="H625" s="9" t="n">
        <v>154.197571</v>
      </c>
      <c r="I625" s="2" t="str">
        <f aca="false">IF(COUNT(C625:F625)&lt;4,"",IF(OR(D625&lt;MAX(C625,F625)-0.000001,E625&gt;MIN(C625,F625)+0.000001),"FAIL","OK"))</f>
        <v>OK</v>
      </c>
      <c r="J625" s="10" t="n">
        <f aca="false">IF(COUNT(F625,G625)&lt;2,"",G625/F625)</f>
        <v>0.966574136316518</v>
      </c>
      <c r="K625" s="10" t="n">
        <f aca="false">H625/H624-1</f>
        <v>0.00535673197374331</v>
      </c>
      <c r="L625" s="10" t="n">
        <f aca="false">H630/H625-1</f>
        <v>0.0133517472853057</v>
      </c>
      <c r="M625" s="10" t="n">
        <f aca="false">IF(COUNT(B566:B625)&lt;60,"",(B625-AVERAGE(B566:B625))/STDEV(B566:B625))</f>
        <v>1.46040677564053</v>
      </c>
      <c r="N625" s="10" t="n">
        <f aca="false">(H625-AVERAGE(H566:H625))/STDEV(H566:H625)</f>
        <v>1.99170872534325</v>
      </c>
      <c r="O625" s="10" t="n">
        <f aca="false">IF(COUNT(B625)=0,"",B625-('Signal Analysis'!$C$6+'Signal Analysis'!$C$5*H625))</f>
        <v>0.606319305537209</v>
      </c>
    </row>
    <row r="626" customFormat="false" ht="15" hidden="false" customHeight="false" outlineLevel="0" collapsed="false">
      <c r="A626" s="8" t="n">
        <v>43231</v>
      </c>
      <c r="B626" s="9" t="n">
        <v>19.844196372</v>
      </c>
      <c r="C626" s="9" t="n">
        <v>159.550003</v>
      </c>
      <c r="D626" s="9" t="n">
        <v>160.130005</v>
      </c>
      <c r="E626" s="9" t="n">
        <v>159.039993</v>
      </c>
      <c r="F626" s="9" t="n">
        <v>159.839996</v>
      </c>
      <c r="G626" s="9" t="n">
        <v>154.497208</v>
      </c>
      <c r="H626" s="9" t="n">
        <v>154.497208</v>
      </c>
      <c r="I626" s="2" t="str">
        <f aca="false">IF(COUNT(C626:F626)&lt;4,"",IF(OR(D626&lt;MAX(C626,F626)-0.000001,E626&gt;MIN(C626,F626)+0.000001),"FAIL","OK"))</f>
        <v>OK</v>
      </c>
      <c r="J626" s="10" t="n">
        <f aca="false">IF(COUNT(F626,G626)&lt;2,"",G626/F626)</f>
        <v>0.966574148312666</v>
      </c>
      <c r="K626" s="10" t="n">
        <f aca="false">H626/H625-1</f>
        <v>0.00194320181606478</v>
      </c>
      <c r="L626" s="10" t="n">
        <f aca="false">H631/H626-1</f>
        <v>0.0127001842000924</v>
      </c>
      <c r="M626" s="10" t="n">
        <f aca="false">IF(COUNT(B567:B626)&lt;60,"",(B626-AVERAGE(B567:B626))/STDEV(B567:B626))</f>
        <v>1.32226280727457</v>
      </c>
      <c r="N626" s="10" t="n">
        <f aca="false">(H626-AVERAGE(H567:H626))/STDEV(H567:H626)</f>
        <v>2.00565805201766</v>
      </c>
      <c r="O626" s="10" t="n">
        <f aca="false">IF(COUNT(B626)=0,"",B626-('Signal Analysis'!$C$6+'Signal Analysis'!$C$5*H626))</f>
        <v>0.507898157671363</v>
      </c>
    </row>
    <row r="627" customFormat="false" ht="15" hidden="false" customHeight="false" outlineLevel="0" collapsed="false">
      <c r="A627" s="8" t="n">
        <v>43234</v>
      </c>
      <c r="B627" s="9" t="n">
        <v>19.1376068328</v>
      </c>
      <c r="C627" s="9" t="n">
        <v>160.020004</v>
      </c>
      <c r="D627" s="9" t="n">
        <v>160.690002</v>
      </c>
      <c r="E627" s="9" t="n">
        <v>159.050003</v>
      </c>
      <c r="F627" s="9" t="n">
        <v>159.229996</v>
      </c>
      <c r="G627" s="9" t="n">
        <v>153.907578</v>
      </c>
      <c r="H627" s="9" t="n">
        <v>153.907578</v>
      </c>
      <c r="I627" s="2" t="str">
        <f aca="false">IF(COUNT(C627:F627)&lt;4,"",IF(OR(D627&lt;MAX(C627,F627)-0.000001,E627&gt;MIN(C627,F627)+0.000001),"FAIL","OK"))</f>
        <v>OK</v>
      </c>
      <c r="J627" s="10" t="n">
        <f aca="false">IF(COUNT(F627,G627)&lt;2,"",G627/F627)</f>
        <v>0.9665740241556</v>
      </c>
      <c r="K627" s="10" t="n">
        <f aca="false">H627/H626-1</f>
        <v>-0.00381644437225037</v>
      </c>
      <c r="L627" s="10" t="n">
        <f aca="false">H632/H627-1</f>
        <v>0.0232999833185601</v>
      </c>
      <c r="M627" s="10" t="n">
        <f aca="false">IF(COUNT(B568:B627)&lt;60,"",(B627-AVERAGE(B568:B627))/STDEV(B568:B627))</f>
        <v>0.214502313326013</v>
      </c>
      <c r="N627" s="10" t="n">
        <f aca="false">(H627-AVERAGE(H568:H627))/STDEV(H568:H627)</f>
        <v>1.70561952479322</v>
      </c>
      <c r="O627" s="10" t="n">
        <f aca="false">IF(COUNT(B627)=0,"",B627-('Signal Analysis'!$C$6+'Signal Analysis'!$C$5*H627))</f>
        <v>-0.118034462369909</v>
      </c>
    </row>
    <row r="628" customFormat="false" ht="15" hidden="false" customHeight="false" outlineLevel="0" collapsed="false">
      <c r="A628" s="8" t="n">
        <v>43235</v>
      </c>
      <c r="B628" s="9" t="n">
        <v>18.974589018</v>
      </c>
      <c r="C628" s="9" t="n">
        <v>158.710007</v>
      </c>
      <c r="D628" s="9" t="n">
        <v>159.589996</v>
      </c>
      <c r="E628" s="9" t="n">
        <v>158.169998</v>
      </c>
      <c r="F628" s="9" t="n">
        <v>159.259995</v>
      </c>
      <c r="G628" s="9" t="n">
        <v>153.936615</v>
      </c>
      <c r="H628" s="9" t="n">
        <v>153.936615</v>
      </c>
      <c r="I628" s="2" t="str">
        <f aca="false">IF(COUNT(C628:F628)&lt;4,"",IF(OR(D628&lt;MAX(C628,F628)-0.000001,E628&gt;MIN(C628,F628)+0.000001),"FAIL","OK"))</f>
        <v>OK</v>
      </c>
      <c r="J628" s="10" t="n">
        <f aca="false">IF(COUNT(F628,G628)&lt;2,"",G628/F628)</f>
        <v>0.966574280000448</v>
      </c>
      <c r="K628" s="10" t="n">
        <f aca="false">H628/H627-1</f>
        <v>0.000188665174108538</v>
      </c>
      <c r="L628" s="10" t="n">
        <f aca="false">H633/H628-1</f>
        <v>0.015697253054447</v>
      </c>
      <c r="M628" s="10" t="n">
        <f aca="false">IF(COUNT(B569:B628)&lt;60,"",(B628-AVERAGE(B569:B628))/STDEV(B569:B628))</f>
        <v>-0.0422289678797802</v>
      </c>
      <c r="N628" s="10" t="n">
        <f aca="false">(H628-AVERAGE(H569:H628))/STDEV(H569:H628)</f>
        <v>1.64332522613335</v>
      </c>
      <c r="O628" s="10" t="n">
        <f aca="false">IF(COUNT(B628)=0,"",B628-('Signal Analysis'!$C$6+'Signal Analysis'!$C$5*H628))</f>
        <v>-0.285024318893722</v>
      </c>
    </row>
    <row r="629" customFormat="false" ht="15" hidden="false" customHeight="false" outlineLevel="0" collapsed="false">
      <c r="A629" s="8" t="n">
        <v>43236</v>
      </c>
      <c r="B629" s="9" t="n">
        <v>20.673047736</v>
      </c>
      <c r="C629" s="9" t="n">
        <v>159.490005</v>
      </c>
      <c r="D629" s="9" t="n">
        <v>161.320007</v>
      </c>
      <c r="E629" s="9" t="n">
        <v>159.470001</v>
      </c>
      <c r="F629" s="9" t="n">
        <v>160.919998</v>
      </c>
      <c r="G629" s="9" t="n">
        <v>155.541107</v>
      </c>
      <c r="H629" s="9" t="n">
        <v>155.541107</v>
      </c>
      <c r="I629" s="2" t="str">
        <f aca="false">IF(COUNT(C629:F629)&lt;4,"",IF(OR(D629&lt;MAX(C629,F629)-0.000001,E629&gt;MIN(C629,F629)+0.000001),"FAIL","OK"))</f>
        <v>OK</v>
      </c>
      <c r="J629" s="10" t="n">
        <f aca="false">IF(COUNT(F629,G629)&lt;2,"",G629/F629)</f>
        <v>0.966574129587051</v>
      </c>
      <c r="K629" s="10" t="n">
        <f aca="false">H629/H628-1</f>
        <v>0.0104230692613321</v>
      </c>
      <c r="L629" s="10" t="n">
        <f aca="false">H634/H629-1</f>
        <v>0.00652501463809174</v>
      </c>
      <c r="M629" s="10" t="n">
        <f aca="false">IF(COUNT(B570:B629)&lt;60,"",(B629-AVERAGE(B570:B629))/STDEV(B570:B629))</f>
        <v>2.44659009988652</v>
      </c>
      <c r="N629" s="10" t="n">
        <f aca="false">(H629-AVERAGE(H570:H629))/STDEV(H570:H629)</f>
        <v>2.1005358723644</v>
      </c>
      <c r="O629" s="10" t="n">
        <f aca="false">IF(COUNT(B629)=0,"",B629-('Signal Analysis'!$C$6+'Signal Analysis'!$C$5*H629))</f>
        <v>1.19395204316302</v>
      </c>
    </row>
    <row r="630" customFormat="false" ht="15" hidden="false" customHeight="false" outlineLevel="0" collapsed="false">
      <c r="A630" s="8" t="n">
        <v>43237</v>
      </c>
      <c r="B630" s="9" t="n">
        <v>20.4484452132</v>
      </c>
      <c r="C630" s="9" t="n">
        <v>161</v>
      </c>
      <c r="D630" s="9" t="n">
        <v>162</v>
      </c>
      <c r="E630" s="9" t="n">
        <v>160.75</v>
      </c>
      <c r="F630" s="9" t="n">
        <v>161.660004</v>
      </c>
      <c r="G630" s="9" t="n">
        <v>156.256378</v>
      </c>
      <c r="H630" s="9" t="n">
        <v>156.256378</v>
      </c>
      <c r="I630" s="2" t="str">
        <f aca="false">IF(COUNT(C630:F630)&lt;4,"",IF(OR(D630&lt;MAX(C630,F630)-0.000001,E630&gt;MIN(C630,F630)+0.000001),"FAIL","OK"))</f>
        <v>OK</v>
      </c>
      <c r="J630" s="10" t="n">
        <f aca="false">IF(COUNT(F630,G630)&lt;2,"",G630/F630)</f>
        <v>0.966574131719062</v>
      </c>
      <c r="K630" s="10" t="n">
        <f aca="false">H630/H629-1</f>
        <v>0.00459859784847749</v>
      </c>
      <c r="L630" s="10" t="n">
        <f aca="false">H635/H630-1</f>
        <v>0.00228867457813475</v>
      </c>
      <c r="M630" s="10" t="n">
        <f aca="false">IF(COUNT(B571:B630)&lt;60,"",(B630-AVERAGE(B571:B630))/STDEV(B571:B630))</f>
        <v>2.01571182769852</v>
      </c>
      <c r="N630" s="10" t="n">
        <f aca="false">(H630-AVERAGE(H571:H630))/STDEV(H571:H630)</f>
        <v>2.2130698414036</v>
      </c>
      <c r="O630" s="10" t="n">
        <f aca="false">IF(COUNT(B630)=0,"",B630-('Signal Analysis'!$C$6+'Signal Analysis'!$C$5*H630))</f>
        <v>0.871505863792656</v>
      </c>
    </row>
    <row r="631" customFormat="false" ht="15" hidden="false" customHeight="false" outlineLevel="0" collapsed="false">
      <c r="A631" s="8" t="n">
        <v>43238</v>
      </c>
      <c r="B631" s="9" t="n">
        <v>19.4839067904</v>
      </c>
      <c r="C631" s="9" t="n">
        <v>161.949997</v>
      </c>
      <c r="D631" s="9" t="n">
        <v>162.320007</v>
      </c>
      <c r="E631" s="9" t="n">
        <v>161.550003</v>
      </c>
      <c r="F631" s="9" t="n">
        <v>161.869995</v>
      </c>
      <c r="G631" s="9" t="n">
        <v>156.459351</v>
      </c>
      <c r="H631" s="9" t="n">
        <v>156.459351</v>
      </c>
      <c r="I631" s="2" t="str">
        <f aca="false">IF(COUNT(C631:F631)&lt;4,"",IF(OR(D631&lt;MAX(C631,F631)-0.000001,E631&gt;MIN(C631,F631)+0.000001),"FAIL","OK"))</f>
        <v>OK</v>
      </c>
      <c r="J631" s="10" t="n">
        <f aca="false">IF(COUNT(F631,G631)&lt;2,"",G631/F631)</f>
        <v>0.966574138709277</v>
      </c>
      <c r="K631" s="10" t="n">
        <f aca="false">H631/H630-1</f>
        <v>0.00129897417691316</v>
      </c>
      <c r="L631" s="10" t="n">
        <f aca="false">H636/H631-1</f>
        <v>-0.000803224602408115</v>
      </c>
      <c r="M631" s="10" t="n">
        <f aca="false">IF(COUNT(B572:B631)&lt;60,"",(B631-AVERAGE(B572:B631))/STDEV(B572:B631))</f>
        <v>0.580647287722207</v>
      </c>
      <c r="N631" s="10" t="n">
        <f aca="false">(H631-AVERAGE(H572:H631))/STDEV(H572:H631)</f>
        <v>2.15518036800951</v>
      </c>
      <c r="O631" s="10" t="n">
        <f aca="false">IF(COUNT(B631)=0,"",B631-('Signal Analysis'!$C$6+'Signal Analysis'!$C$5*H631))</f>
        <v>-0.120797728439708</v>
      </c>
    </row>
    <row r="632" customFormat="false" ht="15" hidden="false" customHeight="false" outlineLevel="0" collapsed="false">
      <c r="A632" s="8" t="n">
        <v>43241</v>
      </c>
      <c r="B632" s="9" t="n">
        <v>19.03145688</v>
      </c>
      <c r="C632" s="9" t="n">
        <v>162.369995</v>
      </c>
      <c r="D632" s="9" t="n">
        <v>163.240005</v>
      </c>
      <c r="E632" s="9" t="n">
        <v>162.360001</v>
      </c>
      <c r="F632" s="9" t="n">
        <v>162.940002</v>
      </c>
      <c r="G632" s="9" t="n">
        <v>157.493622</v>
      </c>
      <c r="H632" s="9" t="n">
        <v>157.493622</v>
      </c>
      <c r="I632" s="2" t="str">
        <f aca="false">IF(COUNT(C632:F632)&lt;4,"",IF(OR(D632&lt;MAX(C632,F632)-0.000001,E632&gt;MIN(C632,F632)+0.000001),"FAIL","OK"))</f>
        <v>OK</v>
      </c>
      <c r="J632" s="10" t="n">
        <f aca="false">IF(COUNT(F632,G632)&lt;2,"",G632/F632)</f>
        <v>0.966574322246541</v>
      </c>
      <c r="K632" s="10" t="n">
        <f aca="false">H632/H631-1</f>
        <v>0.00661047737568588</v>
      </c>
      <c r="L632" s="10" t="n">
        <f aca="false">H637/H632-1</f>
        <v>-0.00871510847594825</v>
      </c>
      <c r="M632" s="10" t="n">
        <f aca="false">IF(COUNT(B573:B632)&lt;60,"",(B632-AVERAGE(B573:B632))/STDEV(B573:B632))</f>
        <v>-0.0936791999596428</v>
      </c>
      <c r="N632" s="10" t="n">
        <f aca="false">(H632-AVERAGE(H573:H632))/STDEV(H573:H632)</f>
        <v>2.32980328780314</v>
      </c>
      <c r="O632" s="10" t="n">
        <f aca="false">IF(COUNT(B632)=0,"",B632-('Signal Analysis'!$C$6+'Signal Analysis'!$C$5*H632))</f>
        <v>-0.714728079853927</v>
      </c>
    </row>
    <row r="633" customFormat="false" ht="15" hidden="false" customHeight="false" outlineLevel="0" collapsed="false">
      <c r="A633" s="8" t="n">
        <v>43242</v>
      </c>
      <c r="B633" s="9" t="n">
        <v>19.823487894</v>
      </c>
      <c r="C633" s="9" t="n">
        <v>163.259995</v>
      </c>
      <c r="D633" s="9" t="n">
        <v>163.330002</v>
      </c>
      <c r="E633" s="9" t="n">
        <v>161.630005</v>
      </c>
      <c r="F633" s="9" t="n">
        <v>161.759995</v>
      </c>
      <c r="G633" s="9" t="n">
        <v>156.352997</v>
      </c>
      <c r="H633" s="9" t="n">
        <v>156.352997</v>
      </c>
      <c r="I633" s="2" t="str">
        <f aca="false">IF(COUNT(C633:F633)&lt;4,"",IF(OR(D633&lt;MAX(C633,F633)-0.000001,E633&gt;MIN(C633,F633)+0.000001),"FAIL","OK"))</f>
        <v>OK</v>
      </c>
      <c r="J633" s="10" t="n">
        <f aca="false">IF(COUNT(F633,G633)&lt;2,"",G633/F633)</f>
        <v>0.966573948027137</v>
      </c>
      <c r="K633" s="10" t="n">
        <f aca="false">H633/H632-1</f>
        <v>-0.00724235677302543</v>
      </c>
      <c r="L633" s="10" t="n">
        <f aca="false">H638/H633-1</f>
        <v>0.0143423985662392</v>
      </c>
      <c r="M633" s="10" t="n">
        <f aca="false">IF(COUNT(B574:B633)&lt;60,"",(B633-AVERAGE(B574:B633))/STDEV(B574:B633))</f>
        <v>1.03931773379724</v>
      </c>
      <c r="N633" s="10" t="n">
        <f aca="false">(H633-AVERAGE(H574:H633))/STDEV(H574:H633)</f>
        <v>1.88043758799115</v>
      </c>
      <c r="O633" s="10" t="n">
        <f aca="false">IF(COUNT(B633)=0,"",B633-('Signal Analysis'!$C$6+'Signal Analysis'!$C$5*H633))</f>
        <v>0.233331797018423</v>
      </c>
    </row>
    <row r="634" customFormat="false" ht="15" hidden="false" customHeight="false" outlineLevel="0" collapsed="false">
      <c r="A634" s="8" t="n">
        <v>43243</v>
      </c>
      <c r="B634" s="9" t="n">
        <v>19.573727982</v>
      </c>
      <c r="C634" s="9" t="n">
        <v>161.330002</v>
      </c>
      <c r="D634" s="9" t="n">
        <v>162.279999</v>
      </c>
      <c r="E634" s="9" t="n">
        <v>161.130005</v>
      </c>
      <c r="F634" s="9" t="n">
        <v>161.970001</v>
      </c>
      <c r="G634" s="9" t="n">
        <v>156.556015</v>
      </c>
      <c r="H634" s="9" t="n">
        <v>156.556015</v>
      </c>
      <c r="I634" s="2" t="str">
        <f aca="false">IF(COUNT(C634:F634)&lt;4,"",IF(OR(D634&lt;MAX(C634,F634)-0.000001,E634&gt;MIN(C634,F634)+0.000001),"FAIL","OK"))</f>
        <v>OK</v>
      </c>
      <c r="J634" s="10" t="n">
        <f aca="false">IF(COUNT(F634,G634)&lt;2,"",G634/F634)</f>
        <v>0.966574143566252</v>
      </c>
      <c r="K634" s="10" t="n">
        <f aca="false">H634/H633-1</f>
        <v>0.00129845928057271</v>
      </c>
      <c r="L634" s="10" t="n">
        <f aca="false">H639/H634-1</f>
        <v>0.00493915228999664</v>
      </c>
      <c r="M634" s="10" t="n">
        <f aca="false">IF(COUNT(B575:B634)&lt;60,"",(B634-AVERAGE(B575:B634))/STDEV(B575:B634))</f>
        <v>0.650120035686175</v>
      </c>
      <c r="N634" s="10" t="n">
        <f aca="false">(H634-AVERAGE(H575:H634))/STDEV(H575:H634)</f>
        <v>1.84971383393743</v>
      </c>
      <c r="O634" s="10" t="n">
        <f aca="false">IF(COUNT(B634)=0,"",B634-('Signal Analysis'!$C$6+'Signal Analysis'!$C$5*H634))</f>
        <v>-0.0441994400731893</v>
      </c>
    </row>
    <row r="635" customFormat="false" ht="15" hidden="false" customHeight="false" outlineLevel="0" collapsed="false">
      <c r="A635" s="8" t="n">
        <v>43244</v>
      </c>
      <c r="B635" s="9" t="n">
        <v>20.2508005704</v>
      </c>
      <c r="C635" s="9" t="n">
        <v>161.919998</v>
      </c>
      <c r="D635" s="9" t="n">
        <v>162.350006</v>
      </c>
      <c r="E635" s="9" t="n">
        <v>160.619995</v>
      </c>
      <c r="F635" s="9" t="n">
        <v>162.029999</v>
      </c>
      <c r="G635" s="9" t="n">
        <v>156.613998</v>
      </c>
      <c r="H635" s="9" t="n">
        <v>156.613998</v>
      </c>
      <c r="I635" s="2" t="str">
        <f aca="false">IF(COUNT(C635:F635)&lt;4,"",IF(OR(D635&lt;MAX(C635,F635)-0.000001,E635&gt;MIN(C635,F635)+0.000001),"FAIL","OK"))</f>
        <v>OK</v>
      </c>
      <c r="J635" s="10" t="n">
        <f aca="false">IF(COUNT(F635,G635)&lt;2,"",G635/F635)</f>
        <v>0.966574084839685</v>
      </c>
      <c r="K635" s="10" t="n">
        <f aca="false">H635/H634-1</f>
        <v>0.000370365839983844</v>
      </c>
      <c r="L635" s="10" t="n">
        <f aca="false">H640/H635-1</f>
        <v>0.0111707575462059</v>
      </c>
      <c r="M635" s="10" t="n">
        <f aca="false">IF(COUNT(B576:B635)&lt;60,"",(B635-AVERAGE(B576:B635))/STDEV(B576:B635))</f>
        <v>1.57838459086899</v>
      </c>
      <c r="N635" s="10" t="n">
        <f aca="false">(H635-AVERAGE(H576:H635))/STDEV(H576:H635)</f>
        <v>1.79624465583634</v>
      </c>
      <c r="O635" s="10" t="n">
        <f aca="false">IF(COUNT(B635)=0,"",B635-('Signal Analysis'!$C$6+'Signal Analysis'!$C$5*H635))</f>
        <v>0.624941512990105</v>
      </c>
    </row>
    <row r="636" customFormat="false" ht="15" hidden="false" customHeight="false" outlineLevel="0" collapsed="false">
      <c r="A636" s="8" t="n">
        <v>43245</v>
      </c>
      <c r="B636" s="9" t="n">
        <v>20.9528981724</v>
      </c>
      <c r="C636" s="9" t="n">
        <v>161.75</v>
      </c>
      <c r="D636" s="9" t="n">
        <v>162.160004</v>
      </c>
      <c r="E636" s="9" t="n">
        <v>161.470001</v>
      </c>
      <c r="F636" s="9" t="n">
        <v>161.740005</v>
      </c>
      <c r="G636" s="9" t="n">
        <v>156.333679</v>
      </c>
      <c r="H636" s="9" t="n">
        <v>156.333679</v>
      </c>
      <c r="I636" s="2" t="str">
        <f aca="false">IF(COUNT(C636:F636)&lt;4,"",IF(OR(D636&lt;MAX(C636,F636)-0.000001,E636&gt;MIN(C636,F636)+0.000001),"FAIL","OK"))</f>
        <v>OK</v>
      </c>
      <c r="J636" s="10" t="n">
        <f aca="false">IF(COUNT(F636,G636)&lt;2,"",G636/F636)</f>
        <v>0.966573971603377</v>
      </c>
      <c r="K636" s="10" t="n">
        <f aca="false">H636/H635-1</f>
        <v>-0.00178987193724545</v>
      </c>
      <c r="L636" s="10" t="n">
        <f aca="false">H641/H636-1</f>
        <v>0.0183628250698304</v>
      </c>
      <c r="M636" s="10" t="n">
        <f aca="false">IF(COUNT(B577:B636)&lt;60,"",(B636-AVERAGE(B577:B636))/STDEV(B577:B636))</f>
        <v>2.41575859381226</v>
      </c>
      <c r="N636" s="10" t="n">
        <f aca="false">(H636-AVERAGE(H577:H636))/STDEV(H577:H636)</f>
        <v>1.65981123386679</v>
      </c>
      <c r="O636" s="10" t="n">
        <f aca="false">IF(COUNT(B636)=0,"",B636-('Signal Analysis'!$C$6+'Signal Analysis'!$C$5*H636))</f>
        <v>1.36538463153719</v>
      </c>
    </row>
    <row r="637" customFormat="false" ht="15" hidden="false" customHeight="false" outlineLevel="0" collapsed="false">
      <c r="A637" s="8" t="n">
        <v>43249</v>
      </c>
      <c r="B637" s="9" t="n">
        <v>21.104608776</v>
      </c>
      <c r="C637" s="9" t="n">
        <v>160.880005</v>
      </c>
      <c r="D637" s="9" t="n">
        <v>162.229996</v>
      </c>
      <c r="E637" s="9" t="n">
        <v>160.110001</v>
      </c>
      <c r="F637" s="9" t="n">
        <v>161.520004</v>
      </c>
      <c r="G637" s="9" t="n">
        <v>156.121048</v>
      </c>
      <c r="H637" s="9" t="n">
        <v>156.121048</v>
      </c>
      <c r="I637" s="2" t="str">
        <f aca="false">IF(COUNT(C637:F637)&lt;4,"",IF(OR(D637&lt;MAX(C637,F637)-0.000001,E637&gt;MIN(C637,F637)+0.000001),"FAIL","OK"))</f>
        <v>OK</v>
      </c>
      <c r="J637" s="10" t="n">
        <f aca="false">IF(COUNT(F637,G637)&lt;2,"",G637/F637)</f>
        <v>0.966574072150221</v>
      </c>
      <c r="K637" s="10" t="n">
        <f aca="false">H637/H636-1</f>
        <v>-0.00136010999907443</v>
      </c>
      <c r="L637" s="10" t="n">
        <f aca="false">H642/H637-1</f>
        <v>0.0260650633090804</v>
      </c>
      <c r="M637" s="10" t="n">
        <f aca="false">IF(COUNT(B578:B637)&lt;60,"",(B637-AVERAGE(B578:B637))/STDEV(B578:B637))</f>
        <v>2.50703667867022</v>
      </c>
      <c r="N637" s="10" t="n">
        <f aca="false">(H637-AVERAGE(H578:H637))/STDEV(H578:H637)</f>
        <v>1.53681103743119</v>
      </c>
      <c r="O637" s="10" t="n">
        <f aca="false">IF(COUNT(B637)=0,"",B637-('Signal Analysis'!$C$6+'Signal Analysis'!$C$5*H637))</f>
        <v>1.5461815458365</v>
      </c>
    </row>
    <row r="638" customFormat="false" ht="15" hidden="false" customHeight="false" outlineLevel="0" collapsed="false">
      <c r="A638" s="8" t="n">
        <v>43250</v>
      </c>
      <c r="B638" s="9" t="n">
        <v>21.182124744</v>
      </c>
      <c r="C638" s="9" t="n">
        <v>162.360001</v>
      </c>
      <c r="D638" s="9" t="n">
        <v>164.389999</v>
      </c>
      <c r="E638" s="9" t="n">
        <v>162.360001</v>
      </c>
      <c r="F638" s="9" t="n">
        <v>164.080002</v>
      </c>
      <c r="G638" s="9" t="n">
        <v>158.595474</v>
      </c>
      <c r="H638" s="9" t="n">
        <v>158.595474</v>
      </c>
      <c r="I638" s="2" t="str">
        <f aca="false">IF(COUNT(C638:F638)&lt;4,"",IF(OR(D638&lt;MAX(C638,F638)-0.000001,E638&gt;MIN(C638,F638)+0.000001),"FAIL","OK"))</f>
        <v>OK</v>
      </c>
      <c r="J638" s="10" t="n">
        <f aca="false">IF(COUNT(F638,G638)&lt;2,"",G638/F638)</f>
        <v>0.966574061840882</v>
      </c>
      <c r="K638" s="10" t="n">
        <f aca="false">H638/H637-1</f>
        <v>0.0158494068013173</v>
      </c>
      <c r="L638" s="10" t="n">
        <f aca="false">H643/H638-1</f>
        <v>0.0173696381776949</v>
      </c>
      <c r="M638" s="10" t="n">
        <f aca="false">IF(COUNT(B579:B638)&lt;60,"",(B638-AVERAGE(B579:B638))/STDEV(B579:B638))</f>
        <v>2.42980376641216</v>
      </c>
      <c r="N638" s="10" t="n">
        <f aca="false">(H638-AVERAGE(H579:H638))/STDEV(H579:H638)</f>
        <v>2.12437130876326</v>
      </c>
      <c r="O638" s="10" t="n">
        <f aca="false">IF(COUNT(B638)=0,"",B638-('Signal Analysis'!$C$6+'Signal Analysis'!$C$5*H638))</f>
        <v>1.28521477407385</v>
      </c>
    </row>
    <row r="639" customFormat="false" ht="15" hidden="false" customHeight="false" outlineLevel="0" collapsed="false">
      <c r="A639" s="8" t="n">
        <v>43251</v>
      </c>
      <c r="B639" s="9" t="n">
        <v>21.245921268</v>
      </c>
      <c r="C639" s="9" t="n">
        <v>164.080002</v>
      </c>
      <c r="D639" s="9" t="n">
        <v>164.380005</v>
      </c>
      <c r="E639" s="9" t="n">
        <v>162.339996</v>
      </c>
      <c r="F639" s="9" t="n">
        <v>162.770004</v>
      </c>
      <c r="G639" s="9" t="n">
        <v>157.329269</v>
      </c>
      <c r="H639" s="9" t="n">
        <v>157.329269</v>
      </c>
      <c r="I639" s="2" t="str">
        <f aca="false">IF(COUNT(C639:F639)&lt;4,"",IF(OR(D639&lt;MAX(C639,F639)-0.000001,E639&gt;MIN(C639,F639)+0.000001),"FAIL","OK"))</f>
        <v>OK</v>
      </c>
      <c r="J639" s="10" t="n">
        <f aca="false">IF(COUNT(F639,G639)&lt;2,"",G639/F639)</f>
        <v>0.966574093098874</v>
      </c>
      <c r="K639" s="10" t="n">
        <f aca="false">H639/H638-1</f>
        <v>-0.00798386592041067</v>
      </c>
      <c r="L639" s="10" t="n">
        <f aca="false">H644/H639-1</f>
        <v>0.0199668696102566</v>
      </c>
      <c r="M639" s="10" t="n">
        <f aca="false">IF(COUNT(B580:B639)&lt;60,"",(B639-AVERAGE(B580:B639))/STDEV(B580:B639))</f>
        <v>2.34549757921865</v>
      </c>
      <c r="N639" s="10" t="n">
        <f aca="false">(H639-AVERAGE(H580:H639))/STDEV(H580:H639)</f>
        <v>1.69460127281774</v>
      </c>
      <c r="O639" s="10" t="n">
        <f aca="false">IF(COUNT(B639)=0,"",B639-('Signal Analysis'!$C$6+'Signal Analysis'!$C$5*H639))</f>
        <v>1.52221855401974</v>
      </c>
    </row>
    <row r="640" customFormat="false" ht="15" hidden="false" customHeight="false" outlineLevel="0" collapsed="false">
      <c r="A640" s="8" t="n">
        <v>43252</v>
      </c>
      <c r="B640" s="9" t="n">
        <v>21.0843808176</v>
      </c>
      <c r="C640" s="9" t="n">
        <v>163.830002</v>
      </c>
      <c r="D640" s="9" t="n">
        <v>164.380005</v>
      </c>
      <c r="E640" s="9" t="n">
        <v>163.279999</v>
      </c>
      <c r="F640" s="9" t="n">
        <v>163.839996</v>
      </c>
      <c r="G640" s="9" t="n">
        <v>158.363495</v>
      </c>
      <c r="H640" s="9" t="n">
        <v>158.363495</v>
      </c>
      <c r="I640" s="2" t="str">
        <f aca="false">IF(COUNT(C640:F640)&lt;4,"",IF(OR(D640&lt;MAX(C640,F640)-0.000001,E640&gt;MIN(C640,F640)+0.000001),"FAIL","OK"))</f>
        <v>OK</v>
      </c>
      <c r="J640" s="10" t="n">
        <f aca="false">IF(COUNT(F640,G640)&lt;2,"",G640/F640)</f>
        <v>0.96657408976011</v>
      </c>
      <c r="K640" s="10" t="n">
        <f aca="false">H640/H639-1</f>
        <v>0.0065736401533778</v>
      </c>
      <c r="L640" s="10" t="n">
        <f aca="false">H645/H640-1</f>
        <v>0.0163576460597816</v>
      </c>
      <c r="M640" s="10" t="n">
        <f aca="false">IF(COUNT(B581:B640)&lt;60,"",(B640-AVERAGE(B581:B640))/STDEV(B581:B640))</f>
        <v>2.03575911424528</v>
      </c>
      <c r="N640" s="10" t="n">
        <f aca="false">(H640-AVERAGE(H581:H640))/STDEV(H581:H640)</f>
        <v>1.882874144117</v>
      </c>
      <c r="O640" s="10" t="n">
        <f aca="false">IF(COUNT(B640)=0,"",B640-('Signal Analysis'!$C$6+'Signal Analysis'!$C$5*H640))</f>
        <v>1.21920381826477</v>
      </c>
    </row>
    <row r="641" customFormat="false" ht="15" hidden="false" customHeight="false" outlineLevel="0" collapsed="false">
      <c r="A641" s="8" t="n">
        <v>43255</v>
      </c>
      <c r="B641" s="9" t="n">
        <v>21.1804670208</v>
      </c>
      <c r="C641" s="9" t="n">
        <v>164.320007</v>
      </c>
      <c r="D641" s="9" t="n">
        <v>164.710007</v>
      </c>
      <c r="E641" s="9" t="n">
        <v>163.320007</v>
      </c>
      <c r="F641" s="9" t="n">
        <v>164.710007</v>
      </c>
      <c r="G641" s="9" t="n">
        <v>159.204407</v>
      </c>
      <c r="H641" s="9" t="n">
        <v>159.204407</v>
      </c>
      <c r="I641" s="2" t="str">
        <f aca="false">IF(COUNT(C641:F641)&lt;4,"",IF(OR(D641&lt;MAX(C641,F641)-0.000001,E641&gt;MIN(C641,F641)+0.000001),"FAIL","OK"))</f>
        <v>OK</v>
      </c>
      <c r="J641" s="10" t="n">
        <f aca="false">IF(COUNT(F641,G641)&lt;2,"",G641/F641)</f>
        <v>0.966573979928251</v>
      </c>
      <c r="K641" s="10" t="n">
        <f aca="false">H641/H640-1</f>
        <v>0.00531001162862688</v>
      </c>
      <c r="L641" s="10" t="n">
        <f aca="false">H646/H641-1</f>
        <v>0.0125069716191963</v>
      </c>
      <c r="M641" s="10" t="n">
        <f aca="false">IF(COUNT(B582:B641)&lt;60,"",(B641-AVERAGE(B582:B641))/STDEV(B582:B641))</f>
        <v>2.04465249547871</v>
      </c>
      <c r="N641" s="10" t="n">
        <f aca="false">(H641-AVERAGE(H582:H641))/STDEV(H582:H641)</f>
        <v>1.99567898617017</v>
      </c>
      <c r="O641" s="10" t="n">
        <f aca="false">IF(COUNT(B641)=0,"",B641-('Signal Analysis'!$C$6+'Signal Analysis'!$C$5*H641))</f>
        <v>1.20025962748277</v>
      </c>
    </row>
    <row r="642" customFormat="false" ht="15" hidden="false" customHeight="false" outlineLevel="0" collapsed="false">
      <c r="A642" s="8" t="n">
        <v>43256</v>
      </c>
      <c r="B642" s="9" t="n">
        <v>19.5486171852</v>
      </c>
      <c r="C642" s="9" t="n">
        <v>164.550003</v>
      </c>
      <c r="D642" s="9" t="n">
        <v>165.770004</v>
      </c>
      <c r="E642" s="9" t="n">
        <v>164.339996</v>
      </c>
      <c r="F642" s="9" t="n">
        <v>165.729996</v>
      </c>
      <c r="G642" s="9" t="n">
        <v>160.190353</v>
      </c>
      <c r="H642" s="9" t="n">
        <v>160.190353</v>
      </c>
      <c r="I642" s="2" t="str">
        <f aca="false">IF(COUNT(C642:F642)&lt;4,"",IF(OR(D642&lt;MAX(C642,F642)-0.000001,E642&gt;MIN(C642,F642)+0.000001),"FAIL","OK"))</f>
        <v>OK</v>
      </c>
      <c r="J642" s="10" t="n">
        <f aca="false">IF(COUNT(F642,G642)&lt;2,"",G642/F642)</f>
        <v>0.966574288700278</v>
      </c>
      <c r="K642" s="10" t="n">
        <f aca="false">H642/H641-1</f>
        <v>0.00619295670627995</v>
      </c>
      <c r="L642" s="10" t="n">
        <f aca="false">H647/H642-1</f>
        <v>0.0108609723832747</v>
      </c>
      <c r="M642" s="10" t="n">
        <f aca="false">IF(COUNT(B583:B642)&lt;60,"",(B642-AVERAGE(B583:B642))/STDEV(B583:B642))</f>
        <v>0.218929023293177</v>
      </c>
      <c r="N642" s="10" t="n">
        <f aca="false">(H642-AVERAGE(H583:H642))/STDEV(H583:H642)</f>
        <v>2.13264012020139</v>
      </c>
      <c r="O642" s="10" t="n">
        <f aca="false">IF(COUNT(B642)=0,"",B642-('Signal Analysis'!$C$6+'Signal Analysis'!$C$5*H642))</f>
        <v>-0.566460155061694</v>
      </c>
    </row>
    <row r="643" customFormat="false" ht="15" hidden="false" customHeight="false" outlineLevel="0" collapsed="false">
      <c r="A643" s="8" t="n">
        <v>43257</v>
      </c>
      <c r="B643" s="9" t="n">
        <v>21.0149595936</v>
      </c>
      <c r="C643" s="9" t="n">
        <v>165.710007</v>
      </c>
      <c r="D643" s="9" t="n">
        <v>166.929993</v>
      </c>
      <c r="E643" s="9" t="n">
        <v>165.580002</v>
      </c>
      <c r="F643" s="9" t="n">
        <v>166.929993</v>
      </c>
      <c r="G643" s="9" t="n">
        <v>161.35022</v>
      </c>
      <c r="H643" s="9" t="n">
        <v>161.35022</v>
      </c>
      <c r="I643" s="2" t="str">
        <f aca="false">IF(COUNT(C643:F643)&lt;4,"",IF(OR(D643&lt;MAX(C643,F643)-0.000001,E643&gt;MIN(C643,F643)+0.000001),"FAIL","OK"))</f>
        <v>OK</v>
      </c>
      <c r="J643" s="10" t="n">
        <f aca="false">IF(COUNT(F643,G643)&lt;2,"",G643/F643)</f>
        <v>0.96657417340214</v>
      </c>
      <c r="K643" s="10" t="n">
        <f aca="false">H643/H642-1</f>
        <v>0.00724055461691897</v>
      </c>
      <c r="L643" s="10" t="n">
        <f aca="false">H648/H643-1</f>
        <v>-0.00035946030938161</v>
      </c>
      <c r="M643" s="10" t="n">
        <f aca="false">IF(COUNT(B584:B643)&lt;60,"",(B643-AVERAGE(B584:B643))/STDEV(B584:B643))</f>
        <v>1.78649013592247</v>
      </c>
      <c r="N643" s="10" t="n">
        <f aca="false">(H643-AVERAGE(H584:H643))/STDEV(H584:H643)</f>
        <v>2.28009922042141</v>
      </c>
      <c r="O643" s="10" t="n">
        <f aca="false">IF(COUNT(B643)=0,"",B643-('Signal Analysis'!$C$6+'Signal Analysis'!$C$5*H643))</f>
        <v>0.741221230571693</v>
      </c>
    </row>
    <row r="644" customFormat="false" ht="15" hidden="false" customHeight="false" outlineLevel="0" collapsed="false">
      <c r="A644" s="8" t="n">
        <v>43258</v>
      </c>
      <c r="B644" s="9" t="n">
        <v>21.21586137</v>
      </c>
      <c r="C644" s="9" t="n">
        <v>167.110001</v>
      </c>
      <c r="D644" s="9" t="n">
        <v>167.229996</v>
      </c>
      <c r="E644" s="9" t="n">
        <v>165.229996</v>
      </c>
      <c r="F644" s="9" t="n">
        <v>166.020004</v>
      </c>
      <c r="G644" s="9" t="n">
        <v>160.470642</v>
      </c>
      <c r="H644" s="9" t="n">
        <v>160.470642</v>
      </c>
      <c r="I644" s="2" t="str">
        <f aca="false">IF(COUNT(C644:F644)&lt;4,"",IF(OR(D644&lt;MAX(C644,F644)-0.000001,E644&gt;MIN(C644,F644)+0.000001),"FAIL","OK"))</f>
        <v>OK</v>
      </c>
      <c r="J644" s="10" t="n">
        <f aca="false">IF(COUNT(F644,G644)&lt;2,"",G644/F644)</f>
        <v>0.966574136451653</v>
      </c>
      <c r="K644" s="10" t="n">
        <f aca="false">H644/H643-1</f>
        <v>-0.00545135916145645</v>
      </c>
      <c r="L644" s="10" t="n">
        <f aca="false">H649/H644-1</f>
        <v>0.0104805712686062</v>
      </c>
      <c r="M644" s="10" t="n">
        <f aca="false">IF(COUNT(B585:B644)&lt;60,"",(B644-AVERAGE(B585:B644))/STDEV(B585:B644))</f>
        <v>1.91008355747385</v>
      </c>
      <c r="N644" s="10" t="n">
        <f aca="false">(H644-AVERAGE(H585:H644))/STDEV(H585:H644)</f>
        <v>1.97583850609454</v>
      </c>
      <c r="O644" s="10" t="n">
        <f aca="false">IF(COUNT(B644)=0,"",B644-('Signal Analysis'!$C$6+'Signal Analysis'!$C$5*H644))</f>
        <v>1.06244261696405</v>
      </c>
    </row>
    <row r="645" customFormat="false" ht="15" hidden="false" customHeight="false" outlineLevel="0" collapsed="false">
      <c r="A645" s="8" t="n">
        <v>43259</v>
      </c>
      <c r="B645" s="9" t="n">
        <v>21.1201863696</v>
      </c>
      <c r="C645" s="9" t="n">
        <v>166.059998</v>
      </c>
      <c r="D645" s="9" t="n">
        <v>166.610001</v>
      </c>
      <c r="E645" s="9" t="n">
        <v>165.759995</v>
      </c>
      <c r="F645" s="9" t="n">
        <v>166.520004</v>
      </c>
      <c r="G645" s="9" t="n">
        <v>160.953949</v>
      </c>
      <c r="H645" s="9" t="n">
        <v>160.953949</v>
      </c>
      <c r="I645" s="2" t="str">
        <f aca="false">IF(COUNT(C645:F645)&lt;4,"",IF(OR(D645&lt;MAX(C645,F645)-0.000001,E645&gt;MIN(C645,F645)+0.000001),"FAIL","OK"))</f>
        <v>OK</v>
      </c>
      <c r="J645" s="10" t="n">
        <f aca="false">IF(COUNT(F645,G645)&lt;2,"",G645/F645)</f>
        <v>0.966574256147628</v>
      </c>
      <c r="K645" s="10" t="n">
        <f aca="false">H645/H644-1</f>
        <v>0.00301180947478219</v>
      </c>
      <c r="L645" s="10" t="n">
        <f aca="false">H650/H645-1</f>
        <v>0.00774647660244732</v>
      </c>
      <c r="M645" s="10" t="n">
        <f aca="false">IF(COUNT(B586:B645)&lt;60,"",(B645-AVERAGE(B586:B645))/STDEV(B586:B645))</f>
        <v>1.73573604754509</v>
      </c>
      <c r="N645" s="10" t="n">
        <f aca="false">(H645-AVERAGE(H586:H645))/STDEV(H586:H645)</f>
        <v>1.98118876083152</v>
      </c>
      <c r="O645" s="10" t="n">
        <f aca="false">IF(COUNT(B645)=0,"",B645-('Signal Analysis'!$C$6+'Signal Analysis'!$C$5*H645))</f>
        <v>0.900654878698195</v>
      </c>
    </row>
    <row r="646" customFormat="false" ht="15" hidden="false" customHeight="false" outlineLevel="0" collapsed="false">
      <c r="A646" s="8" t="n">
        <v>43262</v>
      </c>
      <c r="B646" s="9" t="n">
        <v>20.925867378</v>
      </c>
      <c r="C646" s="9" t="n">
        <v>166.639999</v>
      </c>
      <c r="D646" s="9" t="n">
        <v>167.110001</v>
      </c>
      <c r="E646" s="9" t="n">
        <v>166.289993</v>
      </c>
      <c r="F646" s="9" t="n">
        <v>166.770004</v>
      </c>
      <c r="G646" s="9" t="n">
        <v>161.195572</v>
      </c>
      <c r="H646" s="9" t="n">
        <v>161.195572</v>
      </c>
      <c r="I646" s="2" t="str">
        <f aca="false">IF(COUNT(C646:F646)&lt;4,"",IF(OR(D646&lt;MAX(C646,F646)-0.000001,E646&gt;MIN(C646,F646)+0.000001),"FAIL","OK"))</f>
        <v>OK</v>
      </c>
      <c r="J646" s="10" t="n">
        <f aca="false">IF(COUNT(F646,G646)&lt;2,"",G646/F646)</f>
        <v>0.96657413283986</v>
      </c>
      <c r="K646" s="10" t="n">
        <f aca="false">H646/H645-1</f>
        <v>0.00150119336307797</v>
      </c>
      <c r="L646" s="10" t="n">
        <f aca="false">H651/H646-1</f>
        <v>0.0109731860376414</v>
      </c>
      <c r="M646" s="10" t="n">
        <f aca="false">IF(COUNT(B587:B646)&lt;60,"",(B646-AVERAGE(B587:B646))/STDEV(B587:B646))</f>
        <v>1.48366215394441</v>
      </c>
      <c r="N646" s="10" t="n">
        <f aca="false">(H646-AVERAGE(H587:H646))/STDEV(H587:H646)</f>
        <v>1.93286719376089</v>
      </c>
      <c r="O646" s="10" t="n">
        <f aca="false">IF(COUNT(B646)=0,"",B646-('Signal Analysis'!$C$6+'Signal Analysis'!$C$5*H646))</f>
        <v>0.673283690334309</v>
      </c>
    </row>
    <row r="647" customFormat="false" ht="15" hidden="false" customHeight="false" outlineLevel="0" collapsed="false">
      <c r="A647" s="8" t="n">
        <v>43263</v>
      </c>
      <c r="B647" s="9" t="n">
        <v>19.9117751688</v>
      </c>
      <c r="C647" s="9" t="n">
        <v>166.919998</v>
      </c>
      <c r="D647" s="9" t="n">
        <v>167.940002</v>
      </c>
      <c r="E647" s="9" t="n">
        <v>166.729996</v>
      </c>
      <c r="F647" s="9" t="n">
        <v>167.529999</v>
      </c>
      <c r="G647" s="9" t="n">
        <v>161.930176</v>
      </c>
      <c r="H647" s="9" t="n">
        <v>161.930176</v>
      </c>
      <c r="I647" s="2" t="str">
        <f aca="false">IF(COUNT(C647:F647)&lt;4,"",IF(OR(D647&lt;MAX(C647,F647)-0.000001,E647&gt;MIN(C647,F647)+0.000001),"FAIL","OK"))</f>
        <v>OK</v>
      </c>
      <c r="J647" s="10" t="n">
        <f aca="false">IF(COUNT(F647,G647)&lt;2,"",G647/F647)</f>
        <v>0.966574207405087</v>
      </c>
      <c r="K647" s="10" t="n">
        <f aca="false">H647/H646-1</f>
        <v>0.00455722195644426</v>
      </c>
      <c r="L647" s="10" t="n">
        <f aca="false">H652/H647-1</f>
        <v>0.00644641428661208</v>
      </c>
      <c r="M647" s="10" t="n">
        <f aca="false">IF(COUNT(B588:B647)&lt;60,"",(B647-AVERAGE(B588:B647))/STDEV(B588:B647))</f>
        <v>0.438252928197683</v>
      </c>
      <c r="N647" s="10" t="n">
        <f aca="false">(H647-AVERAGE(H588:H647))/STDEV(H588:H647)</f>
        <v>1.98287595792203</v>
      </c>
      <c r="O647" s="10" t="n">
        <f aca="false">IF(COUNT(B647)=0,"",B647-('Signal Analysis'!$C$6+'Signal Analysis'!$C$5*H647))</f>
        <v>-0.441296783441235</v>
      </c>
    </row>
    <row r="648" customFormat="false" ht="15" hidden="false" customHeight="false" outlineLevel="0" collapsed="false">
      <c r="A648" s="8" t="n">
        <v>43264</v>
      </c>
      <c r="B648" s="9" t="n">
        <v>21.48323166</v>
      </c>
      <c r="C648" s="9" t="n">
        <v>167.770004</v>
      </c>
      <c r="D648" s="9" t="n">
        <v>167.869995</v>
      </c>
      <c r="E648" s="9" t="n">
        <v>166.619995</v>
      </c>
      <c r="F648" s="9" t="n">
        <v>166.869995</v>
      </c>
      <c r="G648" s="9" t="n">
        <v>161.292221</v>
      </c>
      <c r="H648" s="9" t="n">
        <v>161.292221</v>
      </c>
      <c r="I648" s="2" t="str">
        <f aca="false">IF(COUNT(C648:F648)&lt;4,"",IF(OR(D648&lt;MAX(C648,F648)-0.000001,E648&gt;MIN(C648,F648)+0.000001),"FAIL","OK"))</f>
        <v>OK</v>
      </c>
      <c r="J648" s="10" t="n">
        <f aca="false">IF(COUNT(F648,G648)&lt;2,"",G648/F648)</f>
        <v>0.966574134553069</v>
      </c>
      <c r="K648" s="10" t="n">
        <f aca="false">H648/H647-1</f>
        <v>-0.00393969188300014</v>
      </c>
      <c r="L648" s="10" t="n">
        <f aca="false">H653/H648-1</f>
        <v>0.0185771699429944</v>
      </c>
      <c r="M648" s="10" t="n">
        <f aca="false">IF(COUNT(B589:B648)&lt;60,"",(B648-AVERAGE(B589:B648))/STDEV(B589:B648))</f>
        <v>1.93886333205712</v>
      </c>
      <c r="N648" s="10" t="n">
        <f aca="false">(H648-AVERAGE(H589:H648))/STDEV(H589:H648)</f>
        <v>1.76858396882074</v>
      </c>
      <c r="O648" s="10" t="n">
        <f aca="false">IF(COUNT(B648)=0,"",B648-('Signal Analysis'!$C$6+'Signal Analysis'!$C$5*H648))</f>
        <v>1.21742712098724</v>
      </c>
    </row>
    <row r="649" customFormat="false" ht="15" hidden="false" customHeight="false" outlineLevel="0" collapsed="false">
      <c r="A649" s="8" t="n">
        <v>43265</v>
      </c>
      <c r="B649" s="9" t="n">
        <v>19.4652576</v>
      </c>
      <c r="C649" s="9" t="n">
        <v>167.490005</v>
      </c>
      <c r="D649" s="9" t="n">
        <v>167.839996</v>
      </c>
      <c r="E649" s="9" t="n">
        <v>166.610001</v>
      </c>
      <c r="F649" s="9" t="n">
        <v>167.759995</v>
      </c>
      <c r="G649" s="9" t="n">
        <v>162.152466</v>
      </c>
      <c r="H649" s="9" t="n">
        <v>162.152466</v>
      </c>
      <c r="I649" s="2" t="str">
        <f aca="false">IF(COUNT(C649:F649)&lt;4,"",IF(OR(D649&lt;MAX(C649,F649)-0.000001,E649&gt;MIN(C649,F649)+0.000001),"FAIL","OK"))</f>
        <v>OK</v>
      </c>
      <c r="J649" s="10" t="n">
        <f aca="false">IF(COUNT(F649,G649)&lt;2,"",G649/F649)</f>
        <v>0.966574098908384</v>
      </c>
      <c r="K649" s="10" t="n">
        <f aca="false">H649/H648-1</f>
        <v>0.0053334562241536</v>
      </c>
      <c r="L649" s="10" t="n">
        <f aca="false">H654/H649-1</f>
        <v>0.00369583648515093</v>
      </c>
      <c r="M649" s="10" t="n">
        <f aca="false">IF(COUNT(B590:B649)&lt;60,"",(B649-AVERAGE(B590:B649))/STDEV(B590:B649))</f>
        <v>-0.0681079912284229</v>
      </c>
      <c r="N649" s="10" t="n">
        <f aca="false">(H649-AVERAGE(H590:H649))/STDEV(H590:H649)</f>
        <v>1.84648196090665</v>
      </c>
      <c r="O649" s="10" t="n">
        <f aca="false">IF(COUNT(B649)=0,"",B649-('Signal Analysis'!$C$6+'Signal Analysis'!$C$5*H649))</f>
        <v>-0.918221940999935</v>
      </c>
    </row>
    <row r="650" customFormat="false" ht="15" hidden="false" customHeight="false" outlineLevel="0" collapsed="false">
      <c r="A650" s="8" t="n">
        <v>43266</v>
      </c>
      <c r="B650" s="9" t="n">
        <v>20.2962917424</v>
      </c>
      <c r="C650" s="9" t="n">
        <v>167.240005</v>
      </c>
      <c r="D650" s="9" t="n">
        <v>167.869995</v>
      </c>
      <c r="E650" s="9" t="n">
        <v>166.529999</v>
      </c>
      <c r="F650" s="9" t="n">
        <v>167.809998</v>
      </c>
      <c r="G650" s="9" t="n">
        <v>162.200775</v>
      </c>
      <c r="H650" s="9" t="n">
        <v>162.200775</v>
      </c>
      <c r="I650" s="2" t="str">
        <f aca="false">IF(COUNT(C650:F650)&lt;4,"",IF(OR(D650&lt;MAX(C650,F650)-0.000001,E650&gt;MIN(C650,F650)+0.000001),"FAIL","OK"))</f>
        <v>OK</v>
      </c>
      <c r="J650" s="10" t="n">
        <f aca="false">IF(COUNT(F650,G650)&lt;2,"",G650/F650)</f>
        <v>0.966573964204445</v>
      </c>
      <c r="K650" s="10" t="n">
        <f aca="false">H650/H649-1</f>
        <v>0.000297923313728576</v>
      </c>
      <c r="L650" s="10" t="n">
        <f aca="false">H655/H650-1</f>
        <v>5.98332529544443E-005</v>
      </c>
      <c r="M650" s="10" t="n">
        <f aca="false">IF(COUNT(B591:B650)&lt;60,"",(B650-AVERAGE(B591:B650))/STDEV(B591:B650))</f>
        <v>0.734329870820918</v>
      </c>
      <c r="N650" s="10" t="n">
        <f aca="false">(H650-AVERAGE(H591:H650))/STDEV(H591:H650)</f>
        <v>1.77217518077358</v>
      </c>
      <c r="O650" s="10" t="n">
        <f aca="false">IF(COUNT(B650)=0,"",B650-('Signal Analysis'!$C$6+'Signal Analysis'!$C$5*H650))</f>
        <v>-0.0937961039908366</v>
      </c>
    </row>
    <row r="651" customFormat="false" ht="15" hidden="false" customHeight="false" outlineLevel="0" collapsed="false">
      <c r="A651" s="8" t="n">
        <v>43269</v>
      </c>
      <c r="B651" s="9" t="n">
        <v>20.0291450112</v>
      </c>
      <c r="C651" s="9" t="n">
        <v>166.970001</v>
      </c>
      <c r="D651" s="9" t="n">
        <v>168.610001</v>
      </c>
      <c r="E651" s="9" t="n">
        <v>166.729996</v>
      </c>
      <c r="F651" s="9" t="n">
        <v>168.600006</v>
      </c>
      <c r="G651" s="9" t="n">
        <v>162.964401</v>
      </c>
      <c r="H651" s="9" t="n">
        <v>162.964401</v>
      </c>
      <c r="I651" s="2" t="str">
        <f aca="false">IF(COUNT(C651:F651)&lt;4,"",IF(OR(D651&lt;MAX(C651,F651)-0.000001,E651&gt;MIN(C651,F651)+0.000001),"FAIL","OK"))</f>
        <v>OK</v>
      </c>
      <c r="J651" s="10" t="n">
        <f aca="false">IF(COUNT(F651,G651)&lt;2,"",G651/F651)</f>
        <v>0.966574111509818</v>
      </c>
      <c r="K651" s="10" t="n">
        <f aca="false">H651/H650-1</f>
        <v>0.00470790598873538</v>
      </c>
      <c r="L651" s="10" t="n">
        <f aca="false">H656/H651-1</f>
        <v>-0.0208779278119766</v>
      </c>
      <c r="M651" s="10" t="n">
        <f aca="false">IF(COUNT(B592:B651)&lt;60,"",(B651-AVERAGE(B592:B651))/STDEV(B592:B651))</f>
        <v>0.451849952743879</v>
      </c>
      <c r="N651" s="10" t="n">
        <f aca="false">(H651-AVERAGE(H592:H651))/STDEV(H592:H651)</f>
        <v>1.8261777576007</v>
      </c>
      <c r="O651" s="10" t="n">
        <f aca="false">IF(COUNT(B651)=0,"",B651-('Signal Analysis'!$C$6+'Signal Analysis'!$C$5*H651))</f>
        <v>-0.46540108960378</v>
      </c>
    </row>
    <row r="652" customFormat="false" ht="15" hidden="false" customHeight="false" outlineLevel="0" collapsed="false">
      <c r="A652" s="8" t="n">
        <v>43270</v>
      </c>
      <c r="B652" s="9" t="n">
        <v>19.1397669228</v>
      </c>
      <c r="C652" s="9" t="n">
        <v>167.550003</v>
      </c>
      <c r="D652" s="9" t="n">
        <v>168.770004</v>
      </c>
      <c r="E652" s="9" t="n">
        <v>166.539993</v>
      </c>
      <c r="F652" s="9" t="n">
        <v>168.610001</v>
      </c>
      <c r="G652" s="9" t="n">
        <v>162.974045</v>
      </c>
      <c r="H652" s="9" t="n">
        <v>162.974045</v>
      </c>
      <c r="I652" s="2" t="str">
        <f aca="false">IF(COUNT(C652:F652)&lt;4,"",IF(OR(D652&lt;MAX(C652,F652)-0.000001,E652&gt;MIN(C652,F652)+0.000001),"FAIL","OK"))</f>
        <v>OK</v>
      </c>
      <c r="J652" s="10" t="n">
        <f aca="false">IF(COUNT(F652,G652)&lt;2,"",G652/F652)</f>
        <v>0.966574011229619</v>
      </c>
      <c r="K652" s="10" t="n">
        <f aca="false">H652/H651-1</f>
        <v>5.91785686985258E-005</v>
      </c>
      <c r="L652" s="10" t="n">
        <f aca="false">H657/H652-1</f>
        <v>-0.0152423105163769</v>
      </c>
      <c r="M652" s="10" t="n">
        <f aca="false">IF(COUNT(B593:B652)&lt;60,"",(B652-AVERAGE(B593:B652))/STDEV(B593:B652))</f>
        <v>-0.465656683019294</v>
      </c>
      <c r="N652" s="10" t="n">
        <f aca="false">(H652-AVERAGE(H593:H652))/STDEV(H593:H652)</f>
        <v>1.75784426830299</v>
      </c>
      <c r="O652" s="10" t="n">
        <f aca="false">IF(COUNT(B652)=0,"",B652-('Signal Analysis'!$C$6+'Signal Analysis'!$C$5*H652))</f>
        <v>-1.35609840417675</v>
      </c>
    </row>
    <row r="653" customFormat="false" ht="15" hidden="false" customHeight="false" outlineLevel="0" collapsed="false">
      <c r="A653" s="8" t="n">
        <v>43271</v>
      </c>
      <c r="B653" s="9" t="n">
        <v>20.7190026588</v>
      </c>
      <c r="C653" s="9" t="n">
        <v>169.449997</v>
      </c>
      <c r="D653" s="9" t="n">
        <v>170.199997</v>
      </c>
      <c r="E653" s="9" t="n">
        <v>168.949997</v>
      </c>
      <c r="F653" s="9" t="n">
        <v>169.970001</v>
      </c>
      <c r="G653" s="9" t="n">
        <v>164.288574</v>
      </c>
      <c r="H653" s="9" t="n">
        <v>164.288574</v>
      </c>
      <c r="I653" s="2" t="str">
        <f aca="false">IF(COUNT(C653:F653)&lt;4,"",IF(OR(D653&lt;MAX(C653,F653)-0.000001,E653&gt;MIN(C653,F653)+0.000001),"FAIL","OK"))</f>
        <v>OK</v>
      </c>
      <c r="J653" s="10" t="n">
        <f aca="false">IF(COUNT(F653,G653)&lt;2,"",G653/F653)</f>
        <v>0.966573942657093</v>
      </c>
      <c r="K653" s="10" t="n">
        <f aca="false">H653/H652-1</f>
        <v>0.00806587944724591</v>
      </c>
      <c r="L653" s="10" t="n">
        <f aca="false">H658/H653-1</f>
        <v>-0.0387714424984905</v>
      </c>
      <c r="M653" s="10" t="n">
        <f aca="false">IF(COUNT(B594:B653)&lt;60,"",(B653-AVERAGE(B594:B653))/STDEV(B594:B653))</f>
        <v>1.1115216716988</v>
      </c>
      <c r="N653" s="10" t="n">
        <f aca="false">(H653-AVERAGE(H594:H653))/STDEV(H594:H653)</f>
        <v>1.90037846938049</v>
      </c>
      <c r="O653" s="10" t="n">
        <f aca="false">IF(COUNT(B653)=0,"",B653-('Signal Analysis'!$C$6+'Signal Analysis'!$C$5*H653))</f>
        <v>0.0433197186000385</v>
      </c>
    </row>
    <row r="654" customFormat="false" ht="15" hidden="false" customHeight="false" outlineLevel="0" collapsed="false">
      <c r="A654" s="8" t="n">
        <v>43272</v>
      </c>
      <c r="B654" s="9" t="n">
        <v>18.99550236</v>
      </c>
      <c r="C654" s="9" t="n">
        <v>169.979996</v>
      </c>
      <c r="D654" s="9" t="n">
        <v>170.080002</v>
      </c>
      <c r="E654" s="9" t="n">
        <v>167.770004</v>
      </c>
      <c r="F654" s="9" t="n">
        <v>168.380005</v>
      </c>
      <c r="G654" s="9" t="n">
        <v>162.751755</v>
      </c>
      <c r="H654" s="9" t="n">
        <v>162.751755</v>
      </c>
      <c r="I654" s="2" t="str">
        <f aca="false">IF(COUNT(C654:F654)&lt;4,"",IF(OR(D654&lt;MAX(C654,F654)-0.000001,E654&gt;MIN(C654,F654)+0.000001),"FAIL","OK"))</f>
        <v>OK</v>
      </c>
      <c r="J654" s="10" t="n">
        <f aca="false">IF(COUNT(F654,G654)&lt;2,"",G654/F654)</f>
        <v>0.966574119058851</v>
      </c>
      <c r="K654" s="10" t="n">
        <f aca="false">H654/H653-1</f>
        <v>-0.00935438760336438</v>
      </c>
      <c r="L654" s="10" t="n">
        <f aca="false">H659/H654-1</f>
        <v>-0.0267253277852518</v>
      </c>
      <c r="M654" s="10" t="n">
        <f aca="false">IF(COUNT(B595:B654)&lt;60,"",(B654-AVERAGE(B595:B654))/STDEV(B595:B654))</f>
        <v>-0.654786395226614</v>
      </c>
      <c r="N654" s="10" t="n">
        <f aca="false">(H654-AVERAGE(H595:H654))/STDEV(H595:H654)</f>
        <v>1.57175628485884</v>
      </c>
      <c r="O654" s="10" t="n">
        <f aca="false">IF(COUNT(B654)=0,"",B654-('Signal Analysis'!$C$6+'Signal Analysis'!$C$5*H654))</f>
        <v>-1.46995537821805</v>
      </c>
    </row>
    <row r="655" customFormat="false" ht="15" hidden="false" customHeight="false" outlineLevel="0" collapsed="false">
      <c r="A655" s="8" t="n">
        <v>43273</v>
      </c>
      <c r="B655" s="9" t="n">
        <v>20.2741633944</v>
      </c>
      <c r="C655" s="9" t="n">
        <v>169.009995</v>
      </c>
      <c r="D655" s="9" t="n">
        <v>169.199997</v>
      </c>
      <c r="E655" s="9" t="n">
        <v>167.309998</v>
      </c>
      <c r="F655" s="9" t="n">
        <v>167.820007</v>
      </c>
      <c r="G655" s="9" t="n">
        <v>162.21048</v>
      </c>
      <c r="H655" s="9" t="n">
        <v>162.21048</v>
      </c>
      <c r="I655" s="2" t="str">
        <f aca="false">IF(COUNT(C655:F655)&lt;4,"",IF(OR(D655&lt;MAX(C655,F655)-0.000001,E655&gt;MIN(C655,F655)+0.000001),"FAIL","OK"))</f>
        <v>OK</v>
      </c>
      <c r="J655" s="10" t="n">
        <f aca="false">IF(COUNT(F655,G655)&lt;2,"",G655/F655)</f>
        <v>0.966574146311411</v>
      </c>
      <c r="K655" s="10" t="n">
        <f aca="false">H655/H654-1</f>
        <v>-0.00332577058846473</v>
      </c>
      <c r="L655" s="10" t="n">
        <f aca="false">H660/H655-1</f>
        <v>-0.0241330091619234</v>
      </c>
      <c r="M655" s="10" t="n">
        <f aca="false">IF(COUNT(B596:B655)&lt;60,"",(B655-AVERAGE(B596:B655))/STDEV(B596:B655))</f>
        <v>0.63832067723451</v>
      </c>
      <c r="N655" s="10" t="n">
        <f aca="false">(H655-AVERAGE(H596:H655))/STDEV(H596:H655)</f>
        <v>1.42947507663697</v>
      </c>
      <c r="O655" s="10" t="n">
        <f aca="false">IF(COUNT(B655)=0,"",B655-('Signal Analysis'!$C$6+'Signal Analysis'!$C$5*H655))</f>
        <v>-0.117252022501898</v>
      </c>
    </row>
    <row r="656" customFormat="false" ht="15" hidden="false" customHeight="false" outlineLevel="0" collapsed="false">
      <c r="A656" s="8" t="n">
        <v>43276</v>
      </c>
      <c r="B656" s="9" t="n">
        <v>21.123095796</v>
      </c>
      <c r="C656" s="9" t="n">
        <v>167.240005</v>
      </c>
      <c r="D656" s="9" t="n">
        <v>167.369995</v>
      </c>
      <c r="E656" s="9" t="n">
        <v>164.139999</v>
      </c>
      <c r="F656" s="9" t="n">
        <v>165.080002</v>
      </c>
      <c r="G656" s="9" t="n">
        <v>159.562042</v>
      </c>
      <c r="H656" s="9" t="n">
        <v>159.562042</v>
      </c>
      <c r="I656" s="2" t="str">
        <f aca="false">IF(COUNT(C656:F656)&lt;4,"",IF(OR(D656&lt;MAX(C656,F656)-0.000001,E656&gt;MIN(C656,F656)+0.000001),"FAIL","OK"))</f>
        <v>OK</v>
      </c>
      <c r="J656" s="10" t="n">
        <f aca="false">IF(COUNT(F656,G656)&lt;2,"",G656/F656)</f>
        <v>0.966574025120257</v>
      </c>
      <c r="K656" s="10" t="n">
        <f aca="false">H656/H655-1</f>
        <v>-0.0163271694899121</v>
      </c>
      <c r="L656" s="10" t="n">
        <f aca="false">H661/H656-1</f>
        <v>-0.0010902655657915</v>
      </c>
      <c r="M656" s="10" t="n">
        <f aca="false">IF(COUNT(B597:B656)&lt;60,"",(B656-AVERAGE(B597:B656))/STDEV(B597:B656))</f>
        <v>1.45490334242239</v>
      </c>
      <c r="N656" s="10" t="n">
        <f aca="false">(H656-AVERAGE(H597:H656))/STDEV(H597:H656)</f>
        <v>0.929663287294316</v>
      </c>
      <c r="O656" s="10" t="n">
        <f aca="false">IF(COUNT(B656)=0,"",B656-('Signal Analysis'!$C$6+'Signal Analysis'!$C$5*H656))</f>
        <v>1.09396664279381</v>
      </c>
    </row>
    <row r="657" customFormat="false" ht="15" hidden="false" customHeight="false" outlineLevel="0" collapsed="false">
      <c r="A657" s="8" t="n">
        <v>43277</v>
      </c>
      <c r="B657" s="9" t="n">
        <v>20.1985303104</v>
      </c>
      <c r="C657" s="9" t="n">
        <v>165.229996</v>
      </c>
      <c r="D657" s="9" t="n">
        <v>166.660004</v>
      </c>
      <c r="E657" s="9" t="n">
        <v>164.850006</v>
      </c>
      <c r="F657" s="9" t="n">
        <v>166.039993</v>
      </c>
      <c r="G657" s="9" t="n">
        <v>160.489944</v>
      </c>
      <c r="H657" s="9" t="n">
        <v>160.489944</v>
      </c>
      <c r="I657" s="2" t="str">
        <f aca="false">IF(COUNT(C657:F657)&lt;4,"",IF(OR(D657&lt;MAX(C657,F657)-0.000001,E657&gt;MIN(C657,F657)+0.000001),"FAIL","OK"))</f>
        <v>OK</v>
      </c>
      <c r="J657" s="10" t="n">
        <f aca="false">IF(COUNT(F657,G657)&lt;2,"",G657/F657)</f>
        <v>0.966574022922297</v>
      </c>
      <c r="K657" s="10" t="n">
        <f aca="false">H657/H656-1</f>
        <v>0.00581530537193808</v>
      </c>
      <c r="L657" s="10" t="n">
        <f aca="false">H662/H657-1</f>
        <v>-0.00290666809628903</v>
      </c>
      <c r="M657" s="10" t="n">
        <f aca="false">IF(COUNT(B598:B657)&lt;60,"",(B657-AVERAGE(B598:B657))/STDEV(B598:B657))</f>
        <v>0.496864823273405</v>
      </c>
      <c r="N657" s="10" t="n">
        <f aca="false">(H657-AVERAGE(H598:H657))/STDEV(H598:H657)</f>
        <v>1.07063712215477</v>
      </c>
      <c r="O657" s="10" t="n">
        <f aca="false">IF(COUNT(B657)=0,"",B657-('Signal Analysis'!$C$6+'Signal Analysis'!$C$5*H657))</f>
        <v>0.0424711899241288</v>
      </c>
    </row>
    <row r="658" customFormat="false" ht="15" hidden="false" customHeight="false" outlineLevel="0" collapsed="false">
      <c r="A658" s="8" t="n">
        <v>43278</v>
      </c>
      <c r="B658" s="9" t="n">
        <v>21.544381584</v>
      </c>
      <c r="C658" s="9" t="n">
        <v>166.210007</v>
      </c>
      <c r="D658" s="9" t="n">
        <v>166.509995</v>
      </c>
      <c r="E658" s="9" t="n">
        <v>163.309998</v>
      </c>
      <c r="F658" s="9" t="n">
        <v>163.380005</v>
      </c>
      <c r="G658" s="9" t="n">
        <v>157.918869</v>
      </c>
      <c r="H658" s="9" t="n">
        <v>157.918869</v>
      </c>
      <c r="I658" s="2" t="str">
        <f aca="false">IF(COUNT(C658:F658)&lt;4,"",IF(OR(D658&lt;MAX(C658,F658)-0.000001,E658&gt;MIN(C658,F658)+0.000001),"FAIL","OK"))</f>
        <v>OK</v>
      </c>
      <c r="J658" s="10" t="n">
        <f aca="false">IF(COUNT(F658,G658)&lt;2,"",G658/F658)</f>
        <v>0.966574024771269</v>
      </c>
      <c r="K658" s="10" t="n">
        <f aca="false">H658/H657-1</f>
        <v>-0.0160201626090667</v>
      </c>
      <c r="L658" s="10" t="n">
        <f aca="false">H663/H658-1</f>
        <v>0.0248756150856171</v>
      </c>
      <c r="M658" s="10" t="n">
        <f aca="false">IF(COUNT(B599:B658)&lt;60,"",(B658-AVERAGE(B599:B658))/STDEV(B599:B658))</f>
        <v>1.78091819861201</v>
      </c>
      <c r="N658" s="10" t="n">
        <f aca="false">(H658-AVERAGE(H599:H658))/STDEV(H599:H658)</f>
        <v>0.574773306791096</v>
      </c>
      <c r="O658" s="10" t="n">
        <f aca="false">IF(COUNT(B658)=0,"",B658-('Signal Analysis'!$C$6+'Signal Analysis'!$C$5*H658))</f>
        <v>1.74002605463385</v>
      </c>
    </row>
    <row r="659" customFormat="false" ht="15" hidden="false" customHeight="false" outlineLevel="0" collapsed="false">
      <c r="A659" s="8" t="n">
        <v>43279</v>
      </c>
      <c r="B659" s="9" t="n">
        <v>20.1033782064</v>
      </c>
      <c r="C659" s="9" t="n">
        <v>163.229996</v>
      </c>
      <c r="D659" s="9" t="n">
        <v>164.220001</v>
      </c>
      <c r="E659" s="9" t="n">
        <v>162.259995</v>
      </c>
      <c r="F659" s="9" t="n">
        <v>163.880005</v>
      </c>
      <c r="G659" s="9" t="n">
        <v>158.402161</v>
      </c>
      <c r="H659" s="9" t="n">
        <v>158.402161</v>
      </c>
      <c r="I659" s="2" t="str">
        <f aca="false">IF(COUNT(C659:F659)&lt;4,"",IF(OR(D659&lt;MAX(C659,F659)-0.000001,E659&gt;MIN(C659,F659)+0.000001),"FAIL","OK"))</f>
        <v>OK</v>
      </c>
      <c r="J659" s="10" t="n">
        <f aca="false">IF(COUNT(F659,G659)&lt;2,"",G659/F659)</f>
        <v>0.96657405520582</v>
      </c>
      <c r="K659" s="10" t="n">
        <f aca="false">H659/H658-1</f>
        <v>0.00306038159379174</v>
      </c>
      <c r="L659" s="10" t="n">
        <f aca="false">H664/H659-1</f>
        <v>0.0303837458379119</v>
      </c>
      <c r="M659" s="10" t="n">
        <f aca="false">IF(COUNT(B600:B659)&lt;60,"",(B659-AVERAGE(B600:B659))/STDEV(B600:B659))</f>
        <v>0.323822710867693</v>
      </c>
      <c r="N659" s="10" t="n">
        <f aca="false">(H659-AVERAGE(H600:H659))/STDEV(H600:H659)</f>
        <v>0.639508061219055</v>
      </c>
      <c r="O659" s="10" t="n">
        <f aca="false">IF(COUNT(B659)=0,"",B659-('Signal Analysis'!$C$6+'Signal Analysis'!$C$5*H659))</f>
        <v>0.232911991054404</v>
      </c>
    </row>
    <row r="660" customFormat="false" ht="15" hidden="false" customHeight="false" outlineLevel="0" collapsed="false">
      <c r="A660" s="8" t="n">
        <v>43280</v>
      </c>
      <c r="B660" s="9" t="n">
        <v>21.581518596</v>
      </c>
      <c r="C660" s="9" t="n">
        <v>164.309998</v>
      </c>
      <c r="D660" s="9" t="n">
        <v>165.050003</v>
      </c>
      <c r="E660" s="9" t="n">
        <v>163.610001</v>
      </c>
      <c r="F660" s="9" t="n">
        <v>163.770004</v>
      </c>
      <c r="G660" s="9" t="n">
        <v>158.295853</v>
      </c>
      <c r="H660" s="9" t="n">
        <v>158.295853</v>
      </c>
      <c r="I660" s="2" t="str">
        <f aca="false">IF(COUNT(C660:F660)&lt;4,"",IF(OR(D660&lt;MAX(C660,F660)-0.000001,E660&gt;MIN(C660,F660)+0.000001),"FAIL","OK"))</f>
        <v>OK</v>
      </c>
      <c r="J660" s="10" t="n">
        <f aca="false">IF(COUNT(F660,G660)&lt;2,"",G660/F660)</f>
        <v>0.966574153591643</v>
      </c>
      <c r="K660" s="10" t="n">
        <f aca="false">H660/H659-1</f>
        <v>-0.000671127207664934</v>
      </c>
      <c r="L660" s="10" t="n">
        <f aca="false">H665/H660-1</f>
        <v>0.0375716286136696</v>
      </c>
      <c r="M660" s="10" t="n">
        <f aca="false">IF(COUNT(B601:B660)&lt;60,"",(B660-AVERAGE(B601:B660))/STDEV(B601:B660))</f>
        <v>1.74275105940459</v>
      </c>
      <c r="N660" s="10" t="n">
        <f aca="false">(H660-AVERAGE(H601:H660))/STDEV(H601:H660)</f>
        <v>0.594289117132585</v>
      </c>
      <c r="O660" s="10" t="n">
        <f aca="false">IF(COUNT(B660)=0,"",B660-('Signal Analysis'!$C$6+'Signal Analysis'!$C$5*H660))</f>
        <v>1.72559451006086</v>
      </c>
    </row>
    <row r="661" customFormat="false" ht="15" hidden="false" customHeight="false" outlineLevel="0" collapsed="false">
      <c r="A661" s="8" t="n">
        <v>43283</v>
      </c>
      <c r="B661" s="9" t="n">
        <v>19.6476248592</v>
      </c>
      <c r="C661" s="9" t="n">
        <v>162.759995</v>
      </c>
      <c r="D661" s="9" t="n">
        <v>164.960007</v>
      </c>
      <c r="E661" s="9" t="n">
        <v>162.479996</v>
      </c>
      <c r="F661" s="9" t="n">
        <v>164.899994</v>
      </c>
      <c r="G661" s="9" t="n">
        <v>159.388077</v>
      </c>
      <c r="H661" s="9" t="n">
        <v>159.388077</v>
      </c>
      <c r="I661" s="2" t="str">
        <f aca="false">IF(COUNT(C661:F661)&lt;4,"",IF(OR(D661&lt;MAX(C661,F661)-0.000001,E661&gt;MIN(C661,F661)+0.000001),"FAIL","OK"))</f>
        <v>OK</v>
      </c>
      <c r="J661" s="10" t="n">
        <f aca="false">IF(COUNT(F661,G661)&lt;2,"",G661/F661)</f>
        <v>0.966574183137933</v>
      </c>
      <c r="K661" s="10" t="n">
        <f aca="false">H661/H660-1</f>
        <v>0.00689989016958026</v>
      </c>
      <c r="L661" s="10" t="n">
        <f aca="false">H666/H661-1</f>
        <v>0.025775303130108</v>
      </c>
      <c r="M661" s="10" t="n">
        <f aca="false">IF(COUNT(B602:B661)&lt;60,"",(B661-AVERAGE(B602:B661))/STDEV(B602:B661))</f>
        <v>-0.197378982893185</v>
      </c>
      <c r="N661" s="10" t="n">
        <f aca="false">(H661-AVERAGE(H602:H661))/STDEV(H602:H661)</f>
        <v>0.779919080296359</v>
      </c>
      <c r="O661" s="10" t="n">
        <f aca="false">IF(COUNT(B661)=0,"",B661-('Signal Analysis'!$C$6+'Signal Analysis'!$C$5*H661))</f>
        <v>-0.357707199317236</v>
      </c>
    </row>
    <row r="662" customFormat="false" ht="15" hidden="false" customHeight="false" outlineLevel="0" collapsed="false">
      <c r="A662" s="8" t="n">
        <v>43284</v>
      </c>
      <c r="B662" s="9" t="n">
        <v>20.7202289904</v>
      </c>
      <c r="C662" s="9" t="n">
        <v>164.75</v>
      </c>
      <c r="D662" s="9" t="n">
        <v>165.699997</v>
      </c>
      <c r="E662" s="9" t="n">
        <v>164.699997</v>
      </c>
      <c r="F662" s="9" t="n">
        <v>164.960007</v>
      </c>
      <c r="G662" s="9" t="n">
        <v>160.023453</v>
      </c>
      <c r="H662" s="9" t="n">
        <v>160.023453</v>
      </c>
      <c r="I662" s="2" t="str">
        <f aca="false">IF(COUNT(C662:F662)&lt;4,"",IF(OR(D662&lt;MAX(C662,F662)-0.000001,E662&gt;MIN(C662,F662)+0.000001),"FAIL","OK"))</f>
        <v>OK</v>
      </c>
      <c r="J662" s="10" t="n">
        <f aca="false">IF(COUNT(F662,G662)&lt;2,"",G662/F662)</f>
        <v>0.970074237448353</v>
      </c>
      <c r="K662" s="10" t="n">
        <f aca="false">H662/H661-1</f>
        <v>0.00398634585446422</v>
      </c>
      <c r="L662" s="10" t="n">
        <f aca="false">H667/H662-1</f>
        <v>0.0130334832857282</v>
      </c>
      <c r="M662" s="10" t="n">
        <f aca="false">IF(COUNT(B603:B662)&lt;60,"",(B662-AVERAGE(B603:B662))/STDEV(B603:B662))</f>
        <v>0.853094329440908</v>
      </c>
      <c r="N662" s="10" t="n">
        <f aca="false">(H662-AVERAGE(H603:H662))/STDEV(H603:H662)</f>
        <v>0.881626536362669</v>
      </c>
      <c r="O662" s="10" t="n">
        <f aca="false">IF(COUNT(B662)=0,"",B662-('Signal Analysis'!$C$6+'Signal Analysis'!$C$5*H662))</f>
        <v>0.627982306325389</v>
      </c>
    </row>
    <row r="663" customFormat="false" ht="15" hidden="false" customHeight="false" outlineLevel="0" collapsed="false">
      <c r="A663" s="8" t="n">
        <v>43286</v>
      </c>
      <c r="B663" s="9" t="n">
        <v>21.438098352</v>
      </c>
      <c r="C663" s="9" t="n">
        <v>165.860001</v>
      </c>
      <c r="D663" s="9" t="n">
        <v>166.869995</v>
      </c>
      <c r="E663" s="9" t="n">
        <v>164.830002</v>
      </c>
      <c r="F663" s="9" t="n">
        <v>166.839996</v>
      </c>
      <c r="G663" s="9" t="n">
        <v>161.847198</v>
      </c>
      <c r="H663" s="9" t="n">
        <v>161.847198</v>
      </c>
      <c r="I663" s="2" t="str">
        <f aca="false">IF(COUNT(C663:F663)&lt;4,"",IF(OR(D663&lt;MAX(C663,F663)-0.000001,E663&gt;MIN(C663,F663)+0.000001),"FAIL","OK"))</f>
        <v>OK</v>
      </c>
      <c r="J663" s="10" t="n">
        <f aca="false">IF(COUNT(F663,G663)&lt;2,"",G663/F663)</f>
        <v>0.97007433397445</v>
      </c>
      <c r="K663" s="10" t="n">
        <f aca="false">H663/H662-1</f>
        <v>0.0113967357022349</v>
      </c>
      <c r="L663" s="10" t="n">
        <f aca="false">H668/H663-1</f>
        <v>0.00647329093704796</v>
      </c>
      <c r="M663" s="10" t="n">
        <f aca="false">IF(COUNT(B604:B663)&lt;60,"",(B663-AVERAGE(B604:B663))/STDEV(B604:B663))</f>
        <v>1.52137996726464</v>
      </c>
      <c r="N663" s="10" t="n">
        <f aca="false">(H663-AVERAGE(H604:H663))/STDEV(H604:H663)</f>
        <v>1.21458535745782</v>
      </c>
      <c r="O663" s="10" t="n">
        <f aca="false">IF(COUNT(B663)=0,"",B663-('Signal Analysis'!$C$6+'Signal Analysis'!$C$5*H663))</f>
        <v>1.09637716182642</v>
      </c>
    </row>
    <row r="664" customFormat="false" ht="15" hidden="false" customHeight="false" outlineLevel="0" collapsed="false">
      <c r="A664" s="8" t="n">
        <v>43287</v>
      </c>
      <c r="B664" s="9" t="n">
        <v>19.41351744</v>
      </c>
      <c r="C664" s="9" t="n">
        <v>166.970001</v>
      </c>
      <c r="D664" s="9" t="n">
        <v>168.440002</v>
      </c>
      <c r="E664" s="9" t="n">
        <v>166.520004</v>
      </c>
      <c r="F664" s="9" t="n">
        <v>168.25</v>
      </c>
      <c r="G664" s="9" t="n">
        <v>163.215012</v>
      </c>
      <c r="H664" s="9" t="n">
        <v>163.215012</v>
      </c>
      <c r="I664" s="2" t="str">
        <f aca="false">IF(COUNT(C664:F664)&lt;4,"",IF(OR(D664&lt;MAX(C664,F664)-0.000001,E664&gt;MIN(C664,F664)+0.000001),"FAIL","OK"))</f>
        <v>OK</v>
      </c>
      <c r="J664" s="10" t="n">
        <f aca="false">IF(COUNT(F664,G664)&lt;2,"",G664/F664)</f>
        <v>0.970074365527489</v>
      </c>
      <c r="K664" s="10" t="n">
        <f aca="false">H664/H663-1</f>
        <v>0.00845126771981564</v>
      </c>
      <c r="L664" s="10" t="n">
        <f aca="false">H669/H664-1</f>
        <v>-0.00493322268664842</v>
      </c>
      <c r="M664" s="10" t="n">
        <f aca="false">IF(COUNT(B605:B664)&lt;60,"",(B664-AVERAGE(B605:B664))/STDEV(B605:B664))</f>
        <v>-0.532496359705034</v>
      </c>
      <c r="N664" s="10" t="n">
        <f aca="false">(H664-AVERAGE(H605:H664))/STDEV(H605:H664)</f>
        <v>1.44647265127658</v>
      </c>
      <c r="O664" s="10" t="n">
        <f aca="false">IF(COUNT(B664)=0,"",B664-('Signal Analysis'!$C$6+'Signal Analysis'!$C$5*H664))</f>
        <v>-1.11531034790805</v>
      </c>
    </row>
    <row r="665" customFormat="false" ht="15" hidden="false" customHeight="false" outlineLevel="0" collapsed="false">
      <c r="A665" s="8" t="n">
        <v>43290</v>
      </c>
      <c r="B665" s="9" t="n">
        <v>20.6696370984</v>
      </c>
      <c r="C665" s="9" t="n">
        <v>169.009995</v>
      </c>
      <c r="D665" s="9" t="n">
        <v>169.330002</v>
      </c>
      <c r="E665" s="9" t="n">
        <v>168.389999</v>
      </c>
      <c r="F665" s="9" t="n">
        <v>169.309998</v>
      </c>
      <c r="G665" s="9" t="n">
        <v>164.243286</v>
      </c>
      <c r="H665" s="9" t="n">
        <v>164.243286</v>
      </c>
      <c r="I665" s="2" t="str">
        <f aca="false">IF(COUNT(C665:F665)&lt;4,"",IF(OR(D665&lt;MAX(C665,F665)-0.000001,E665&gt;MIN(C665,F665)+0.000001),"FAIL","OK"))</f>
        <v>OK</v>
      </c>
      <c r="J665" s="10" t="n">
        <f aca="false">IF(COUNT(F665,G665)&lt;2,"",G665/F665)</f>
        <v>0.970074348474093</v>
      </c>
      <c r="K665" s="10" t="n">
        <f aca="false">H665/H664-1</f>
        <v>0.0063001190111116</v>
      </c>
      <c r="L665" s="10" t="n">
        <f aca="false">H670/H665-1</f>
        <v>-0.0150019770062322</v>
      </c>
      <c r="M665" s="10" t="n">
        <f aca="false">IF(COUNT(B606:B665)&lt;60,"",(B665-AVERAGE(B606:B665))/STDEV(B606:B665))</f>
        <v>0.723159646673225</v>
      </c>
      <c r="N665" s="10" t="n">
        <f aca="false">(H665-AVERAGE(H606:H665))/STDEV(H606:H665)</f>
        <v>1.59642389467577</v>
      </c>
      <c r="O665" s="10" t="n">
        <f aca="false">IF(COUNT(B665)=0,"",B665-('Signal Analysis'!$C$6+'Signal Analysis'!$C$5*H665))</f>
        <v>0.000149213666787773</v>
      </c>
    </row>
    <row r="666" customFormat="false" ht="15" hidden="false" customHeight="false" outlineLevel="0" collapsed="false">
      <c r="A666" s="8" t="n">
        <v>43291</v>
      </c>
      <c r="B666" s="9" t="n">
        <v>20.532087954</v>
      </c>
      <c r="C666" s="9" t="n">
        <v>169.580002</v>
      </c>
      <c r="D666" s="9" t="n">
        <v>169.869995</v>
      </c>
      <c r="E666" s="9" t="n">
        <v>167.570007</v>
      </c>
      <c r="F666" s="9" t="n">
        <v>168.539993</v>
      </c>
      <c r="G666" s="9" t="n">
        <v>163.496353</v>
      </c>
      <c r="H666" s="9" t="n">
        <v>163.496353</v>
      </c>
      <c r="I666" s="2" t="str">
        <f aca="false">IF(COUNT(C666:F666)&lt;4,"",IF(OR(D666&lt;MAX(C666,F666)-0.000001,E666&gt;MIN(C666,F666)+0.000001),"FAIL","OK"))</f>
        <v>OK</v>
      </c>
      <c r="J666" s="10" t="n">
        <f aca="false">IF(COUNT(F666,G666)&lt;2,"",G666/F666)</f>
        <v>0.970074521125677</v>
      </c>
      <c r="K666" s="10" t="n">
        <f aca="false">H666/H665-1</f>
        <v>-0.00454772318668795</v>
      </c>
      <c r="L666" s="10" t="n">
        <f aca="false">H671/H666-1</f>
        <v>-0.0061114880036498</v>
      </c>
      <c r="M666" s="10" t="n">
        <f aca="false">IF(COUNT(B607:B666)&lt;60,"",(B666-AVERAGE(B607:B666))/STDEV(B607:B666))</f>
        <v>0.557241266909325</v>
      </c>
      <c r="N666" s="10" t="n">
        <f aca="false">(H666-AVERAGE(H607:H666))/STDEV(H607:H666)</f>
        <v>1.39997027124826</v>
      </c>
      <c r="O666" s="10" t="n">
        <f aca="false">IF(COUNT(B666)=0,"",B666-('Signal Analysis'!$C$6+'Signal Analysis'!$C$5*H666))</f>
        <v>-0.0352251523162579</v>
      </c>
    </row>
    <row r="667" customFormat="false" ht="15" hidden="false" customHeight="false" outlineLevel="0" collapsed="false">
      <c r="A667" s="8" t="n">
        <v>43292</v>
      </c>
      <c r="B667" s="9" t="n">
        <v>21.2683278528</v>
      </c>
      <c r="C667" s="9" t="n">
        <v>167.619995</v>
      </c>
      <c r="D667" s="9" t="n">
        <v>168.610001</v>
      </c>
      <c r="E667" s="9" t="n">
        <v>167.050003</v>
      </c>
      <c r="F667" s="9" t="n">
        <v>167.110001</v>
      </c>
      <c r="G667" s="9" t="n">
        <v>162.109116</v>
      </c>
      <c r="H667" s="9" t="n">
        <v>162.109116</v>
      </c>
      <c r="I667" s="2" t="str">
        <f aca="false">IF(COUNT(C667:F667)&lt;4,"",IF(OR(D667&lt;MAX(C667,F667)-0.000001,E667&gt;MIN(C667,F667)+0.000001),"FAIL","OK"))</f>
        <v>OK</v>
      </c>
      <c r="J667" s="10" t="n">
        <f aca="false">IF(COUNT(F667,G667)&lt;2,"",G667/F667)</f>
        <v>0.970074292561341</v>
      </c>
      <c r="K667" s="10" t="n">
        <f aca="false">H667/H666-1</f>
        <v>-0.00848481923018796</v>
      </c>
      <c r="L667" s="10" t="n">
        <f aca="false">H672/H667-1</f>
        <v>0.00520614152260257</v>
      </c>
      <c r="M667" s="10" t="n">
        <f aca="false">IF(COUNT(B608:B667)&lt;60,"",(B667-AVERAGE(B608:B667))/STDEV(B608:B667))</f>
        <v>1.29110860989373</v>
      </c>
      <c r="N667" s="10" t="n">
        <f aca="false">(H667-AVERAGE(H608:H667))/STDEV(H608:H667)</f>
        <v>1.08150352538224</v>
      </c>
      <c r="O667" s="10" t="n">
        <f aca="false">IF(COUNT(B667)=0,"",B667-('Signal Analysis'!$C$6+'Signal Analysis'!$C$5*H667))</f>
        <v>0.890778263541886</v>
      </c>
    </row>
    <row r="668" customFormat="false" ht="15" hidden="false" customHeight="false" outlineLevel="0" collapsed="false">
      <c r="A668" s="8" t="n">
        <v>43293</v>
      </c>
      <c r="B668" s="9" t="n">
        <v>20.2009523736</v>
      </c>
      <c r="C668" s="9" t="n">
        <v>168.070007</v>
      </c>
      <c r="D668" s="9" t="n">
        <v>168.25</v>
      </c>
      <c r="E668" s="9" t="n">
        <v>166.639999</v>
      </c>
      <c r="F668" s="9" t="n">
        <v>167.919998</v>
      </c>
      <c r="G668" s="9" t="n">
        <v>162.894882</v>
      </c>
      <c r="H668" s="9" t="n">
        <v>162.894882</v>
      </c>
      <c r="I668" s="2" t="str">
        <f aca="false">IF(COUNT(C668:F668)&lt;4,"",IF(OR(D668&lt;MAX(C668,F668)-0.000001,E668&gt;MIN(C668,F668)+0.000001),"FAIL","OK"))</f>
        <v>OK</v>
      </c>
      <c r="J668" s="10" t="n">
        <f aca="false">IF(COUNT(F668,G668)&lt;2,"",G668/F668)</f>
        <v>0.970074344569728</v>
      </c>
      <c r="K668" s="10" t="n">
        <f aca="false">H668/H667-1</f>
        <v>0.00484714258758889</v>
      </c>
      <c r="L668" s="10" t="n">
        <f aca="false">H673/H668-1</f>
        <v>0.00744397850387957</v>
      </c>
      <c r="M668" s="10" t="n">
        <f aca="false">IF(COUNT(B609:B668)&lt;60,"",(B668-AVERAGE(B609:B668))/STDEV(B609:B668))</f>
        <v>0.135308553931619</v>
      </c>
      <c r="N668" s="10" t="n">
        <f aca="false">(H668-AVERAGE(H609:H668))/STDEV(H609:H668)</f>
        <v>1.20089362103044</v>
      </c>
      <c r="O668" s="10" t="n">
        <f aca="false">IF(COUNT(B668)=0,"",B668-('Signal Analysis'!$C$6+'Signal Analysis'!$C$5*H668))</f>
        <v>-0.284084054420855</v>
      </c>
    </row>
    <row r="669" customFormat="false" ht="15" hidden="false" customHeight="false" outlineLevel="0" collapsed="false">
      <c r="A669" s="8" t="n">
        <v>43294</v>
      </c>
      <c r="B669" s="9" t="n">
        <v>19.63702332</v>
      </c>
      <c r="C669" s="9" t="n">
        <v>167.850006</v>
      </c>
      <c r="D669" s="9" t="n">
        <v>168.729996</v>
      </c>
      <c r="E669" s="9" t="n">
        <v>167.419998</v>
      </c>
      <c r="F669" s="9" t="n">
        <v>167.419998</v>
      </c>
      <c r="G669" s="9" t="n">
        <v>162.409836</v>
      </c>
      <c r="H669" s="9" t="n">
        <v>162.409836</v>
      </c>
      <c r="I669" s="2" t="str">
        <f aca="false">IF(COUNT(C669:F669)&lt;4,"",IF(OR(D669&lt;MAX(C669,F669)-0.000001,E669&gt;MIN(C669,F669)+0.000001),"FAIL","OK"))</f>
        <v>OK</v>
      </c>
      <c r="J669" s="10" t="n">
        <f aca="false">IF(COUNT(F669,G669)&lt;2,"",G669/F669)</f>
        <v>0.970074291841767</v>
      </c>
      <c r="K669" s="10" t="n">
        <f aca="false">H669/H668-1</f>
        <v>-0.00297766261311994</v>
      </c>
      <c r="L669" s="10" t="n">
        <f aca="false">H674/H669-1</f>
        <v>0.0063314515014965</v>
      </c>
      <c r="M669" s="10" t="n">
        <f aca="false">IF(COUNT(B610:B669)&lt;60,"",(B669-AVERAGE(B610:B669))/STDEV(B610:B669))</f>
        <v>-0.484167423395886</v>
      </c>
      <c r="N669" s="10" t="n">
        <f aca="false">(H669-AVERAGE(H610:H669))/STDEV(H610:H669)</f>
        <v>1.06533527441813</v>
      </c>
      <c r="O669" s="10" t="n">
        <f aca="false">IF(COUNT(B669)=0,"",B669-('Signal Analysis'!$C$6+'Signal Analysis'!$C$5*H669))</f>
        <v>-0.781662488123185</v>
      </c>
    </row>
    <row r="670" customFormat="false" ht="15" hidden="false" customHeight="false" outlineLevel="0" collapsed="false">
      <c r="A670" s="8" t="n">
        <v>43297</v>
      </c>
      <c r="B670" s="9" t="n">
        <v>20.0103130932</v>
      </c>
      <c r="C670" s="9" t="n">
        <v>167.759995</v>
      </c>
      <c r="D670" s="9" t="n">
        <v>168.029999</v>
      </c>
      <c r="E670" s="11" t="n">
        <v>166.770004</v>
      </c>
      <c r="F670" s="9" t="n">
        <v>166.770004</v>
      </c>
      <c r="G670" s="9" t="n">
        <v>161.779312</v>
      </c>
      <c r="H670" s="9" t="n">
        <v>161.779312</v>
      </c>
      <c r="I670" s="2" t="str">
        <f aca="false">IF(COUNT(C670:F670)&lt;4,"",IF(OR(D670&lt;MAX(C670,F670)-0.000001,E670&gt;MIN(C670,F670)+0.000001),"FAIL","OK"))</f>
        <v>OK</v>
      </c>
      <c r="J670" s="10" t="n">
        <f aca="false">IF(COUNT(F670,G670)&lt;2,"",G670/F670)</f>
        <v>0.970074402588609</v>
      </c>
      <c r="K670" s="10" t="n">
        <f aca="false">H670/H669-1</f>
        <v>-0.00388230180837079</v>
      </c>
      <c r="L670" s="10" t="n">
        <f aca="false">H675/H670-1</f>
        <v>0.0115128997457969</v>
      </c>
      <c r="M670" s="10" t="n">
        <f aca="false">IF(COUNT(B611:B670)&lt;60,"",(B670-AVERAGE(B611:B670))/STDEV(B611:B670))</f>
        <v>-0.120053648262568</v>
      </c>
      <c r="N670" s="10" t="n">
        <f aca="false">(H670-AVERAGE(H611:H670))/STDEV(H611:H670)</f>
        <v>0.905919638123113</v>
      </c>
      <c r="O670" s="10" t="n">
        <f aca="false">IF(COUNT(B670)=0,"",B670-('Signal Analysis'!$C$6+'Signal Analysis'!$C$5*H670))</f>
        <v>-0.322121806225127</v>
      </c>
    </row>
    <row r="671" customFormat="false" ht="15" hidden="false" customHeight="false" outlineLevel="0" collapsed="false">
      <c r="A671" s="8" t="n">
        <v>43298</v>
      </c>
      <c r="B671" s="9" t="n">
        <v>21.448342344</v>
      </c>
      <c r="C671" s="9" t="n">
        <v>166.75</v>
      </c>
      <c r="D671" s="9" t="n">
        <v>168</v>
      </c>
      <c r="E671" s="9" t="n">
        <v>166.589996</v>
      </c>
      <c r="F671" s="9" t="n">
        <v>167.509995</v>
      </c>
      <c r="G671" s="9" t="n">
        <v>162.497147</v>
      </c>
      <c r="H671" s="9" t="n">
        <v>162.497147</v>
      </c>
      <c r="I671" s="2" t="str">
        <f aca="false">IF(COUNT(C671:F671)&lt;4,"",IF(OR(D671&lt;MAX(C671,F671)-0.000001,E671&gt;MIN(C671,F671)+0.000001),"FAIL","OK"))</f>
        <v>OK</v>
      </c>
      <c r="J671" s="10" t="n">
        <f aca="false">IF(COUNT(F671,G671)&lt;2,"",G671/F671)</f>
        <v>0.970074334967296</v>
      </c>
      <c r="K671" s="10" t="n">
        <f aca="false">H671/H670-1</f>
        <v>0.00443712481605818</v>
      </c>
      <c r="L671" s="10" t="n">
        <f aca="false">H676/H671-1</f>
        <v>-0.00370104959442774</v>
      </c>
      <c r="M671" s="10" t="n">
        <f aca="false">IF(COUNT(B612:B671)&lt;60,"",(B671-AVERAGE(B612:B671))/STDEV(B612:B671))</f>
        <v>1.50489684712753</v>
      </c>
      <c r="N671" s="10" t="n">
        <f aca="false">(H671-AVERAGE(H612:H671))/STDEV(H612:H671)</f>
        <v>1.02122545072735</v>
      </c>
      <c r="O671" s="10" t="n">
        <f aca="false">IF(COUNT(B671)=0,"",B671-('Signal Analysis'!$C$6+'Signal Analysis'!$C$5*H671))</f>
        <v>1.01771305221983</v>
      </c>
    </row>
    <row r="672" customFormat="false" ht="15" hidden="false" customHeight="false" outlineLevel="0" collapsed="false">
      <c r="A672" s="8" t="n">
        <v>43299</v>
      </c>
      <c r="B672" s="9" t="n">
        <v>20.387394768</v>
      </c>
      <c r="C672" s="9" t="n">
        <v>167.360001</v>
      </c>
      <c r="D672" s="9" t="n">
        <v>168.059998</v>
      </c>
      <c r="E672" s="9" t="n">
        <v>166.570007</v>
      </c>
      <c r="F672" s="9" t="n">
        <v>167.979996</v>
      </c>
      <c r="G672" s="9" t="n">
        <v>162.953079</v>
      </c>
      <c r="H672" s="9" t="n">
        <v>162.953079</v>
      </c>
      <c r="I672" s="2" t="str">
        <f aca="false">IF(COUNT(C672:F672)&lt;4,"",IF(OR(D672&lt;MAX(C672,F672)-0.000001,E672&gt;MIN(C672,F672)+0.000001),"FAIL","OK"))</f>
        <v>OK</v>
      </c>
      <c r="J672" s="10" t="n">
        <f aca="false">IF(COUNT(F672,G672)&lt;2,"",G672/F672)</f>
        <v>0.970074311705544</v>
      </c>
      <c r="K672" s="10" t="n">
        <f aca="false">H672/H671-1</f>
        <v>0.00280578464556047</v>
      </c>
      <c r="L672" s="10" t="n">
        <f aca="false">H677/H672-1</f>
        <v>-0.00285749126593682</v>
      </c>
      <c r="M672" s="10" t="n">
        <f aca="false">IF(COUNT(B613:B672)&lt;60,"",(B672-AVERAGE(B613:B672))/STDEV(B613:B672))</f>
        <v>0.242078445735874</v>
      </c>
      <c r="N672" s="10" t="n">
        <f aca="false">(H672-AVERAGE(H613:H672))/STDEV(H613:H672)</f>
        <v>1.08308865752133</v>
      </c>
      <c r="O672" s="10" t="n">
        <f aca="false">IF(COUNT(B672)=0,"",B672-('Signal Analysis'!$C$6+'Signal Analysis'!$C$5*H672))</f>
        <v>-0.105602568937094</v>
      </c>
    </row>
    <row r="673" customFormat="false" ht="15" hidden="false" customHeight="false" outlineLevel="0" collapsed="false">
      <c r="A673" s="8" t="n">
        <v>43300</v>
      </c>
      <c r="B673" s="9" t="n">
        <v>20.3920023648</v>
      </c>
      <c r="C673" s="9" t="n">
        <v>167.770004</v>
      </c>
      <c r="D673" s="9" t="n">
        <v>169.25</v>
      </c>
      <c r="E673" s="9" t="n">
        <v>167.259995</v>
      </c>
      <c r="F673" s="9" t="n">
        <v>169.169998</v>
      </c>
      <c r="G673" s="9" t="n">
        <v>164.107468</v>
      </c>
      <c r="H673" s="9" t="n">
        <v>164.107468</v>
      </c>
      <c r="I673" s="2" t="str">
        <f aca="false">IF(COUNT(C673:F673)&lt;4,"",IF(OR(D673&lt;MAX(C673,F673)-0.000001,E673&gt;MIN(C673,F673)+0.000001),"FAIL","OK"))</f>
        <v>OK</v>
      </c>
      <c r="J673" s="10" t="n">
        <f aca="false">IF(COUNT(F673,G673)&lt;2,"",G673/F673)</f>
        <v>0.970074303600808</v>
      </c>
      <c r="K673" s="10" t="n">
        <f aca="false">H673/H672-1</f>
        <v>0.00708418034862657</v>
      </c>
      <c r="L673" s="10" t="n">
        <f aca="false">H678/H673-1</f>
        <v>-0.00455148695609642</v>
      </c>
      <c r="M673" s="10" t="n">
        <f aca="false">IF(COUNT(B614:B673)&lt;60,"",(B673-AVERAGE(B614:B673))/STDEV(B614:B673))</f>
        <v>0.234984250749582</v>
      </c>
      <c r="N673" s="10" t="n">
        <f aca="false">(H673-AVERAGE(H614:H673))/STDEV(H614:H673)</f>
        <v>1.29090469526902</v>
      </c>
      <c r="O673" s="10" t="n">
        <f aca="false">IF(COUNT(B673)=0,"",B673-('Signal Analysis'!$C$6+'Signal Analysis'!$C$5*H673))</f>
        <v>-0.258906645984631</v>
      </c>
    </row>
    <row r="674" customFormat="false" ht="15" hidden="false" customHeight="false" outlineLevel="0" collapsed="false">
      <c r="A674" s="8" t="n">
        <v>43301</v>
      </c>
      <c r="B674" s="9" t="n">
        <v>20.2612057848</v>
      </c>
      <c r="C674" s="9" t="n">
        <v>168.800003</v>
      </c>
      <c r="D674" s="9" t="n">
        <v>169.309998</v>
      </c>
      <c r="E674" s="9" t="n">
        <v>168.350006</v>
      </c>
      <c r="F674" s="9" t="n">
        <v>168.479996</v>
      </c>
      <c r="G674" s="9" t="n">
        <v>163.438126</v>
      </c>
      <c r="H674" s="9" t="n">
        <v>163.438126</v>
      </c>
      <c r="I674" s="2" t="str">
        <f aca="false">IF(COUNT(C674:F674)&lt;4,"",IF(OR(D674&lt;MAX(C674,F674)-0.000001,E674&gt;MIN(C674,F674)+0.000001),"FAIL","OK"))</f>
        <v>OK</v>
      </c>
      <c r="J674" s="10" t="n">
        <f aca="false">IF(COUNT(F674,G674)&lt;2,"",G674/F674)</f>
        <v>0.970074370134719</v>
      </c>
      <c r="K674" s="10" t="n">
        <f aca="false">H674/H673-1</f>
        <v>-0.00407868092876795</v>
      </c>
      <c r="L674" s="10" t="n">
        <f aca="false">H679/H674-1</f>
        <v>-0.0191120767011242</v>
      </c>
      <c r="M674" s="10" t="n">
        <f aca="false">IF(COUNT(B615:B674)&lt;60,"",(B674-AVERAGE(B615:B674))/STDEV(B615:B674))</f>
        <v>0.0547464368291302</v>
      </c>
      <c r="N674" s="10" t="n">
        <f aca="false">(H674-AVERAGE(H615:H674))/STDEV(H615:H674)</f>
        <v>1.12152064328627</v>
      </c>
      <c r="O674" s="10" t="n">
        <f aca="false">IF(COUNT(B674)=0,"",B674-('Signal Analysis'!$C$6+'Signal Analysis'!$C$5*H674))</f>
        <v>-0.298142308827192</v>
      </c>
    </row>
    <row r="675" customFormat="false" ht="15" hidden="false" customHeight="false" outlineLevel="0" collapsed="false">
      <c r="A675" s="8" t="n">
        <v>43304</v>
      </c>
      <c r="B675" s="9" t="n">
        <v>20.27418561</v>
      </c>
      <c r="C675" s="9" t="n">
        <v>168.300003</v>
      </c>
      <c r="D675" s="9" t="n">
        <v>169.149994</v>
      </c>
      <c r="E675" s="9" t="n">
        <v>167.809998</v>
      </c>
      <c r="F675" s="9" t="n">
        <v>168.690002</v>
      </c>
      <c r="G675" s="9" t="n">
        <v>163.641861</v>
      </c>
      <c r="H675" s="9" t="n">
        <v>163.641861</v>
      </c>
      <c r="I675" s="2" t="str">
        <f aca="false">IF(COUNT(C675:F675)&lt;4,"",IF(OR(D675&lt;MAX(C675,F675)-0.000001,E675&gt;MIN(C675,F675)+0.000001),"FAIL","OK"))</f>
        <v>OK</v>
      </c>
      <c r="J675" s="10" t="n">
        <f aca="false">IF(COUNT(F675,G675)&lt;2,"",G675/F675)</f>
        <v>0.970074450529676</v>
      </c>
      <c r="K675" s="10" t="n">
        <f aca="false">H675/H674-1</f>
        <v>0.00124655736691448</v>
      </c>
      <c r="L675" s="10" t="n">
        <f aca="false">H680/H675-1</f>
        <v>-0.0266169791359192</v>
      </c>
      <c r="M675" s="10" t="n">
        <f aca="false">IF(COUNT(B616:B675)&lt;60,"",(B675-AVERAGE(B616:B675))/STDEV(B616:B675))</f>
        <v>0.0380933660475949</v>
      </c>
      <c r="N675" s="10" t="n">
        <f aca="false">(H675-AVERAGE(H616:H675))/STDEV(H616:H675)</f>
        <v>1.13719095564379</v>
      </c>
      <c r="O675" s="10" t="n">
        <f aca="false">IF(COUNT(B675)=0,"",B675-('Signal Analysis'!$C$6+'Signal Analysis'!$C$5*H675))</f>
        <v>-0.31303188888948</v>
      </c>
    </row>
    <row r="676" customFormat="false" ht="15" hidden="false" customHeight="false" outlineLevel="0" collapsed="false">
      <c r="A676" s="8" t="n">
        <v>43305</v>
      </c>
      <c r="B676" s="9" t="n">
        <v>20.839617144</v>
      </c>
      <c r="C676" s="9" t="n">
        <v>169.449997</v>
      </c>
      <c r="D676" s="9" t="n">
        <v>169.759995</v>
      </c>
      <c r="E676" s="9" t="n">
        <v>166.220001</v>
      </c>
      <c r="F676" s="9" t="n">
        <v>166.889999</v>
      </c>
      <c r="G676" s="9" t="n">
        <v>161.895737</v>
      </c>
      <c r="H676" s="9" t="n">
        <v>161.895737</v>
      </c>
      <c r="I676" s="2" t="str">
        <f aca="false">IF(COUNT(C676:F676)&lt;4,"",IF(OR(D676&lt;MAX(C676,F676)-0.000001,E676&gt;MIN(C676,F676)+0.000001),"FAIL","OK"))</f>
        <v>OK</v>
      </c>
      <c r="J676" s="10" t="n">
        <f aca="false">IF(COUNT(F676,G676)&lt;2,"",G676/F676)</f>
        <v>0.97007452795299</v>
      </c>
      <c r="K676" s="10" t="n">
        <f aca="false">H676/H675-1</f>
        <v>-0.0106703993057131</v>
      </c>
      <c r="L676" s="10" t="n">
        <f aca="false">H681/H676-1</f>
        <v>-0.00611197069382985</v>
      </c>
      <c r="M676" s="10" t="n">
        <f aca="false">IF(COUNT(B617:B676)&lt;60,"",(B676-AVERAGE(B617:B676))/STDEV(B617:B676))</f>
        <v>0.721668343440802</v>
      </c>
      <c r="N676" s="10" t="n">
        <f aca="false">(H676-AVERAGE(H617:H676))/STDEV(H617:H676)</f>
        <v>0.72682284753587</v>
      </c>
      <c r="O676" s="10" t="n">
        <f aca="false">IF(COUNT(B676)=0,"",B676-('Signal Analysis'!$C$6+'Signal Analysis'!$C$5*H676))</f>
        <v>0.491256186177147</v>
      </c>
    </row>
    <row r="677" customFormat="false" ht="15" hidden="false" customHeight="false" outlineLevel="0" collapsed="false">
      <c r="A677" s="8" t="n">
        <v>43306</v>
      </c>
      <c r="B677" s="9" t="n">
        <v>20.2142693376</v>
      </c>
      <c r="C677" s="9" t="n">
        <v>166.940002</v>
      </c>
      <c r="D677" s="9" t="n">
        <v>167.5</v>
      </c>
      <c r="E677" s="9" t="n">
        <v>166.139999</v>
      </c>
      <c r="F677" s="9" t="n">
        <v>167.5</v>
      </c>
      <c r="G677" s="9" t="n">
        <v>162.487442</v>
      </c>
      <c r="H677" s="9" t="n">
        <v>162.487442</v>
      </c>
      <c r="I677" s="2" t="str">
        <f aca="false">IF(COUNT(C677:F677)&lt;4,"",IF(OR(D677&lt;MAX(C677,F677)-0.000001,E677&gt;MIN(C677,F677)+0.000001),"FAIL","OK"))</f>
        <v>OK</v>
      </c>
      <c r="J677" s="10" t="n">
        <f aca="false">IF(COUNT(F677,G677)&lt;2,"",G677/F677)</f>
        <v>0.970074280597015</v>
      </c>
      <c r="K677" s="10" t="n">
        <f aca="false">H677/H676-1</f>
        <v>0.00365485225840123</v>
      </c>
      <c r="L677" s="10" t="n">
        <f aca="false">H682/H677-1</f>
        <v>-0.0103880458651073</v>
      </c>
      <c r="M677" s="10" t="n">
        <f aca="false">IF(COUNT(B618:B677)&lt;60,"",(B677-AVERAGE(B618:B677))/STDEV(B618:B677))</f>
        <v>-0.0664437058822004</v>
      </c>
      <c r="N677" s="10" t="n">
        <f aca="false">(H677-AVERAGE(H618:H677))/STDEV(H618:H677)</f>
        <v>0.845741863468308</v>
      </c>
      <c r="O677" s="10" t="n">
        <f aca="false">IF(COUNT(B677)=0,"",B677-('Signal Analysis'!$C$6+'Signal Analysis'!$C$5*H677))</f>
        <v>-0.215032383669108</v>
      </c>
    </row>
    <row r="678" customFormat="false" ht="15" hidden="false" customHeight="false" outlineLevel="0" collapsed="false">
      <c r="A678" s="8" t="n">
        <v>43307</v>
      </c>
      <c r="B678" s="9" t="n">
        <v>20.725128744</v>
      </c>
      <c r="C678" s="9" t="n">
        <v>167.660004</v>
      </c>
      <c r="D678" s="9" t="n">
        <v>169.369995</v>
      </c>
      <c r="E678" s="9" t="n">
        <v>167.509995</v>
      </c>
      <c r="F678" s="9" t="n">
        <v>168.399994</v>
      </c>
      <c r="G678" s="9" t="n">
        <v>163.360535</v>
      </c>
      <c r="H678" s="9" t="n">
        <v>163.360535</v>
      </c>
      <c r="I678" s="2" t="str">
        <f aca="false">IF(COUNT(C678:F678)&lt;4,"",IF(OR(D678&lt;MAX(C678,F678)-0.000001,E678&gt;MIN(C678,F678)+0.000001),"FAIL","OK"))</f>
        <v>OK</v>
      </c>
      <c r="J678" s="10" t="n">
        <f aca="false">IF(COUNT(F678,G678)&lt;2,"",G678/F678)</f>
        <v>0.970074470430207</v>
      </c>
      <c r="K678" s="10" t="n">
        <f aca="false">H678/H677-1</f>
        <v>0.0053732952482568</v>
      </c>
      <c r="L678" s="10" t="n">
        <f aca="false">H683/H678-1</f>
        <v>-0.00849178781154214</v>
      </c>
      <c r="M678" s="10" t="n">
        <f aca="false">IF(COUNT(B619:B678)&lt;60,"",(B678-AVERAGE(B619:B678))/STDEV(B619:B678))</f>
        <v>0.55373395341748</v>
      </c>
      <c r="N678" s="10" t="n">
        <f aca="false">(H678-AVERAGE(H619:H678))/STDEV(H619:H678)</f>
        <v>1.04066080892974</v>
      </c>
      <c r="O678" s="10" t="n">
        <f aca="false">IF(COUNT(B678)=0,"",B678-('Signal Analysis'!$C$6+'Signal Analysis'!$C$5*H678))</f>
        <v>0.176394511632317</v>
      </c>
    </row>
    <row r="679" customFormat="false" ht="15" hidden="false" customHeight="false" outlineLevel="0" collapsed="false">
      <c r="A679" s="8" t="n">
        <v>43308</v>
      </c>
      <c r="B679" s="9" t="n">
        <v>20.6461965552</v>
      </c>
      <c r="C679" s="9" t="n">
        <v>168.5</v>
      </c>
      <c r="D679" s="9" t="n">
        <v>168.720001</v>
      </c>
      <c r="E679" s="9" t="n">
        <v>164.789993</v>
      </c>
      <c r="F679" s="9" t="n">
        <v>165.259995</v>
      </c>
      <c r="G679" s="9" t="n">
        <v>160.314484</v>
      </c>
      <c r="H679" s="9" t="n">
        <v>160.314484</v>
      </c>
      <c r="I679" s="2" t="str">
        <f aca="false">IF(COUNT(C679:F679)&lt;4,"",IF(OR(D679&lt;MAX(C679,F679)-0.000001,E679&gt;MIN(C679,F679)+0.000001),"FAIL","OK"))</f>
        <v>OK</v>
      </c>
      <c r="J679" s="10" t="n">
        <f aca="false">IF(COUNT(F679,G679)&lt;2,"",G679/F679)</f>
        <v>0.970074360706594</v>
      </c>
      <c r="K679" s="10" t="n">
        <f aca="false">H679/H678-1</f>
        <v>-0.018646186485616</v>
      </c>
      <c r="L679" s="10" t="n">
        <f aca="false">H684/H679-1</f>
        <v>0.00683766040752754</v>
      </c>
      <c r="M679" s="10" t="n">
        <f aca="false">IF(COUNT(B620:B679)&lt;60,"",(B679-AVERAGE(B620:B679))/STDEV(B620:B679))</f>
        <v>0.431618178540479</v>
      </c>
      <c r="N679" s="10" t="n">
        <f aca="false">(H679-AVERAGE(H620:H679))/STDEV(H620:H679)</f>
        <v>0.247828770843854</v>
      </c>
      <c r="O679" s="10" t="n">
        <f aca="false">IF(COUNT(B679)=0,"",B679-('Signal Analysis'!$C$6+'Signal Analysis'!$C$5*H679))</f>
        <v>0.514139034092533</v>
      </c>
    </row>
    <row r="680" customFormat="false" ht="15" hidden="false" customHeight="false" outlineLevel="0" collapsed="false">
      <c r="A680" s="8" t="n">
        <v>43311</v>
      </c>
      <c r="B680" s="9" t="n">
        <v>21.0860323632</v>
      </c>
      <c r="C680" s="9" t="n">
        <v>165.25</v>
      </c>
      <c r="D680" s="9" t="n">
        <v>166.020004</v>
      </c>
      <c r="E680" s="9" t="n">
        <v>164.070007</v>
      </c>
      <c r="F680" s="9" t="n">
        <v>164.199997</v>
      </c>
      <c r="G680" s="9" t="n">
        <v>159.286209</v>
      </c>
      <c r="H680" s="9" t="n">
        <v>159.286209</v>
      </c>
      <c r="I680" s="2" t="str">
        <f aca="false">IF(COUNT(C680:F680)&lt;4,"",IF(OR(D680&lt;MAX(C680,F680)-0.000001,E680&gt;MIN(C680,F680)+0.000001),"FAIL","OK"))</f>
        <v>OK</v>
      </c>
      <c r="J680" s="10" t="n">
        <f aca="false">IF(COUNT(F680,G680)&lt;2,"",G680/F680)</f>
        <v>0.970074372169447</v>
      </c>
      <c r="K680" s="10" t="n">
        <f aca="false">H680/H679-1</f>
        <v>-0.00641411165319272</v>
      </c>
      <c r="L680" s="10" t="n">
        <f aca="false">H685/H680-1</f>
        <v>0.0190013750656843</v>
      </c>
      <c r="M680" s="10" t="n">
        <f aca="false">IF(COUNT(B621:B680)&lt;60,"",(B680-AVERAGE(B621:B680))/STDEV(B621:B680))</f>
        <v>0.969254208888635</v>
      </c>
      <c r="N680" s="10" t="n">
        <f aca="false">(H680-AVERAGE(H621:H680))/STDEV(H621:H680)</f>
        <v>-0.0747299918688252</v>
      </c>
      <c r="O680" s="10" t="n">
        <f aca="false">IF(COUNT(B680)=0,"",B680-('Signal Analysis'!$C$6+'Signal Analysis'!$C$5*H680))</f>
        <v>1.09463507571012</v>
      </c>
    </row>
    <row r="681" customFormat="false" ht="15" hidden="false" customHeight="false" outlineLevel="0" collapsed="false">
      <c r="A681" s="8" t="n">
        <v>43312</v>
      </c>
      <c r="B681" s="9" t="n">
        <v>19.7017095108</v>
      </c>
      <c r="C681" s="9" t="n">
        <v>164.529999</v>
      </c>
      <c r="D681" s="9" t="n">
        <v>166.619995</v>
      </c>
      <c r="E681" s="9" t="n">
        <v>164.389999</v>
      </c>
      <c r="F681" s="9" t="n">
        <v>165.869995</v>
      </c>
      <c r="G681" s="9" t="n">
        <v>160.906235</v>
      </c>
      <c r="H681" s="9" t="n">
        <v>160.906235</v>
      </c>
      <c r="I681" s="2" t="str">
        <f aca="false">IF(COUNT(C681:F681)&lt;4,"",IF(OR(D681&lt;MAX(C681,F681)-0.000001,E681&gt;MIN(C681,F681)+0.000001),"FAIL","OK"))</f>
        <v>OK</v>
      </c>
      <c r="J681" s="10" t="n">
        <f aca="false">IF(COUNT(F681,G681)&lt;2,"",G681/F681)</f>
        <v>0.970074394708941</v>
      </c>
      <c r="K681" s="10" t="n">
        <f aca="false">H681/H680-1</f>
        <v>0.0101705352281942</v>
      </c>
      <c r="L681" s="10" t="n">
        <f aca="false">H686/H681-1</f>
        <v>0.0111532781809232</v>
      </c>
      <c r="M681" s="10" t="n">
        <f aca="false">IF(COUNT(B622:B681)&lt;60,"",(B681-AVERAGE(B622:B681))/STDEV(B622:B681))</f>
        <v>-0.89086075734559</v>
      </c>
      <c r="N681" s="10" t="n">
        <f aca="false">(H681-AVERAGE(H622:H681))/STDEV(H622:H681)</f>
        <v>0.355504801649994</v>
      </c>
      <c r="O681" s="10" t="n">
        <f aca="false">IF(COUNT(B681)=0,"",B681-('Signal Analysis'!$C$6+'Signal Analysis'!$C$5*H681))</f>
        <v>-0.511295066205399</v>
      </c>
    </row>
    <row r="682" customFormat="false" ht="15" hidden="false" customHeight="false" outlineLevel="0" collapsed="false">
      <c r="A682" s="8" t="n">
        <v>43313</v>
      </c>
      <c r="B682" s="9" t="n">
        <v>20.9256714396</v>
      </c>
      <c r="C682" s="9" t="n">
        <v>165.699997</v>
      </c>
      <c r="D682" s="9" t="n">
        <v>166.240005</v>
      </c>
      <c r="E682" s="9" t="n">
        <v>164.5</v>
      </c>
      <c r="F682" s="9" t="n">
        <v>165.759995</v>
      </c>
      <c r="G682" s="9" t="n">
        <v>160.799515</v>
      </c>
      <c r="H682" s="9" t="n">
        <v>160.799515</v>
      </c>
      <c r="I682" s="2" t="str">
        <f aca="false">IF(COUNT(C682:F682)&lt;4,"",IF(OR(D682&lt;MAX(C682,F682)-0.000001,E682&gt;MIN(C682,F682)+0.000001),"FAIL","OK"))</f>
        <v>OK</v>
      </c>
      <c r="J682" s="10" t="n">
        <f aca="false">IF(COUNT(F682,G682)&lt;2,"",G682/F682)</f>
        <v>0.970074323421644</v>
      </c>
      <c r="K682" s="10" t="n">
        <f aca="false">H682/H681-1</f>
        <v>-0.00066324341005175</v>
      </c>
      <c r="L682" s="10" t="n">
        <f aca="false">H687/H682-1</f>
        <v>0.0109194607956373</v>
      </c>
      <c r="M682" s="10" t="n">
        <f aca="false">IF(COUNT(B623:B682)&lt;60,"",(B682-AVERAGE(B623:B682))/STDEV(B623:B682))</f>
        <v>0.743849501422239</v>
      </c>
      <c r="N682" s="10" t="n">
        <f aca="false">(H682-AVERAGE(H623:H682))/STDEV(H623:H682)</f>
        <v>0.292838687108974</v>
      </c>
      <c r="O682" s="10" t="n">
        <f aca="false">IF(COUNT(B682)=0,"",B682-('Signal Analysis'!$C$6+'Signal Analysis'!$C$5*H682))</f>
        <v>0.727265350481272</v>
      </c>
    </row>
    <row r="683" customFormat="false" ht="15" hidden="false" customHeight="false" outlineLevel="0" collapsed="false">
      <c r="A683" s="8" t="n">
        <v>43314</v>
      </c>
      <c r="B683" s="9" t="n">
        <v>21.2571655248</v>
      </c>
      <c r="C683" s="9" t="n">
        <v>164.960007</v>
      </c>
      <c r="D683" s="9" t="n">
        <v>167.210007</v>
      </c>
      <c r="E683" s="9" t="n">
        <v>164.940002</v>
      </c>
      <c r="F683" s="9" t="n">
        <v>166.970001</v>
      </c>
      <c r="G683" s="9" t="n">
        <v>161.973312</v>
      </c>
      <c r="H683" s="9" t="n">
        <v>161.973312</v>
      </c>
      <c r="I683" s="2" t="str">
        <f aca="false">IF(COUNT(C683:F683)&lt;4,"",IF(OR(D683&lt;MAX(C683,F683)-0.000001,E683&gt;MIN(C683,F683)+0.000001),"FAIL","OK"))</f>
        <v>OK</v>
      </c>
      <c r="J683" s="10" t="n">
        <f aca="false">IF(COUNT(F683,G683)&lt;2,"",G683/F683)</f>
        <v>0.970074330897321</v>
      </c>
      <c r="K683" s="10" t="n">
        <f aca="false">H683/H682-1</f>
        <v>0.00729975460435917</v>
      </c>
      <c r="L683" s="10" t="n">
        <f aca="false">H688/H683-1</f>
        <v>0.00616896072360373</v>
      </c>
      <c r="M683" s="10" t="n">
        <f aca="false">IF(COUNT(B624:B683)&lt;60,"",(B683-AVERAGE(B624:B683))/STDEV(B624:B683))</f>
        <v>1.16455011336063</v>
      </c>
      <c r="N683" s="10" t="n">
        <f aca="false">(H683-AVERAGE(H624:H683))/STDEV(H624:H683)</f>
        <v>0.642360913863818</v>
      </c>
      <c r="O683" s="10" t="n">
        <f aca="false">IF(COUNT(B683)=0,"",B683-('Signal Analysis'!$C$6+'Signal Analysis'!$C$5*H683))</f>
        <v>0.89819289439648</v>
      </c>
    </row>
    <row r="684" customFormat="false" ht="15" hidden="false" customHeight="false" outlineLevel="0" collapsed="false">
      <c r="A684" s="8" t="n">
        <v>43315</v>
      </c>
      <c r="B684" s="9" t="n">
        <v>21.1328160576</v>
      </c>
      <c r="C684" s="9" t="n">
        <v>167.149994</v>
      </c>
      <c r="D684" s="9" t="n">
        <v>167.679993</v>
      </c>
      <c r="E684" s="9" t="n">
        <v>165.610001</v>
      </c>
      <c r="F684" s="9" t="n">
        <v>166.389999</v>
      </c>
      <c r="G684" s="9" t="n">
        <v>161.41066</v>
      </c>
      <c r="H684" s="9" t="n">
        <v>161.41066</v>
      </c>
      <c r="I684" s="2" t="str">
        <f aca="false">IF(COUNT(C684:F684)&lt;4,"",IF(OR(D684&lt;MAX(C684,F684)-0.000001,E684&gt;MIN(C684,F684)+0.000001),"FAIL","OK"))</f>
        <v>OK</v>
      </c>
      <c r="J684" s="10" t="n">
        <f aca="false">IF(COUNT(F684,G684)&lt;2,"",G684/F684)</f>
        <v>0.970074289140419</v>
      </c>
      <c r="K684" s="10" t="n">
        <f aca="false">H684/H683-1</f>
        <v>-0.00347373275913498</v>
      </c>
      <c r="L684" s="10" t="n">
        <f aca="false">H689/H684-1</f>
        <v>0.00685144339289612</v>
      </c>
      <c r="M684" s="10" t="n">
        <f aca="false">IF(COUNT(B625:B684)&lt;60,"",(B684-AVERAGE(B625:B684))/STDEV(B625:B684))</f>
        <v>0.969329978752984</v>
      </c>
      <c r="N684" s="10" t="n">
        <f aca="false">(H684-AVERAGE(H625:H684))/STDEV(H625:H684)</f>
        <v>0.429766917715286</v>
      </c>
      <c r="O684" s="10" t="n">
        <f aca="false">IF(COUNT(B684)=0,"",B684-('Signal Analysis'!$C$6+'Signal Analysis'!$C$5*H684))</f>
        <v>0.850809960240071</v>
      </c>
    </row>
    <row r="685" customFormat="false" ht="15" hidden="false" customHeight="false" outlineLevel="0" collapsed="false">
      <c r="A685" s="8" t="n">
        <v>43318</v>
      </c>
      <c r="B685" s="9" t="n">
        <v>19.9715819256</v>
      </c>
      <c r="C685" s="9" t="n">
        <v>166.270004</v>
      </c>
      <c r="D685" s="9" t="n">
        <v>167.509995</v>
      </c>
      <c r="E685" s="9" t="n">
        <v>165.899994</v>
      </c>
      <c r="F685" s="9" t="n">
        <v>167.320007</v>
      </c>
      <c r="G685" s="9" t="n">
        <v>162.312866</v>
      </c>
      <c r="H685" s="9" t="n">
        <v>162.312866</v>
      </c>
      <c r="I685" s="2" t="str">
        <f aca="false">IF(COUNT(C685:F685)&lt;4,"",IF(OR(D685&lt;MAX(C685,F685)-0.000001,E685&gt;MIN(C685,F685)+0.000001),"FAIL","OK"))</f>
        <v>OK</v>
      </c>
      <c r="J685" s="10" t="n">
        <f aca="false">IF(COUNT(F685,G685)&lt;2,"",G685/F685)</f>
        <v>0.970074463360499</v>
      </c>
      <c r="K685" s="10" t="n">
        <f aca="false">H685/H684-1</f>
        <v>0.00558950691360782</v>
      </c>
      <c r="L685" s="10" t="n">
        <f aca="false">H690/H685-1</f>
        <v>-0.00460218600292595</v>
      </c>
      <c r="M685" s="10" t="n">
        <f aca="false">IF(COUNT(B626:B685)&lt;60,"",(B685-AVERAGE(B626:B685))/STDEV(B626:B685))</f>
        <v>-0.619966674505432</v>
      </c>
      <c r="N685" s="10" t="n">
        <f aca="false">(H685-AVERAGE(H626:H685))/STDEV(H626:H685)</f>
        <v>0.717703486623297</v>
      </c>
      <c r="O685" s="10" t="n">
        <f aca="false">IF(COUNT(B685)=0,"",B685-('Signal Analysis'!$C$6+'Signal Analysis'!$C$5*H685))</f>
        <v>-0.43383912080682</v>
      </c>
    </row>
    <row r="686" customFormat="false" ht="15" hidden="false" customHeight="false" outlineLevel="0" collapsed="false">
      <c r="A686" s="8" t="n">
        <v>43319</v>
      </c>
      <c r="B686" s="9" t="n">
        <v>21.0744494352</v>
      </c>
      <c r="C686" s="9" t="n">
        <v>167.889999</v>
      </c>
      <c r="D686" s="9" t="n">
        <v>168.490005</v>
      </c>
      <c r="E686" s="9" t="n">
        <v>167.600006</v>
      </c>
      <c r="F686" s="9" t="n">
        <v>167.720001</v>
      </c>
      <c r="G686" s="9" t="n">
        <v>162.700867</v>
      </c>
      <c r="H686" s="9" t="n">
        <v>162.700867</v>
      </c>
      <c r="I686" s="2" t="str">
        <f aca="false">IF(COUNT(C686:F686)&lt;4,"",IF(OR(D686&lt;MAX(C686,F686)-0.000001,E686&gt;MIN(C686,F686)+0.000001),"FAIL","OK"))</f>
        <v>OK</v>
      </c>
      <c r="J686" s="10" t="n">
        <f aca="false">IF(COUNT(F686,G686)&lt;2,"",G686/F686)</f>
        <v>0.970074326436476</v>
      </c>
      <c r="K686" s="10" t="n">
        <f aca="false">H686/H685-1</f>
        <v>0.00239045129053395</v>
      </c>
      <c r="L686" s="10" t="n">
        <f aca="false">H691/H686-1</f>
        <v>0.0028620130217254</v>
      </c>
      <c r="M686" s="10" t="n">
        <f aca="false">IF(COUNT(B627:B686)&lt;60,"",(B686-AVERAGE(B627:B686))/STDEV(B627:B686))</f>
        <v>0.86005851258461</v>
      </c>
      <c r="N686" s="10" t="n">
        <f aca="false">(H686-AVERAGE(H627:H686))/STDEV(H627:H686)</f>
        <v>0.833719241687019</v>
      </c>
      <c r="O686" s="10" t="n">
        <f aca="false">IF(COUNT(B686)=0,"",B686-('Signal Analysis'!$C$6+'Signal Analysis'!$C$5*H686))</f>
        <v>0.615952790043959</v>
      </c>
    </row>
    <row r="687" customFormat="false" ht="15" hidden="false" customHeight="false" outlineLevel="0" collapsed="false">
      <c r="A687" s="8" t="n">
        <v>43320</v>
      </c>
      <c r="B687" s="9" t="n">
        <v>20.489309946</v>
      </c>
      <c r="C687" s="9" t="n">
        <v>167.720001</v>
      </c>
      <c r="D687" s="9" t="n">
        <v>167.990005</v>
      </c>
      <c r="E687" s="9" t="n">
        <v>166.490005</v>
      </c>
      <c r="F687" s="9" t="n">
        <v>167.570007</v>
      </c>
      <c r="G687" s="9" t="n">
        <v>162.555359</v>
      </c>
      <c r="H687" s="9" t="n">
        <v>162.555359</v>
      </c>
      <c r="I687" s="2" t="str">
        <f aca="false">IF(COUNT(C687:F687)&lt;4,"",IF(OR(D687&lt;MAX(C687,F687)-0.000001,E687&gt;MIN(C687,F687)+0.000001),"FAIL","OK"))</f>
        <v>OK</v>
      </c>
      <c r="J687" s="10" t="n">
        <f aca="false">IF(COUNT(F687,G687)&lt;2,"",G687/F687)</f>
        <v>0.970074310494002</v>
      </c>
      <c r="K687" s="10" t="n">
        <f aca="false">H687/H686-1</f>
        <v>-0.00089432836273684</v>
      </c>
      <c r="L687" s="10" t="n">
        <f aca="false">H692/H687-1</f>
        <v>-0.00883216037190149</v>
      </c>
      <c r="M687" s="10" t="n">
        <f aca="false">IF(COUNT(B628:B687)&lt;60,"",(B687-AVERAGE(B628:B687))/STDEV(B628:B687))</f>
        <v>0.0303088922784884</v>
      </c>
      <c r="N687" s="10" t="n">
        <f aca="false">(H687-AVERAGE(H628:H687))/STDEV(H628:H687)</f>
        <v>0.762389729920699</v>
      </c>
      <c r="O687" s="10" t="n">
        <f aca="false">IF(COUNT(B687)=0,"",B687-('Signal Analysis'!$C$6+'Signal Analysis'!$C$5*H687))</f>
        <v>0.0507176934171767</v>
      </c>
    </row>
    <row r="688" customFormat="false" ht="15" hidden="false" customHeight="false" outlineLevel="0" collapsed="false">
      <c r="A688" s="8" t="n">
        <v>43321</v>
      </c>
      <c r="B688" s="9" t="n">
        <v>21.557183472</v>
      </c>
      <c r="C688" s="9" t="n">
        <v>167.649994</v>
      </c>
      <c r="D688" s="9" t="n">
        <v>168.710007</v>
      </c>
      <c r="E688" s="9" t="n">
        <v>167.550003</v>
      </c>
      <c r="F688" s="9" t="n">
        <v>168</v>
      </c>
      <c r="G688" s="9" t="n">
        <v>162.972519</v>
      </c>
      <c r="H688" s="9" t="n">
        <v>162.972519</v>
      </c>
      <c r="I688" s="2" t="str">
        <f aca="false">IF(COUNT(C688:F688)&lt;4,"",IF(OR(D688&lt;MAX(C688,F688)-0.000001,E688&gt;MIN(C688,F688)+0.000001),"FAIL","OK"))</f>
        <v>OK</v>
      </c>
      <c r="J688" s="10" t="n">
        <f aca="false">IF(COUNT(F688,G688)&lt;2,"",G688/F688)</f>
        <v>0.970074517857143</v>
      </c>
      <c r="K688" s="10" t="n">
        <f aca="false">H688/H687-1</f>
        <v>0.0025662642103359</v>
      </c>
      <c r="L688" s="10" t="n">
        <f aca="false">H693/H688-1</f>
        <v>-0.00220250630107766</v>
      </c>
      <c r="M688" s="10" t="n">
        <f aca="false">IF(COUNT(B629:B688)&lt;60,"",(B688-AVERAGE(B629:B688))/STDEV(B629:B688))</f>
        <v>1.50062811954496</v>
      </c>
      <c r="N688" s="10" t="n">
        <f aca="false">(H688-AVERAGE(H629:H688))/STDEV(H629:H688)</f>
        <v>0.912280484075608</v>
      </c>
      <c r="O688" s="10" t="n">
        <f aca="false">IF(COUNT(B688)=0,"",B688-('Signal Analysis'!$C$6+'Signal Analysis'!$C$5*H688))</f>
        <v>1.06152689026796</v>
      </c>
    </row>
    <row r="689" customFormat="false" ht="15" hidden="false" customHeight="false" outlineLevel="0" collapsed="false">
      <c r="A689" s="8" t="n">
        <v>43322</v>
      </c>
      <c r="B689" s="9" t="n">
        <v>20.83128642</v>
      </c>
      <c r="C689" s="9" t="n">
        <v>167.050003</v>
      </c>
      <c r="D689" s="9" t="n">
        <v>168.669998</v>
      </c>
      <c r="E689" s="9" t="n">
        <v>166.960007</v>
      </c>
      <c r="F689" s="9" t="n">
        <v>167.529999</v>
      </c>
      <c r="G689" s="9" t="n">
        <v>162.516556</v>
      </c>
      <c r="H689" s="9" t="n">
        <v>162.516556</v>
      </c>
      <c r="I689" s="2" t="str">
        <f aca="false">IF(COUNT(C689:F689)&lt;4,"",IF(OR(D689&lt;MAX(C689,F689)-0.000001,E689&gt;MIN(C689,F689)+0.000001),"FAIL","OK"))</f>
        <v>OK</v>
      </c>
      <c r="J689" s="10" t="n">
        <f aca="false">IF(COUNT(F689,G689)&lt;2,"",G689/F689)</f>
        <v>0.970074356652984</v>
      </c>
      <c r="K689" s="10" t="n">
        <f aca="false">H689/H688-1</f>
        <v>-0.00279779071218744</v>
      </c>
      <c r="L689" s="10" t="n">
        <f aca="false">H694/H689-1</f>
        <v>0.00489451671619223</v>
      </c>
      <c r="M689" s="10" t="n">
        <f aca="false">IF(COUNT(B630:B689)&lt;60,"",(B689-AVERAGE(B630:B689))/STDEV(B630:B689))</f>
        <v>0.455229928663149</v>
      </c>
      <c r="N689" s="10" t="n">
        <f aca="false">(H689-AVERAGE(H630:H689))/STDEV(H630:H689)</f>
        <v>0.704125671519945</v>
      </c>
      <c r="O689" s="10" t="n">
        <f aca="false">IF(COUNT(B689)=0,"",B689-('Signal Analysis'!$C$6+'Signal Analysis'!$C$5*H689))</f>
        <v>0.398002123990143</v>
      </c>
    </row>
    <row r="690" customFormat="false" ht="15" hidden="false" customHeight="false" outlineLevel="0" collapsed="false">
      <c r="A690" s="8" t="n">
        <v>43325</v>
      </c>
      <c r="B690" s="9" t="n">
        <v>20.871887652</v>
      </c>
      <c r="C690" s="9" t="n">
        <v>167.740005</v>
      </c>
      <c r="D690" s="9" t="n">
        <v>168.050003</v>
      </c>
      <c r="E690" s="9" t="n">
        <v>165.880005</v>
      </c>
      <c r="F690" s="9" t="n">
        <v>166.550003</v>
      </c>
      <c r="G690" s="9" t="n">
        <v>161.565872</v>
      </c>
      <c r="H690" s="9" t="n">
        <v>161.565872</v>
      </c>
      <c r="I690" s="2" t="str">
        <f aca="false">IF(COUNT(C690:F690)&lt;4,"",IF(OR(D690&lt;MAX(C690,F690)-0.000001,E690&gt;MIN(C690,F690)+0.000001),"FAIL","OK"))</f>
        <v>OK</v>
      </c>
      <c r="J690" s="10" t="n">
        <f aca="false">IF(COUNT(F690,G690)&lt;2,"",G690/F690)</f>
        <v>0.970074266525231</v>
      </c>
      <c r="K690" s="10" t="n">
        <f aca="false">H690/H689-1</f>
        <v>-0.00584976708465324</v>
      </c>
      <c r="L690" s="10" t="n">
        <f aca="false">H695/H690-1</f>
        <v>0.0136297534419891</v>
      </c>
      <c r="M690" s="10" t="n">
        <f aca="false">IF(COUNT(B631:B690)&lt;60,"",(B690-AVERAGE(B631:B690))/STDEV(B631:B690))</f>
        <v>0.502214177724479</v>
      </c>
      <c r="N690" s="10" t="n">
        <f aca="false">(H690-AVERAGE(H631:H690))/STDEV(H631:H690)</f>
        <v>0.274748218903992</v>
      </c>
      <c r="O690" s="10" t="n">
        <f aca="false">IF(COUNT(B690)=0,"",B690-('Signal Analysis'!$C$6+'Signal Analysis'!$C$5*H690))</f>
        <v>0.568649728348223</v>
      </c>
    </row>
    <row r="691" customFormat="false" ht="15" hidden="false" customHeight="false" outlineLevel="0" collapsed="false">
      <c r="A691" s="8" t="n">
        <v>43326</v>
      </c>
      <c r="B691" s="9" t="n">
        <v>21.1224900864</v>
      </c>
      <c r="C691" s="9" t="n">
        <v>166.910004</v>
      </c>
      <c r="D691" s="9" t="n">
        <v>168.600006</v>
      </c>
      <c r="E691" s="9" t="n">
        <v>166.889999</v>
      </c>
      <c r="F691" s="9" t="n">
        <v>168.199997</v>
      </c>
      <c r="G691" s="9" t="n">
        <v>163.166519</v>
      </c>
      <c r="H691" s="9" t="n">
        <v>163.166519</v>
      </c>
      <c r="I691" s="2" t="str">
        <f aca="false">IF(COUNT(C691:F691)&lt;4,"",IF(OR(D691&lt;MAX(C691,F691)-0.000001,E691&gt;MIN(C691,F691)+0.000001),"FAIL","OK"))</f>
        <v>OK</v>
      </c>
      <c r="J691" s="10" t="n">
        <f aca="false">IF(COUNT(F691,G691)&lt;2,"",G691/F691)</f>
        <v>0.970074446553052</v>
      </c>
      <c r="K691" s="10" t="n">
        <f aca="false">H691/H690-1</f>
        <v>0.0099070860707513</v>
      </c>
      <c r="L691" s="10" t="n">
        <f aca="false">H696/H691-1</f>
        <v>0.0152199300151767</v>
      </c>
      <c r="M691" s="10" t="n">
        <f aca="false">IF(COUNT(B632:B691)&lt;60,"",(B691-AVERAGE(B632:B691))/STDEV(B632:B691))</f>
        <v>0.832321452709654</v>
      </c>
      <c r="N691" s="10" t="n">
        <f aca="false">(H691-AVERAGE(H632:H691))/STDEV(H632:H691)</f>
        <v>0.947924903435725</v>
      </c>
      <c r="O691" s="10" t="n">
        <f aca="false">IF(COUNT(B691)=0,"",B691-('Signal Analysis'!$C$6+'Signal Analysis'!$C$5*H691))</f>
        <v>0.60029577368956</v>
      </c>
    </row>
    <row r="692" customFormat="false" ht="15" hidden="false" customHeight="false" outlineLevel="0" collapsed="false">
      <c r="A692" s="8" t="n">
        <v>43327</v>
      </c>
      <c r="B692" s="9" t="n">
        <v>20.4623386872</v>
      </c>
      <c r="C692" s="9" t="n">
        <v>167.699997</v>
      </c>
      <c r="D692" s="9" t="n">
        <v>167.820007</v>
      </c>
      <c r="E692" s="9" t="n">
        <v>165.149994</v>
      </c>
      <c r="F692" s="9" t="n">
        <v>166.089996</v>
      </c>
      <c r="G692" s="9" t="n">
        <v>161.119644</v>
      </c>
      <c r="H692" s="9" t="n">
        <v>161.119644</v>
      </c>
      <c r="I692" s="2" t="str">
        <f aca="false">IF(COUNT(C692:F692)&lt;4,"",IF(OR(D692&lt;MAX(C692,F692)-0.000001,E692&gt;MIN(C692,F692)+0.000001),"FAIL","OK"))</f>
        <v>OK</v>
      </c>
      <c r="J692" s="10" t="n">
        <f aca="false">IF(COUNT(F692,G692)&lt;2,"",G692/F692)</f>
        <v>0.970074344513802</v>
      </c>
      <c r="K692" s="10" t="n">
        <f aca="false">H692/H691-1</f>
        <v>-0.0125446998106272</v>
      </c>
      <c r="L692" s="10" t="n">
        <f aca="false">H697/H692-1</f>
        <v>0.0306459713875733</v>
      </c>
      <c r="M692" s="10" t="n">
        <f aca="false">IF(COUNT(B633:B692)&lt;60,"",(B692-AVERAGE(B633:B692))/STDEV(B633:B692))</f>
        <v>-0.165298951923203</v>
      </c>
      <c r="N692" s="10" t="n">
        <f aca="false">(H692-AVERAGE(H633:H692))/STDEV(H633:H692)</f>
        <v>0.00552775224381751</v>
      </c>
      <c r="O692" s="10" t="n">
        <f aca="false">IF(COUNT(B692)=0,"",B692-('Signal Analysis'!$C$6+'Signal Analysis'!$C$5*H692))</f>
        <v>0.220141374986515</v>
      </c>
    </row>
    <row r="693" customFormat="false" ht="15" hidden="false" customHeight="false" outlineLevel="0" collapsed="false">
      <c r="A693" s="8" t="n">
        <v>43328</v>
      </c>
      <c r="B693" s="9" t="n">
        <v>20.5738439328</v>
      </c>
      <c r="C693" s="9" t="n">
        <v>166.860001</v>
      </c>
      <c r="D693" s="9" t="n">
        <v>168.169998</v>
      </c>
      <c r="E693" s="9" t="n">
        <v>166.690002</v>
      </c>
      <c r="F693" s="9" t="n">
        <v>167.630005</v>
      </c>
      <c r="G693" s="9" t="n">
        <v>162.613571</v>
      </c>
      <c r="H693" s="9" t="n">
        <v>162.613571</v>
      </c>
      <c r="I693" s="2" t="str">
        <f aca="false">IF(COUNT(C693:F693)&lt;4,"",IF(OR(D693&lt;MAX(C693,F693)-0.000001,E693&gt;MIN(C693,F693)+0.000001),"FAIL","OK"))</f>
        <v>OK</v>
      </c>
      <c r="J693" s="10" t="n">
        <f aca="false">IF(COUNT(F693,G693)&lt;2,"",G693/F693)</f>
        <v>0.970074367056184</v>
      </c>
      <c r="K693" s="10" t="n">
        <f aca="false">H693/H692-1</f>
        <v>0.00927215926569458</v>
      </c>
      <c r="L693" s="10" t="n">
        <f aca="false">H698/H693-1</f>
        <v>0.0180755577897</v>
      </c>
      <c r="M693" s="10" t="n">
        <f aca="false">IF(COUNT(B634:B693)&lt;60,"",(B693-AVERAGE(B634:B693))/STDEV(B634:B693))</f>
        <v>-0.015769150839804</v>
      </c>
      <c r="N693" s="10" t="n">
        <f aca="false">(H693-AVERAGE(H634:H693))/STDEV(H634:H693)</f>
        <v>0.66629310537503</v>
      </c>
      <c r="O693" s="10" t="n">
        <f aca="false">IF(COUNT(B693)=0,"",B693-('Signal Analysis'!$C$6+'Signal Analysis'!$C$5*H693))</f>
        <v>0.127288719414523</v>
      </c>
    </row>
    <row r="694" customFormat="false" ht="15" hidden="false" customHeight="false" outlineLevel="0" collapsed="false">
      <c r="A694" s="8" t="n">
        <v>43329</v>
      </c>
      <c r="B694" s="9" t="n">
        <v>21.6040090896</v>
      </c>
      <c r="C694" s="9" t="n">
        <v>167.470001</v>
      </c>
      <c r="D694" s="9" t="n">
        <v>168.470001</v>
      </c>
      <c r="E694" s="9" t="n">
        <v>166.929993</v>
      </c>
      <c r="F694" s="9" t="n">
        <v>168.350006</v>
      </c>
      <c r="G694" s="9" t="n">
        <v>163.311996</v>
      </c>
      <c r="H694" s="9" t="n">
        <v>163.311996</v>
      </c>
      <c r="I694" s="2" t="str">
        <f aca="false">IF(COUNT(C694:F694)&lt;4,"",IF(OR(D694&lt;MAX(C694,F694)-0.000001,E694&gt;MIN(C694,F694)+0.000001),"FAIL","OK"))</f>
        <v>OK</v>
      </c>
      <c r="J694" s="10" t="n">
        <f aca="false">IF(COUNT(F694,G694)&lt;2,"",G694/F694)</f>
        <v>0.970074191740748</v>
      </c>
      <c r="K694" s="10" t="n">
        <f aca="false">H694/H693-1</f>
        <v>0.00429499823234303</v>
      </c>
      <c r="L694" s="10" t="n">
        <f aca="false">H699/H694-1</f>
        <v>0.0192456897042641</v>
      </c>
      <c r="M694" s="10" t="n">
        <f aca="false">IF(COUNT(B635:B694)&lt;60,"",(B694-AVERAGE(B635:B694))/STDEV(B635:B694))</f>
        <v>1.50923550087051</v>
      </c>
      <c r="N694" s="10" t="n">
        <f aca="false">(H694-AVERAGE(H635:H694))/STDEV(H635:H694)</f>
        <v>0.979176300742542</v>
      </c>
      <c r="O694" s="10" t="n">
        <f aca="false">IF(COUNT(B694)=0,"",B694-('Signal Analysis'!$C$6+'Signal Analysis'!$C$5*H694))</f>
        <v>1.0619146248816</v>
      </c>
    </row>
    <row r="695" customFormat="false" ht="15" hidden="false" customHeight="false" outlineLevel="0" collapsed="false">
      <c r="A695" s="8" t="n">
        <v>43332</v>
      </c>
      <c r="B695" s="9" t="n">
        <v>21.023450658</v>
      </c>
      <c r="C695" s="9" t="n">
        <v>168.809998</v>
      </c>
      <c r="D695" s="9" t="n">
        <v>169.179993</v>
      </c>
      <c r="E695" s="9" t="n">
        <v>167.830002</v>
      </c>
      <c r="F695" s="9" t="n">
        <v>168.820007</v>
      </c>
      <c r="G695" s="9" t="n">
        <v>163.767975</v>
      </c>
      <c r="H695" s="9" t="n">
        <v>163.767975</v>
      </c>
      <c r="I695" s="2" t="str">
        <f aca="false">IF(COUNT(C695:F695)&lt;4,"",IF(OR(D695&lt;MAX(C695,F695)-0.000001,E695&gt;MIN(C695,F695)+0.000001),"FAIL","OK"))</f>
        <v>OK</v>
      </c>
      <c r="J695" s="10" t="n">
        <f aca="false">IF(COUNT(F695,G695)&lt;2,"",G695/F695)</f>
        <v>0.97007444739651</v>
      </c>
      <c r="K695" s="10" t="n">
        <f aca="false">H695/H694-1</f>
        <v>0.0027920729105535</v>
      </c>
      <c r="L695" s="10" t="n">
        <f aca="false">H700/H695-1</f>
        <v>0.0178888821211838</v>
      </c>
      <c r="M695" s="10" t="n">
        <f aca="false">IF(COUNT(B636:B695)&lt;60,"",(B695-AVERAGE(B636:B695))/STDEV(B636:B695))</f>
        <v>0.600663669700989</v>
      </c>
      <c r="N695" s="10" t="n">
        <f aca="false">(H695-AVERAGE(H636:H695))/STDEV(H636:H695)</f>
        <v>1.18753983394241</v>
      </c>
      <c r="O695" s="10" t="n">
        <f aca="false">IF(COUNT(B695)=0,"",B695-('Signal Analysis'!$C$6+'Signal Analysis'!$C$5*H695))</f>
        <v>0.418981718880573</v>
      </c>
    </row>
    <row r="696" customFormat="false" ht="15" hidden="false" customHeight="false" outlineLevel="0" collapsed="false">
      <c r="A696" s="8" t="n">
        <v>43333</v>
      </c>
      <c r="B696" s="9" t="n">
        <v>20.8837591872</v>
      </c>
      <c r="C696" s="9" t="n">
        <v>169.139999</v>
      </c>
      <c r="D696" s="9" t="n">
        <v>171.360001</v>
      </c>
      <c r="E696" s="9" t="n">
        <v>169.119995</v>
      </c>
      <c r="F696" s="9" t="n">
        <v>170.759995</v>
      </c>
      <c r="G696" s="9" t="n">
        <v>165.649902</v>
      </c>
      <c r="H696" s="9" t="n">
        <v>165.649902</v>
      </c>
      <c r="I696" s="2" t="str">
        <f aca="false">IF(COUNT(C696:F696)&lt;4,"",IF(OR(D696&lt;MAX(C696,F696)-0.000001,E696&gt;MIN(C696,F696)+0.000001),"FAIL","OK"))</f>
        <v>OK</v>
      </c>
      <c r="J696" s="10" t="n">
        <f aca="false">IF(COUNT(F696,G696)&lt;2,"",G696/F696)</f>
        <v>0.970074413506513</v>
      </c>
      <c r="K696" s="10" t="n">
        <f aca="false">H696/H695-1</f>
        <v>0.0114914225446092</v>
      </c>
      <c r="L696" s="10" t="n">
        <f aca="false">H701/H696-1</f>
        <v>0.00726158594407123</v>
      </c>
      <c r="M696" s="10" t="n">
        <f aca="false">IF(COUNT(B637:B696)&lt;60,"",(B696-AVERAGE(B637:B696))/STDEV(B637:B696))</f>
        <v>0.388999851150844</v>
      </c>
      <c r="N696" s="10" t="n">
        <f aca="false">(H696-AVERAGE(H637:H696))/STDEV(H637:H696)</f>
        <v>2.11646914998107</v>
      </c>
      <c r="O696" s="10" t="n">
        <f aca="false">IF(COUNT(B696)=0,"",B696-('Signal Analysis'!$C$6+'Signal Analysis'!$C$5*H696))</f>
        <v>0.0218568849517879</v>
      </c>
    </row>
    <row r="697" customFormat="false" ht="15" hidden="false" customHeight="false" outlineLevel="0" collapsed="false">
      <c r="A697" s="8" t="n">
        <v>43334</v>
      </c>
      <c r="B697" s="9" t="n">
        <v>21.067455276</v>
      </c>
      <c r="C697" s="9" t="n">
        <v>170.589996</v>
      </c>
      <c r="D697" s="9" t="n">
        <v>171.490005</v>
      </c>
      <c r="E697" s="9" t="n">
        <v>170.419998</v>
      </c>
      <c r="F697" s="9" t="n">
        <v>171.179993</v>
      </c>
      <c r="G697" s="9" t="n">
        <v>166.057312</v>
      </c>
      <c r="H697" s="9" t="n">
        <v>166.057312</v>
      </c>
      <c r="I697" s="2" t="str">
        <f aca="false">IF(COUNT(C697:F697)&lt;4,"",IF(OR(D697&lt;MAX(C697,F697)-0.000001,E697&gt;MIN(C697,F697)+0.000001),"FAIL","OK"))</f>
        <v>OK</v>
      </c>
      <c r="J697" s="10" t="n">
        <f aca="false">IF(COUNT(F697,G697)&lt;2,"",G697/F697)</f>
        <v>0.970074300680688</v>
      </c>
      <c r="K697" s="10" t="n">
        <f aca="false">H697/H696-1</f>
        <v>0.00245946417764853</v>
      </c>
      <c r="L697" s="10" t="n">
        <f aca="false">H702/H697-1</f>
        <v>0.00771120515307389</v>
      </c>
      <c r="M697" s="10" t="n">
        <f aca="false">IF(COUNT(B638:B697)&lt;60,"",(B697-AVERAGE(B638:B697))/STDEV(B638:B697))</f>
        <v>0.671686929198228</v>
      </c>
      <c r="N697" s="10" t="n">
        <f aca="false">(H697-AVERAGE(H638:H697))/STDEV(H638:H697)</f>
        <v>2.30652435473441</v>
      </c>
      <c r="O697" s="10" t="n">
        <f aca="false">IF(COUNT(B697)=0,"",B697-('Signal Analysis'!$C$6+'Signal Analysis'!$C$5*H697))</f>
        <v>0.149822370772874</v>
      </c>
    </row>
    <row r="698" customFormat="false" ht="15" hidden="false" customHeight="false" outlineLevel="0" collapsed="false">
      <c r="A698" s="8" t="n">
        <v>43335</v>
      </c>
      <c r="B698" s="9" t="n">
        <v>20.463683124</v>
      </c>
      <c r="C698" s="9" t="n">
        <v>171.089996</v>
      </c>
      <c r="D698" s="9" t="n">
        <v>171.520004</v>
      </c>
      <c r="E698" s="9" t="n">
        <v>170.179993</v>
      </c>
      <c r="F698" s="9" t="n">
        <v>170.660004</v>
      </c>
      <c r="G698" s="9" t="n">
        <v>165.552902</v>
      </c>
      <c r="H698" s="9" t="n">
        <v>165.552902</v>
      </c>
      <c r="I698" s="2" t="str">
        <f aca="false">IF(COUNT(C698:F698)&lt;4,"",IF(OR(D698&lt;MAX(C698,F698)-0.000001,E698&gt;MIN(C698,F698)+0.000001),"FAIL","OK"))</f>
        <v>OK</v>
      </c>
      <c r="J698" s="10" t="n">
        <f aca="false">IF(COUNT(F698,G698)&lt;2,"",G698/F698)</f>
        <v>0.970074405951614</v>
      </c>
      <c r="K698" s="10" t="n">
        <f aca="false">H698/H697-1</f>
        <v>-0.00303756572911407</v>
      </c>
      <c r="L698" s="10" t="n">
        <f aca="false">H703/H698-1</f>
        <v>0.00996131133962241</v>
      </c>
      <c r="M698" s="10" t="n">
        <f aca="false">IF(COUNT(B639:B698)&lt;60,"",(B698-AVERAGE(B639:B698))/STDEV(B639:B698))</f>
        <v>-0.236474160707708</v>
      </c>
      <c r="N698" s="10" t="n">
        <f aca="false">(H698-AVERAGE(H639:H698))/STDEV(H639:H698)</f>
        <v>1.95650551615167</v>
      </c>
      <c r="O698" s="10" t="n">
        <f aca="false">IF(COUNT(B698)=0,"",B698-('Signal Analysis'!$C$6+'Signal Analysis'!$C$5*H698))</f>
        <v>-0.384950312759013</v>
      </c>
    </row>
    <row r="699" customFormat="false" ht="15" hidden="false" customHeight="false" outlineLevel="0" collapsed="false">
      <c r="A699" s="8" t="n">
        <v>43336</v>
      </c>
      <c r="B699" s="9" t="n">
        <v>21.6555516576</v>
      </c>
      <c r="C699" s="9" t="n">
        <v>171.149994</v>
      </c>
      <c r="D699" s="9" t="n">
        <v>171.779999</v>
      </c>
      <c r="E699" s="9" t="n">
        <v>171.020004</v>
      </c>
      <c r="F699" s="9" t="n">
        <v>171.589996</v>
      </c>
      <c r="G699" s="9" t="n">
        <v>166.455048</v>
      </c>
      <c r="H699" s="9" t="n">
        <v>166.455048</v>
      </c>
      <c r="I699" s="2" t="str">
        <f aca="false">IF(COUNT(C699:F699)&lt;4,"",IF(OR(D699&lt;MAX(C699,F699)-0.000001,E699&gt;MIN(C699,F699)+0.000001),"FAIL","OK"))</f>
        <v>OK</v>
      </c>
      <c r="J699" s="10" t="n">
        <f aca="false">IF(COUNT(F699,G699)&lt;2,"",G699/F699)</f>
        <v>0.970074315987512</v>
      </c>
      <c r="K699" s="10" t="n">
        <f aca="false">H699/H698-1</f>
        <v>0.00544929136911176</v>
      </c>
      <c r="L699" s="10" t="n">
        <f aca="false">H704/H699-1</f>
        <v>0.014341541627503</v>
      </c>
      <c r="M699" s="10" t="n">
        <f aca="false">IF(COUNT(B640:B699)&lt;60,"",(B699-AVERAGE(B640:B699))/STDEV(B640:B699))</f>
        <v>1.56848788948888</v>
      </c>
      <c r="N699" s="10" t="n">
        <f aca="false">(H699-AVERAGE(H640:H699))/STDEV(H640:H699)</f>
        <v>2.36280389028294</v>
      </c>
      <c r="O699" s="10" t="n">
        <f aca="false">IF(COUNT(B699)=0,"",B699-('Signal Analysis'!$C$6+'Signal Analysis'!$C$5*H699))</f>
        <v>0.68351147933976</v>
      </c>
    </row>
    <row r="700" customFormat="false" ht="15" hidden="false" customHeight="false" outlineLevel="0" collapsed="false">
      <c r="A700" s="8" t="n">
        <v>43339</v>
      </c>
      <c r="B700" s="9" t="n">
        <v>20.1978646176</v>
      </c>
      <c r="C700" s="9" t="n">
        <v>172.110001</v>
      </c>
      <c r="D700" s="9" t="n">
        <v>172.940002</v>
      </c>
      <c r="E700" s="9" t="n">
        <v>171.619995</v>
      </c>
      <c r="F700" s="9" t="n">
        <v>171.839996</v>
      </c>
      <c r="G700" s="9" t="n">
        <v>166.697601</v>
      </c>
      <c r="H700" s="9" t="n">
        <v>166.697601</v>
      </c>
      <c r="I700" s="2" t="str">
        <f aca="false">IF(COUNT(C700:F700)&lt;4,"",IF(OR(D700&lt;MAX(C700,F700)-0.000001,E700&gt;MIN(C700,F700)+0.000001),"FAIL","OK"))</f>
        <v>OK</v>
      </c>
      <c r="J700" s="10" t="n">
        <f aca="false">IF(COUNT(F700,G700)&lt;2,"",G700/F700)</f>
        <v>0.970074516295962</v>
      </c>
      <c r="K700" s="10" t="n">
        <f aca="false">H700/H699-1</f>
        <v>0.00145716818392905</v>
      </c>
      <c r="L700" s="10" t="n">
        <f aca="false">H705/H700-1</f>
        <v>0.00238578718358395</v>
      </c>
      <c r="M700" s="10" t="n">
        <f aca="false">IF(COUNT(B641:B700)&lt;60,"",(B700-AVERAGE(B641:B700))/STDEV(B641:B700))</f>
        <v>-0.625913715382329</v>
      </c>
      <c r="N700" s="10" t="n">
        <f aca="false">(H700-AVERAGE(H641:H700))/STDEV(H641:H700)</f>
        <v>2.37745946863382</v>
      </c>
      <c r="O700" s="10" t="n">
        <f aca="false">IF(COUNT(B700)=0,"",B700-('Signal Analysis'!$C$6+'Signal Analysis'!$C$5*H700))</f>
        <v>-0.807354974381905</v>
      </c>
    </row>
    <row r="701" customFormat="false" ht="15" hidden="false" customHeight="false" outlineLevel="0" collapsed="false">
      <c r="A701" s="8" t="n">
        <v>43340</v>
      </c>
      <c r="B701" s="9" t="n">
        <v>19.86285648</v>
      </c>
      <c r="C701" s="9" t="n">
        <v>172.160004</v>
      </c>
      <c r="D701" s="9" t="n">
        <v>172.479996</v>
      </c>
      <c r="E701" s="9" t="n">
        <v>171.100006</v>
      </c>
      <c r="F701" s="9" t="n">
        <v>172</v>
      </c>
      <c r="G701" s="9" t="n">
        <v>166.852783</v>
      </c>
      <c r="H701" s="9" t="n">
        <v>166.852783</v>
      </c>
      <c r="I701" s="2" t="str">
        <f aca="false">IF(COUNT(C701:F701)&lt;4,"",IF(OR(D701&lt;MAX(C701,F701)-0.000001,E701&gt;MIN(C701,F701)+0.000001),"FAIL","OK"))</f>
        <v>OK</v>
      </c>
      <c r="J701" s="10" t="n">
        <f aca="false">IF(COUNT(F701,G701)&lt;2,"",G701/F701)</f>
        <v>0.970074319767442</v>
      </c>
      <c r="K701" s="10" t="n">
        <f aca="false">H701/H700-1</f>
        <v>0.000930919215808013</v>
      </c>
      <c r="L701" s="10" t="n">
        <f aca="false">H706/H701-1</f>
        <v>-0.00122104645986032</v>
      </c>
      <c r="M701" s="10" t="n">
        <f aca="false">IF(COUNT(B642:B701)&lt;60,"",(B701-AVERAGE(B642:B701))/STDEV(B642:B701))</f>
        <v>-1.09795509660877</v>
      </c>
      <c r="N701" s="10" t="n">
        <f aca="false">(H701-AVERAGE(H642:H701))/STDEV(H642:H701)</f>
        <v>2.32689898476792</v>
      </c>
      <c r="O701" s="10" t="n">
        <f aca="false">IF(COUNT(B701)=0,"",B701-('Signal Analysis'!$C$6+'Signal Analysis'!$C$5*H701))</f>
        <v>-1.16359083450093</v>
      </c>
    </row>
    <row r="702" customFormat="false" ht="15" hidden="false" customHeight="false" outlineLevel="0" collapsed="false">
      <c r="A702" s="8" t="n">
        <v>43341</v>
      </c>
      <c r="B702" s="9" t="n">
        <v>21.4405694928</v>
      </c>
      <c r="C702" s="9" t="n">
        <v>172.020004</v>
      </c>
      <c r="D702" s="9" t="n">
        <v>172.770004</v>
      </c>
      <c r="E702" s="9" t="n">
        <v>171.460007</v>
      </c>
      <c r="F702" s="9" t="n">
        <v>172.5</v>
      </c>
      <c r="G702" s="9" t="n">
        <v>167.337814</v>
      </c>
      <c r="H702" s="9" t="n">
        <v>167.337814</v>
      </c>
      <c r="I702" s="2" t="str">
        <f aca="false">IF(COUNT(C702:F702)&lt;4,"",IF(OR(D702&lt;MAX(C702,F702)-0.000001,E702&gt;MIN(C702,F702)+0.000001),"FAIL","OK"))</f>
        <v>OK</v>
      </c>
      <c r="J702" s="10" t="n">
        <f aca="false">IF(COUNT(F702,G702)&lt;2,"",G702/F702)</f>
        <v>0.970074284057971</v>
      </c>
      <c r="K702" s="10" t="n">
        <f aca="false">H702/H701-1</f>
        <v>0.00290693982611012</v>
      </c>
      <c r="L702" s="10" t="n">
        <f aca="false">H707/H702-1</f>
        <v>-0.0108404069387449</v>
      </c>
      <c r="M702" s="10" t="n">
        <f aca="false">IF(COUNT(B643:B702)&lt;60,"",(B702-AVERAGE(B643:B702))/STDEV(B643:B702))</f>
        <v>1.25574486029331</v>
      </c>
      <c r="N702" s="10" t="n">
        <f aca="false">(H702-AVERAGE(H643:H702))/STDEV(H643:H702)</f>
        <v>2.40905232033191</v>
      </c>
      <c r="O702" s="10" t="n">
        <f aca="false">IF(COUNT(B702)=0,"",B702-('Signal Analysis'!$C$6+'Signal Analysis'!$C$5*H702))</f>
        <v>0.347773610287817</v>
      </c>
    </row>
    <row r="703" customFormat="false" ht="15" hidden="false" customHeight="false" outlineLevel="0" collapsed="false">
      <c r="A703" s="8" t="n">
        <v>43342</v>
      </c>
      <c r="B703" s="9" t="n">
        <v>20.870662932</v>
      </c>
      <c r="C703" s="9" t="n">
        <v>172.169998</v>
      </c>
      <c r="D703" s="9" t="n">
        <v>173.229996</v>
      </c>
      <c r="E703" s="9" t="n">
        <v>171.820007</v>
      </c>
      <c r="F703" s="9" t="n">
        <v>172.360001</v>
      </c>
      <c r="G703" s="9" t="n">
        <v>167.202026</v>
      </c>
      <c r="H703" s="9" t="n">
        <v>167.202026</v>
      </c>
      <c r="I703" s="2" t="str">
        <f aca="false">IF(COUNT(C703:F703)&lt;4,"",IF(OR(D703&lt;MAX(C703,F703)-0.000001,E703&gt;MIN(C703,F703)+0.000001),"FAIL","OK"))</f>
        <v>OK</v>
      </c>
      <c r="J703" s="10" t="n">
        <f aca="false">IF(COUNT(F703,G703)&lt;2,"",G703/F703)</f>
        <v>0.970074408388986</v>
      </c>
      <c r="K703" s="10" t="n">
        <f aca="false">H703/H702-1</f>
        <v>-0.000811460343326909</v>
      </c>
      <c r="L703" s="10" t="n">
        <f aca="false">H708/H703-1</f>
        <v>-0.010559279945567</v>
      </c>
      <c r="M703" s="10" t="n">
        <f aca="false">IF(COUNT(B644:B703)&lt;60,"",(B703-AVERAGE(B644:B703))/STDEV(B644:B703))</f>
        <v>0.389322307085468</v>
      </c>
      <c r="N703" s="10" t="n">
        <f aca="false">(H703-AVERAGE(H644:H703))/STDEV(H644:H703)</f>
        <v>2.20200919731612</v>
      </c>
      <c r="O703" s="10" t="n">
        <f aca="false">IF(COUNT(B703)=0,"",B703-('Signal Analysis'!$C$6+'Signal Analysis'!$C$5*H703))</f>
        <v>-0.203558180336437</v>
      </c>
    </row>
    <row r="704" customFormat="false" ht="15" hidden="false" customHeight="false" outlineLevel="0" collapsed="false">
      <c r="A704" s="8" t="n">
        <v>43343</v>
      </c>
      <c r="B704" s="9" t="n">
        <v>20.7057950112</v>
      </c>
      <c r="C704" s="9" t="n">
        <v>171.960007</v>
      </c>
      <c r="D704" s="9" t="n">
        <v>173.389999</v>
      </c>
      <c r="E704" s="9" t="n">
        <v>171.949997</v>
      </c>
      <c r="F704" s="9" t="n">
        <v>172.020004</v>
      </c>
      <c r="G704" s="9" t="n">
        <v>168.84227</v>
      </c>
      <c r="H704" s="9" t="n">
        <v>168.84227</v>
      </c>
      <c r="I704" s="2" t="str">
        <f aca="false">IF(COUNT(C704:F704)&lt;4,"",IF(OR(D704&lt;MAX(C704,F704)-0.000001,E704&gt;MIN(C704,F704)+0.000001),"FAIL","OK"))</f>
        <v>OK</v>
      </c>
      <c r="J704" s="10" t="n">
        <f aca="false">IF(COUNT(F704,G704)&lt;2,"",G704/F704)</f>
        <v>0.981526950784166</v>
      </c>
      <c r="K704" s="10" t="n">
        <f aca="false">H704/H703-1</f>
        <v>0.00980995290092968</v>
      </c>
      <c r="L704" s="10" t="n">
        <f aca="false">H709/H704-1</f>
        <v>-0.0189649665335583</v>
      </c>
      <c r="M704" s="10" t="n">
        <f aca="false">IF(COUNT(B645:B704)&lt;60,"",(B704-AVERAGE(B645:B704))/STDEV(B645:B704))</f>
        <v>0.151018536906878</v>
      </c>
      <c r="N704" s="10" t="n">
        <f aca="false">(H704-AVERAGE(H645:H704))/STDEV(H645:H704)</f>
        <v>2.73512062395161</v>
      </c>
      <c r="O704" s="10" t="n">
        <f aca="false">IF(COUNT(B704)=0,"",B704-('Signal Analysis'!$C$6+'Signal Analysis'!$C$5*H704))</f>
        <v>-0.592799059955677</v>
      </c>
    </row>
    <row r="705" customFormat="false" ht="15" hidden="false" customHeight="false" outlineLevel="0" collapsed="false">
      <c r="A705" s="8" t="n">
        <v>43347</v>
      </c>
      <c r="B705" s="9" t="n">
        <v>20.4575426364</v>
      </c>
      <c r="C705" s="9" t="n">
        <v>172.789993</v>
      </c>
      <c r="D705" s="9" t="n">
        <v>173.119995</v>
      </c>
      <c r="E705" s="9" t="n">
        <v>171.119995</v>
      </c>
      <c r="F705" s="9" t="n">
        <v>172.25</v>
      </c>
      <c r="G705" s="9" t="n">
        <v>167.095306</v>
      </c>
      <c r="H705" s="9" t="n">
        <v>167.095306</v>
      </c>
      <c r="I705" s="2" t="str">
        <f aca="false">IF(COUNT(C705:F705)&lt;4,"",IF(OR(D705&lt;MAX(C705,F705)-0.000001,E705&gt;MIN(C705,F705)+0.000001),"FAIL","OK"))</f>
        <v>OK</v>
      </c>
      <c r="J705" s="10" t="n">
        <f aca="false">IF(COUNT(F705,G705)&lt;2,"",G705/F705)</f>
        <v>0.970074345428157</v>
      </c>
      <c r="K705" s="10" t="n">
        <f aca="false">H705/H704-1</f>
        <v>-0.0103467218250503</v>
      </c>
      <c r="L705" s="10" t="n">
        <f aca="false">H710/H705-1</f>
        <v>-0.0070827064405985</v>
      </c>
      <c r="M705" s="10" t="n">
        <f aca="false">IF(COUNT(B646:B705)&lt;60,"",(B705-AVERAGE(B646:B705))/STDEV(B646:B705))</f>
        <v>-0.215782973199073</v>
      </c>
      <c r="N705" s="10" t="n">
        <f aca="false">(H705-AVERAGE(H646:H705))/STDEV(H646:H705)</f>
        <v>1.86814724558521</v>
      </c>
      <c r="O705" s="10" t="n">
        <f aca="false">IF(COUNT(B705)=0,"",B705-('Signal Analysis'!$C$6+'Signal Analysis'!$C$5*H705))</f>
        <v>-0.602079988049763</v>
      </c>
    </row>
    <row r="706" customFormat="false" ht="15" hidden="false" customHeight="false" outlineLevel="0" collapsed="false">
      <c r="A706" s="8" t="n">
        <v>43348</v>
      </c>
      <c r="B706" s="9" t="n">
        <v>21.4556560992</v>
      </c>
      <c r="C706" s="9" t="n">
        <v>172.179993</v>
      </c>
      <c r="D706" s="9" t="n">
        <v>172.229996</v>
      </c>
      <c r="E706" s="9" t="n">
        <v>170.360001</v>
      </c>
      <c r="F706" s="9" t="n">
        <v>171.789993</v>
      </c>
      <c r="G706" s="9" t="n">
        <v>166.649048</v>
      </c>
      <c r="H706" s="9" t="n">
        <v>166.649048</v>
      </c>
      <c r="I706" s="2" t="str">
        <f aca="false">IF(COUNT(C706:F706)&lt;4,"",IF(OR(D706&lt;MAX(C706,F706)-0.000001,E706&gt;MIN(C706,F706)+0.000001),"FAIL","OK"))</f>
        <v>OK</v>
      </c>
      <c r="J706" s="10" t="n">
        <f aca="false">IF(COUNT(F706,G706)&lt;2,"",G706/F706)</f>
        <v>0.97007424640852</v>
      </c>
      <c r="K706" s="10" t="n">
        <f aca="false">H706/H705-1</f>
        <v>-0.00267067945044486</v>
      </c>
      <c r="L706" s="10" t="n">
        <f aca="false">H711/H706-1</f>
        <v>-0.00681041394247872</v>
      </c>
      <c r="M706" s="10" t="n">
        <f aca="false">IF(COUNT(B647:B706)&lt;60,"",(B706-AVERAGE(B647:B706))/STDEV(B647:B706))</f>
        <v>1.30070404405494</v>
      </c>
      <c r="N706" s="10" t="n">
        <f aca="false">(H706-AVERAGE(H647:H706))/STDEV(H647:H706)</f>
        <v>1.60627792860104</v>
      </c>
      <c r="O706" s="10" t="n">
        <f aca="false">IF(COUNT(B706)=0,"",B706-('Signal Analysis'!$C$6+'Signal Analysis'!$C$5*H706))</f>
        <v>0.457078189961361</v>
      </c>
    </row>
    <row r="707" customFormat="false" ht="15" hidden="false" customHeight="false" outlineLevel="0" collapsed="false">
      <c r="A707" s="8" t="n">
        <v>43349</v>
      </c>
      <c r="B707" s="9" t="n">
        <v>21.3466743672</v>
      </c>
      <c r="C707" s="9" t="n">
        <v>172.169998</v>
      </c>
      <c r="D707" s="9" t="n">
        <v>172.479996</v>
      </c>
      <c r="E707" s="9" t="n">
        <v>170.419998</v>
      </c>
      <c r="F707" s="9" t="n">
        <v>170.630005</v>
      </c>
      <c r="G707" s="9" t="n">
        <v>165.523804</v>
      </c>
      <c r="H707" s="9" t="n">
        <v>165.523804</v>
      </c>
      <c r="I707" s="2" t="str">
        <f aca="false">IF(COUNT(C707:F707)&lt;4,"",IF(OR(D707&lt;MAX(C707,F707)-0.000001,E707&gt;MIN(C707,F707)+0.000001),"FAIL","OK"))</f>
        <v>OK</v>
      </c>
      <c r="J707" s="10" t="n">
        <f aca="false">IF(COUNT(F707,G707)&lt;2,"",G707/F707)</f>
        <v>0.970074425069612</v>
      </c>
      <c r="K707" s="10" t="n">
        <f aca="false">H707/H706-1</f>
        <v>-0.00675217778621806</v>
      </c>
      <c r="L707" s="10" t="n">
        <f aca="false">H712/H707-1</f>
        <v>0.000175793446602901</v>
      </c>
      <c r="M707" s="10" t="n">
        <f aca="false">IF(COUNT(B648:B707)&lt;60,"",(B707-AVERAGE(B648:B707))/STDEV(B648:B707))</f>
        <v>1.09661987089689</v>
      </c>
      <c r="N707" s="10" t="n">
        <f aca="false">(H707-AVERAGE(H648:H707))/STDEV(H648:H707)</f>
        <v>1.09532532448587</v>
      </c>
      <c r="O707" s="10" t="n">
        <f aca="false">IF(COUNT(B707)=0,"",B707-('Signal Analysis'!$C$6+'Signal Analysis'!$C$5*H707))</f>
        <v>0.502021316502887</v>
      </c>
    </row>
    <row r="708" customFormat="false" ht="15" hidden="false" customHeight="false" outlineLevel="0" collapsed="false">
      <c r="A708" s="8" t="n">
        <v>43350</v>
      </c>
      <c r="B708" s="9" t="n">
        <v>21.712124808</v>
      </c>
      <c r="C708" s="9" t="n">
        <v>170.210007</v>
      </c>
      <c r="D708" s="9" t="n">
        <v>171.449997</v>
      </c>
      <c r="E708" s="9" t="n">
        <v>169.660004</v>
      </c>
      <c r="F708" s="9" t="n">
        <v>170.539993</v>
      </c>
      <c r="G708" s="9" t="n">
        <v>165.436493</v>
      </c>
      <c r="H708" s="9" t="n">
        <v>165.436493</v>
      </c>
      <c r="I708" s="2" t="str">
        <f aca="false">IF(COUNT(C708:F708)&lt;4,"",IF(OR(D708&lt;MAX(C708,F708)-0.000001,E708&gt;MIN(C708,F708)+0.000001),"FAIL","OK"))</f>
        <v>OK</v>
      </c>
      <c r="J708" s="10" t="n">
        <f aca="false">IF(COUNT(F708,G708)&lt;2,"",G708/F708)</f>
        <v>0.970074468104382</v>
      </c>
      <c r="K708" s="10" t="n">
        <f aca="false">H708/H707-1</f>
        <v>-0.000527483044070243</v>
      </c>
      <c r="L708" s="10" t="n">
        <f aca="false">H713/H708-1</f>
        <v>0.00492554565938486</v>
      </c>
      <c r="M708" s="10" t="n">
        <f aca="false">IF(COUNT(B649:B708)&lt;60,"",(B708-AVERAGE(B649:B708))/STDEV(B649:B708))</f>
        <v>1.63535352369503</v>
      </c>
      <c r="N708" s="10" t="n">
        <f aca="false">(H708-AVERAGE(H649:H708))/STDEV(H649:H708)</f>
        <v>1.02452805275762</v>
      </c>
      <c r="O708" s="10" t="n">
        <f aca="false">IF(COUNT(B708)=0,"",B708-('Signal Analysis'!$C$6+'Signal Analysis'!$C$5*H708))</f>
        <v>0.879415240959872</v>
      </c>
    </row>
    <row r="709" customFormat="false" ht="15" hidden="false" customHeight="false" outlineLevel="0" collapsed="false">
      <c r="A709" s="8" t="n">
        <v>43353</v>
      </c>
      <c r="B709" s="9" t="n">
        <v>20.2173681024</v>
      </c>
      <c r="C709" s="9" t="n">
        <v>171.25</v>
      </c>
      <c r="D709" s="9" t="n">
        <v>171.679993</v>
      </c>
      <c r="E709" s="9" t="n">
        <v>170.389999</v>
      </c>
      <c r="F709" s="9" t="n">
        <v>170.75</v>
      </c>
      <c r="G709" s="9" t="n">
        <v>165.640182</v>
      </c>
      <c r="H709" s="9" t="n">
        <v>165.640182</v>
      </c>
      <c r="I709" s="2" t="str">
        <f aca="false">IF(COUNT(C709:F709)&lt;4,"",IF(OR(D709&lt;MAX(C709,F709)-0.000001,E709&gt;MIN(C709,F709)+0.000001),"FAIL","OK"))</f>
        <v>OK</v>
      </c>
      <c r="J709" s="10" t="n">
        <f aca="false">IF(COUNT(F709,G709)&lt;2,"",G709/F709)</f>
        <v>0.970074272327965</v>
      </c>
      <c r="K709" s="10" t="n">
        <f aca="false">H709/H708-1</f>
        <v>0.00123122169907219</v>
      </c>
      <c r="L709" s="10" t="n">
        <f aca="false">H714/H709-1</f>
        <v>-0.00696925097558765</v>
      </c>
      <c r="M709" s="10" t="n">
        <f aca="false">IF(COUNT(B650:B709)&lt;60,"",(B709-AVERAGE(B650:B709))/STDEV(B650:B709))</f>
        <v>-0.6653733839725</v>
      </c>
      <c r="N709" s="10" t="n">
        <f aca="false">(H709-AVERAGE(H650:H709))/STDEV(H650:H709)</f>
        <v>1.07539864512829</v>
      </c>
      <c r="O709" s="10" t="n">
        <f aca="false">IF(COUNT(B709)=0,"",B709-('Signal Analysis'!$C$6+'Signal Analysis'!$C$5*H709))</f>
        <v>-0.643204577450742</v>
      </c>
    </row>
    <row r="710" customFormat="false" ht="15" hidden="false" customHeight="false" outlineLevel="0" collapsed="false">
      <c r="A710" s="8" t="n">
        <v>43354</v>
      </c>
      <c r="B710" s="9" t="n">
        <v>21.328676352</v>
      </c>
      <c r="C710" s="9" t="n">
        <v>170.600006</v>
      </c>
      <c r="D710" s="9" t="n">
        <v>171.600006</v>
      </c>
      <c r="E710" s="9" t="n">
        <v>170</v>
      </c>
      <c r="F710" s="9" t="n">
        <v>171.029999</v>
      </c>
      <c r="G710" s="9" t="n">
        <v>165.911819</v>
      </c>
      <c r="H710" s="9" t="n">
        <v>165.911819</v>
      </c>
      <c r="I710" s="2" t="str">
        <f aca="false">IF(COUNT(C710:F710)&lt;4,"",IF(OR(D710&lt;MAX(C710,F710)-0.000001,E710&gt;MIN(C710,F710)+0.000001),"FAIL","OK"))</f>
        <v>OK</v>
      </c>
      <c r="J710" s="10" t="n">
        <f aca="false">IF(COUNT(F710,G710)&lt;2,"",G710/F710)</f>
        <v>0.970074372742059</v>
      </c>
      <c r="K710" s="10" t="n">
        <f aca="false">H710/H709-1</f>
        <v>0.00163992212952291</v>
      </c>
      <c r="L710" s="10" t="n">
        <f aca="false">H715/H710-1</f>
        <v>-0.00444358337123652</v>
      </c>
      <c r="M710" s="10" t="n">
        <f aca="false">IF(COUNT(B651:B710)&lt;60,"",(B710-AVERAGE(B651:B710))/STDEV(B651:B710))</f>
        <v>1.02661689542627</v>
      </c>
      <c r="N710" s="10" t="n">
        <f aca="false">(H710-AVERAGE(H651:H710))/STDEV(H651:H710)</f>
        <v>1.14987553385584</v>
      </c>
      <c r="O710" s="10" t="n">
        <f aca="false">IF(COUNT(B710)=0,"",B710-('Signal Analysis'!$C$6+'Signal Analysis'!$C$5*H710))</f>
        <v>0.430945787459677</v>
      </c>
    </row>
    <row r="711" customFormat="false" ht="15" hidden="false" customHeight="false" outlineLevel="0" collapsed="false">
      <c r="A711" s="8" t="n">
        <v>43355</v>
      </c>
      <c r="B711" s="9" t="n">
        <v>21.526058448</v>
      </c>
      <c r="C711" s="9" t="n">
        <v>170.789993</v>
      </c>
      <c r="D711" s="9" t="n">
        <v>171.089996</v>
      </c>
      <c r="E711" s="9" t="n">
        <v>169.330002</v>
      </c>
      <c r="F711" s="9" t="n">
        <v>170.619995</v>
      </c>
      <c r="G711" s="9" t="n">
        <v>165.514099</v>
      </c>
      <c r="H711" s="9" t="n">
        <v>165.514099</v>
      </c>
      <c r="I711" s="2" t="str">
        <f aca="false">IF(COUNT(C711:F711)&lt;4,"",IF(OR(D711&lt;MAX(C711,F711)-0.000001,E711&gt;MIN(C711,F711)+0.000001),"FAIL","OK"))</f>
        <v>OK</v>
      </c>
      <c r="J711" s="10" t="n">
        <f aca="false">IF(COUNT(F711,G711)&lt;2,"",G711/F711)</f>
        <v>0.970074456982606</v>
      </c>
      <c r="K711" s="10" t="n">
        <f aca="false">H711/H710-1</f>
        <v>-0.00239717702088493</v>
      </c>
      <c r="L711" s="10" t="n">
        <f aca="false">H716/H711-1</f>
        <v>-0.00568518939283835</v>
      </c>
      <c r="M711" s="10" t="n">
        <f aca="false">IF(COUNT(B652:B711)&lt;60,"",(B711-AVERAGE(B652:B711))/STDEV(B652:B711))</f>
        <v>1.2846997009279</v>
      </c>
      <c r="N711" s="10" t="n">
        <f aca="false">(H711-AVERAGE(H652:H711))/STDEV(H652:H711)</f>
        <v>0.962270631556327</v>
      </c>
      <c r="O711" s="10" t="n">
        <f aca="false">IF(COUNT(B711)=0,"",B711-('Signal Analysis'!$C$6+'Signal Analysis'!$C$5*H711))</f>
        <v>0.682732967813951</v>
      </c>
    </row>
    <row r="712" customFormat="false" ht="15" hidden="false" customHeight="false" outlineLevel="0" collapsed="false">
      <c r="A712" s="8" t="n">
        <v>43356</v>
      </c>
      <c r="B712" s="9" t="n">
        <v>19.83607728</v>
      </c>
      <c r="C712" s="9" t="n">
        <v>171.279999</v>
      </c>
      <c r="D712" s="9" t="n">
        <v>171.539993</v>
      </c>
      <c r="E712" s="9" t="n">
        <v>170.259995</v>
      </c>
      <c r="F712" s="9" t="n">
        <v>170.660004</v>
      </c>
      <c r="G712" s="9" t="n">
        <v>165.552902</v>
      </c>
      <c r="H712" s="9" t="n">
        <v>165.552902</v>
      </c>
      <c r="I712" s="2" t="str">
        <f aca="false">IF(COUNT(C712:F712)&lt;4,"",IF(OR(D712&lt;MAX(C712,F712)-0.000001,E712&gt;MIN(C712,F712)+0.000001),"FAIL","OK"))</f>
        <v>OK</v>
      </c>
      <c r="J712" s="10" t="n">
        <f aca="false">IF(COUNT(F712,G712)&lt;2,"",G712/F712)</f>
        <v>0.970074405951614</v>
      </c>
      <c r="K712" s="10" t="n">
        <f aca="false">H712/H711-1</f>
        <v>0.000234439242544626</v>
      </c>
      <c r="L712" s="10" t="n">
        <f aca="false">H717/H712-1</f>
        <v>0.00328129554624179</v>
      </c>
      <c r="M712" s="10" t="n">
        <f aca="false">IF(COUNT(B653:B712)&lt;60,"",(B712-AVERAGE(B653:B712))/STDEV(B653:B712))</f>
        <v>-1.37053580639607</v>
      </c>
      <c r="N712" s="10" t="n">
        <f aca="false">(H712-AVERAGE(H653:H712))/STDEV(H653:H712)</f>
        <v>0.953065145414966</v>
      </c>
      <c r="O712" s="10" t="n">
        <f aca="false">IF(COUNT(B712)=0,"",B712-('Signal Analysis'!$C$6+'Signal Analysis'!$C$5*H712))</f>
        <v>-1.01255615675901</v>
      </c>
    </row>
    <row r="713" customFormat="false" ht="15" hidden="false" customHeight="false" outlineLevel="0" collapsed="false">
      <c r="A713" s="8" t="n">
        <v>43357</v>
      </c>
      <c r="B713" s="9" t="n">
        <v>20.750880654</v>
      </c>
      <c r="C713" s="9" t="n">
        <v>170.770004</v>
      </c>
      <c r="D713" s="9" t="n">
        <v>171.929993</v>
      </c>
      <c r="E713" s="9" t="n">
        <v>170.399994</v>
      </c>
      <c r="F713" s="9" t="n">
        <v>171.380005</v>
      </c>
      <c r="G713" s="9" t="n">
        <v>166.251358</v>
      </c>
      <c r="H713" s="9" t="n">
        <v>166.251358</v>
      </c>
      <c r="I713" s="2" t="str">
        <f aca="false">IF(COUNT(C713:F713)&lt;4,"",IF(OR(D713&lt;MAX(C713,F713)-0.000001,E713&gt;MIN(C713,F713)+0.000001),"FAIL","OK"))</f>
        <v>OK</v>
      </c>
      <c r="J713" s="10" t="n">
        <f aca="false">IF(COUNT(F713,G713)&lt;2,"",G713/F713)</f>
        <v>0.970074414456926</v>
      </c>
      <c r="K713" s="10" t="n">
        <f aca="false">H713/H712-1</f>
        <v>0.00421892936675938</v>
      </c>
      <c r="L713" s="10" t="n">
        <f aca="false">H718/H713-1</f>
        <v>-0.00571853373973641</v>
      </c>
      <c r="M713" s="10" t="n">
        <f aca="false">IF(COUNT(B654:B713)&lt;60,"",(B713-AVERAGE(B654:B713))/STDEV(B654:B713))</f>
        <v>0.0804495234554143</v>
      </c>
      <c r="N713" s="10" t="n">
        <f aca="false">(H713-AVERAGE(H654:H713))/STDEV(H654:H713)</f>
        <v>1.2074067501628</v>
      </c>
      <c r="O713" s="10" t="n">
        <f aca="false">IF(COUNT(B713)=0,"",B713-('Signal Analysis'!$C$6+'Signal Analysis'!$C$5*H713))</f>
        <v>-0.1932962746572</v>
      </c>
    </row>
    <row r="714" customFormat="false" ht="15" hidden="false" customHeight="false" outlineLevel="0" collapsed="false">
      <c r="A714" s="8" t="n">
        <v>43360</v>
      </c>
      <c r="B714" s="9" t="n">
        <v>21.3764517072</v>
      </c>
      <c r="C714" s="9" t="n">
        <v>171.419998</v>
      </c>
      <c r="D714" s="9" t="n">
        <v>171.539993</v>
      </c>
      <c r="E714" s="9" t="n">
        <v>169.350006</v>
      </c>
      <c r="F714" s="9" t="n">
        <v>169.559998</v>
      </c>
      <c r="G714" s="9" t="n">
        <v>164.485794</v>
      </c>
      <c r="H714" s="9" t="n">
        <v>164.485794</v>
      </c>
      <c r="I714" s="2" t="str">
        <f aca="false">IF(COUNT(C714:F714)&lt;4,"",IF(OR(D714&lt;MAX(C714,F714)-0.000001,E714&gt;MIN(C714,F714)+0.000001),"FAIL","OK"))</f>
        <v>OK</v>
      </c>
      <c r="J714" s="10" t="n">
        <f aca="false">IF(COUNT(F714,G714)&lt;2,"",G714/F714)</f>
        <v>0.970074286035318</v>
      </c>
      <c r="K714" s="10" t="n">
        <f aca="false">H714/H713-1</f>
        <v>-0.010619847087204</v>
      </c>
      <c r="L714" s="10" t="n">
        <f aca="false">H719/H714-1</f>
        <v>0.00123861760365762</v>
      </c>
      <c r="M714" s="10" t="n">
        <f aca="false">IF(COUNT(B655:B714)&lt;60,"",(B714-AVERAGE(B655:B714))/STDEV(B655:B714))</f>
        <v>1.06997890126549</v>
      </c>
      <c r="N714" s="10" t="n">
        <f aca="false">(H714-AVERAGE(H655:H714))/STDEV(H655:H714)</f>
        <v>0.492808190664288</v>
      </c>
      <c r="O714" s="10" t="n">
        <f aca="false">IF(COUNT(B714)=0,"",B714-('Signal Analysis'!$C$6+'Signal Analysis'!$C$5*H714))</f>
        <v>0.673790564404374</v>
      </c>
    </row>
    <row r="715" customFormat="false" ht="15" hidden="false" customHeight="false" outlineLevel="0" collapsed="false">
      <c r="A715" s="8" t="n">
        <v>43361</v>
      </c>
      <c r="B715" s="9" t="n">
        <v>21.1810649328</v>
      </c>
      <c r="C715" s="9" t="n">
        <v>169.800003</v>
      </c>
      <c r="D715" s="9" t="n">
        <v>170.710007</v>
      </c>
      <c r="E715" s="9" t="n">
        <v>169.630005</v>
      </c>
      <c r="F715" s="9" t="n">
        <v>170.270004</v>
      </c>
      <c r="G715" s="9" t="n">
        <v>165.174576</v>
      </c>
      <c r="H715" s="9" t="n">
        <v>165.174576</v>
      </c>
      <c r="I715" s="2" t="str">
        <f aca="false">IF(COUNT(C715:F715)&lt;4,"",IF(OR(D715&lt;MAX(C715,F715)-0.000001,E715&gt;MIN(C715,F715)+0.000001),"FAIL","OK"))</f>
        <v>OK</v>
      </c>
      <c r="J715" s="10" t="n">
        <f aca="false">IF(COUNT(F715,G715)&lt;2,"",G715/F715)</f>
        <v>0.970074423678289</v>
      </c>
      <c r="K715" s="10" t="n">
        <f aca="false">H715/H714-1</f>
        <v>0.0041874862457727</v>
      </c>
      <c r="L715" s="10" t="n">
        <f aca="false">H720/H715-1</f>
        <v>-0.00140953290535473</v>
      </c>
      <c r="M715" s="10" t="n">
        <f aca="false">IF(COUNT(B656:B715)&lt;60,"",(B715-AVERAGE(B656:B715))/STDEV(B656:B715))</f>
        <v>0.716780761387179</v>
      </c>
      <c r="N715" s="10" t="n">
        <f aca="false">(H715-AVERAGE(H656:H715))/STDEV(H656:H715)</f>
        <v>0.744158926866945</v>
      </c>
      <c r="O715" s="10" t="n">
        <f aca="false">IF(COUNT(B715)=0,"",B715-('Signal Analysis'!$C$6+'Signal Analysis'!$C$5*H715))</f>
        <v>0.384183628051982</v>
      </c>
    </row>
    <row r="716" customFormat="false" ht="15" hidden="false" customHeight="false" outlineLevel="0" collapsed="false">
      <c r="A716" s="8" t="n">
        <v>43362</v>
      </c>
      <c r="B716" s="9" t="n">
        <v>21.574587936</v>
      </c>
      <c r="C716" s="9" t="n">
        <v>170.279999</v>
      </c>
      <c r="D716" s="9" t="n">
        <v>171.070007</v>
      </c>
      <c r="E716" s="9" t="n">
        <v>169.070007</v>
      </c>
      <c r="F716" s="9" t="n">
        <v>169.649994</v>
      </c>
      <c r="G716" s="9" t="n">
        <v>164.57312</v>
      </c>
      <c r="H716" s="9" t="n">
        <v>164.57312</v>
      </c>
      <c r="I716" s="2" t="str">
        <f aca="false">IF(COUNT(C716:F716)&lt;4,"",IF(OR(D716&lt;MAX(C716,F716)-0.000001,E716&gt;MIN(C716,F716)+0.000001),"FAIL","OK"))</f>
        <v>OK</v>
      </c>
      <c r="J716" s="10" t="n">
        <f aca="false">IF(COUNT(F716,G716)&lt;2,"",G716/F716)</f>
        <v>0.970074422755358</v>
      </c>
      <c r="K716" s="10" t="n">
        <f aca="false">H716/H715-1</f>
        <v>-0.00364133521371968</v>
      </c>
      <c r="L716" s="10" t="n">
        <f aca="false">H721/H716-1</f>
        <v>-0.00692079605709595</v>
      </c>
      <c r="M716" s="10" t="n">
        <f aca="false">IF(COUNT(B657:B716)&lt;60,"",(B716-AVERAGE(B657:B716))/STDEV(B657:B716))</f>
        <v>1.34900149803713</v>
      </c>
      <c r="N716" s="10" t="n">
        <f aca="false">(H716-AVERAGE(H657:H716))/STDEV(H657:H716)</f>
        <v>0.481309517945158</v>
      </c>
      <c r="O716" s="10" t="n">
        <f aca="false">IF(COUNT(B716)=0,"",B716-('Signal Analysis'!$C$6+'Signal Analysis'!$C$5*H716))</f>
        <v>0.859981257660973</v>
      </c>
    </row>
    <row r="717" customFormat="false" ht="15" hidden="false" customHeight="false" outlineLevel="0" collapsed="false">
      <c r="A717" s="8" t="n">
        <v>43363</v>
      </c>
      <c r="B717" s="9" t="n">
        <v>19.67279292</v>
      </c>
      <c r="C717" s="9" t="n">
        <v>170.369995</v>
      </c>
      <c r="D717" s="9" t="n">
        <v>171.300003</v>
      </c>
      <c r="E717" s="9" t="n">
        <v>169.809998</v>
      </c>
      <c r="F717" s="9" t="n">
        <v>171.220001</v>
      </c>
      <c r="G717" s="9" t="n">
        <v>166.09613</v>
      </c>
      <c r="H717" s="9" t="n">
        <v>166.09613</v>
      </c>
      <c r="I717" s="2" t="str">
        <f aca="false">IF(COUNT(C717:F717)&lt;4,"",IF(OR(D717&lt;MAX(C717,F717)-0.000001,E717&gt;MIN(C717,F717)+0.000001),"FAIL","OK"))</f>
        <v>OK</v>
      </c>
      <c r="J717" s="10" t="n">
        <f aca="false">IF(COUNT(F717,G717)&lt;2,"",G717/F717)</f>
        <v>0.970074343125369</v>
      </c>
      <c r="K717" s="10" t="n">
        <f aca="false">H717/H716-1</f>
        <v>0.00925430592796683</v>
      </c>
      <c r="L717" s="10" t="n">
        <f aca="false">H722/H717-1</f>
        <v>-0.0159683551928632</v>
      </c>
      <c r="M717" s="10" t="n">
        <f aca="false">IF(COUNT(B658:B717)&lt;60,"",(B717-AVERAGE(B658:B717))/STDEV(B658:B717))</f>
        <v>-1.76039995412072</v>
      </c>
      <c r="N717" s="10" t="n">
        <f aca="false">(H717-AVERAGE(H658:H717))/STDEV(H658:H717)</f>
        <v>1.05889943471804</v>
      </c>
      <c r="O717" s="10" t="n">
        <f aca="false">IF(COUNT(B717)=0,"",B717-('Signal Analysis'!$C$6+'Signal Analysis'!$C$5*H717))</f>
        <v>-1.25014999368651</v>
      </c>
    </row>
    <row r="718" customFormat="false" ht="15" hidden="false" customHeight="false" outlineLevel="0" collapsed="false">
      <c r="A718" s="8" t="n">
        <v>43364</v>
      </c>
      <c r="B718" s="9" t="n">
        <v>21.355042368</v>
      </c>
      <c r="C718" s="9" t="n">
        <v>171.75</v>
      </c>
      <c r="D718" s="9" t="n">
        <v>171.820007</v>
      </c>
      <c r="E718" s="9" t="n">
        <v>170.220001</v>
      </c>
      <c r="F718" s="9" t="n">
        <v>170.399994</v>
      </c>
      <c r="G718" s="9" t="n">
        <v>165.300644</v>
      </c>
      <c r="H718" s="9" t="n">
        <v>165.300644</v>
      </c>
      <c r="I718" s="2" t="str">
        <f aca="false">IF(COUNT(C718:F718)&lt;4,"",IF(OR(D718&lt;MAX(C718,F718)-0.000001,E718&gt;MIN(C718,F718)+0.000001),"FAIL","OK"))</f>
        <v>OK</v>
      </c>
      <c r="J718" s="10" t="n">
        <f aca="false">IF(COUNT(F718,G718)&lt;2,"",G718/F718)</f>
        <v>0.970074236035478</v>
      </c>
      <c r="K718" s="10" t="n">
        <f aca="false">H718/H717-1</f>
        <v>-0.00478931086473833</v>
      </c>
      <c r="L718" s="10" t="n">
        <f aca="false">H723/H718-1</f>
        <v>-0.00823168601811375</v>
      </c>
      <c r="M718" s="10" t="n">
        <f aca="false">IF(COUNT(B659:B718)&lt;60,"",(B718-AVERAGE(B659:B718))/STDEV(B659:B718))</f>
        <v>0.990282715393067</v>
      </c>
      <c r="N718" s="10" t="n">
        <f aca="false">(H718-AVERAGE(H659:H718))/STDEV(H659:H718)</f>
        <v>0.717051271571632</v>
      </c>
      <c r="O718" s="10" t="n">
        <f aca="false">IF(COUNT(B718)=0,"",B718-('Signal Analysis'!$C$6+'Signal Analysis'!$C$5*H718))</f>
        <v>0.540915915473711</v>
      </c>
    </row>
    <row r="719" customFormat="false" ht="15" hidden="false" customHeight="false" outlineLevel="0" collapsed="false">
      <c r="A719" s="8" t="n">
        <v>43367</v>
      </c>
      <c r="B719" s="9" t="n">
        <v>19.9717286496</v>
      </c>
      <c r="C719" s="9" t="n">
        <v>170.259995</v>
      </c>
      <c r="D719" s="9" t="n">
        <v>170.5</v>
      </c>
      <c r="E719" s="9" t="n">
        <v>168.759995</v>
      </c>
      <c r="F719" s="9" t="n">
        <v>169.770004</v>
      </c>
      <c r="G719" s="9" t="n">
        <v>164.689529</v>
      </c>
      <c r="H719" s="9" t="n">
        <v>164.689529</v>
      </c>
      <c r="I719" s="2" t="str">
        <f aca="false">IF(COUNT(C719:F719)&lt;4,"",IF(OR(D719&lt;MAX(C719,F719)-0.000001,E719&gt;MIN(C719,F719)+0.000001),"FAIL","OK"))</f>
        <v>OK</v>
      </c>
      <c r="J719" s="10" t="n">
        <f aca="false">IF(COUNT(F719,G719)&lt;2,"",G719/F719)</f>
        <v>0.970074366022869</v>
      </c>
      <c r="K719" s="10" t="n">
        <f aca="false">H719/H718-1</f>
        <v>-0.00369699104136589</v>
      </c>
      <c r="L719" s="10" t="n">
        <f aca="false">H724/H719-1</f>
        <v>-0.0176629626525923</v>
      </c>
      <c r="M719" s="10" t="n">
        <f aca="false">IF(COUNT(B660:B719)&lt;60,"",(B719-AVERAGE(B660:B719))/STDEV(B660:B719))</f>
        <v>-1.26703817426343</v>
      </c>
      <c r="N719" s="10" t="n">
        <f aca="false">(H719-AVERAGE(H660:H719))/STDEV(H660:H719)</f>
        <v>0.433772412878555</v>
      </c>
      <c r="O719" s="10" t="n">
        <f aca="false">IF(COUNT(B719)=0,"",B719-('Signal Analysis'!$C$6+'Signal Analysis'!$C$5*H719))</f>
        <v>-0.758801898457918</v>
      </c>
    </row>
    <row r="720" customFormat="false" ht="15" hidden="false" customHeight="false" outlineLevel="0" collapsed="false">
      <c r="A720" s="8" t="n">
        <v>43368</v>
      </c>
      <c r="B720" s="9" t="n">
        <v>20.5339571832</v>
      </c>
      <c r="C720" s="9" t="n">
        <v>170.050003</v>
      </c>
      <c r="D720" s="9" t="n">
        <v>170.520004</v>
      </c>
      <c r="E720" s="9" t="n">
        <v>169.850006</v>
      </c>
      <c r="F720" s="9" t="n">
        <v>170.029999</v>
      </c>
      <c r="G720" s="9" t="n">
        <v>164.941757</v>
      </c>
      <c r="H720" s="9" t="n">
        <v>164.941757</v>
      </c>
      <c r="I720" s="2" t="str">
        <f aca="false">IF(COUNT(C720:F720)&lt;4,"",IF(OR(D720&lt;MAX(C720,F720)-0.000001,E720&gt;MIN(C720,F720)+0.000001),"FAIL","OK"))</f>
        <v>OK</v>
      </c>
      <c r="J720" s="10" t="n">
        <f aca="false">IF(COUNT(F720,G720)&lt;2,"",G720/F720)</f>
        <v>0.970074445510054</v>
      </c>
      <c r="K720" s="10" t="n">
        <f aca="false">H720/H719-1</f>
        <v>0.00153153634922343</v>
      </c>
      <c r="L720" s="10" t="n">
        <f aca="false">H725/H720-1</f>
        <v>-0.0297794814929733</v>
      </c>
      <c r="M720" s="10" t="n">
        <f aca="false">IF(COUNT(B661:B720)&lt;60,"",(B720-AVERAGE(B661:B720))/STDEV(B661:B720))</f>
        <v>-0.32629086046753</v>
      </c>
      <c r="N720" s="10" t="n">
        <f aca="false">(H720-AVERAGE(H661:H720))/STDEV(H661:H720)</f>
        <v>0.520262699608616</v>
      </c>
      <c r="O720" s="10" t="n">
        <f aca="false">IF(COUNT(B720)=0,"",B720-('Signal Analysis'!$C$6+'Signal Analysis'!$C$5*H720))</f>
        <v>-0.231076245317812</v>
      </c>
    </row>
    <row r="721" customFormat="false" ht="15" hidden="false" customHeight="false" outlineLevel="0" collapsed="false">
      <c r="A721" s="8" t="n">
        <v>43369</v>
      </c>
      <c r="B721" s="9" t="n">
        <v>19.290702858</v>
      </c>
      <c r="C721" s="9" t="n">
        <v>169.929993</v>
      </c>
      <c r="D721" s="9" t="n">
        <v>170.029999</v>
      </c>
      <c r="E721" s="9" t="n">
        <v>167.779999</v>
      </c>
      <c r="F721" s="9" t="n">
        <v>168.029999</v>
      </c>
      <c r="G721" s="9" t="n">
        <v>163.434143</v>
      </c>
      <c r="H721" s="9" t="n">
        <v>163.434143</v>
      </c>
      <c r="I721" s="2" t="str">
        <f aca="false">IF(COUNT(C721:F721)&lt;4,"",IF(OR(D721&lt;MAX(C721,F721)-0.000001,E721&gt;MIN(C721,F721)+0.000001),"FAIL","OK"))</f>
        <v>OK</v>
      </c>
      <c r="J721" s="10" t="n">
        <f aca="false">IF(COUNT(F721,G721)&lt;2,"",G721/F721)</f>
        <v>0.972648598301783</v>
      </c>
      <c r="K721" s="10" t="n">
        <f aca="false">H721/H720-1</f>
        <v>-0.0091402809538399</v>
      </c>
      <c r="L721" s="10" t="n">
        <f aca="false">H726/H721-1</f>
        <v>-0.012259751623625</v>
      </c>
      <c r="M721" s="10" t="n">
        <f aca="false">IF(COUNT(B662:B721)&lt;60,"",(B721-AVERAGE(B662:B721))/STDEV(B662:B721))</f>
        <v>-2.32770188960757</v>
      </c>
      <c r="N721" s="10" t="n">
        <f aca="false">(H721-AVERAGE(H662:H721))/STDEV(H662:H721)</f>
        <v>-0.210983800852551</v>
      </c>
      <c r="O721" s="10" t="n">
        <f aca="false">IF(COUNT(B721)=0,"",B721-('Signal Analysis'!$C$6+'Signal Analysis'!$C$5*H721))</f>
        <v>-1.26810039138757</v>
      </c>
    </row>
    <row r="722" customFormat="false" ht="15" hidden="false" customHeight="false" outlineLevel="0" collapsed="false">
      <c r="A722" s="8" t="n">
        <v>43370</v>
      </c>
      <c r="B722" s="9" t="n">
        <v>18.92696412</v>
      </c>
      <c r="C722" s="9" t="n">
        <v>168.369995</v>
      </c>
      <c r="D722" s="9" t="n">
        <v>168.699997</v>
      </c>
      <c r="E722" s="9" t="n">
        <v>167.759995</v>
      </c>
      <c r="F722" s="9" t="n">
        <v>168.039993</v>
      </c>
      <c r="G722" s="9" t="n">
        <v>163.443848</v>
      </c>
      <c r="H722" s="9" t="n">
        <v>163.443848</v>
      </c>
      <c r="I722" s="2" t="str">
        <f aca="false">IF(COUNT(C722:F722)&lt;4,"",IF(OR(D722&lt;MAX(C722,F722)-0.000001,E722&gt;MIN(C722,F722)+0.000001),"FAIL","OK"))</f>
        <v>OK</v>
      </c>
      <c r="J722" s="10" t="n">
        <f aca="false">IF(COUNT(F722,G722)&lt;2,"",G722/F722)</f>
        <v>0.972648505168648</v>
      </c>
      <c r="K722" s="10" t="n">
        <f aca="false">H722/H721-1</f>
        <v>5.93817168301758E-005</v>
      </c>
      <c r="L722" s="10" t="n">
        <f aca="false">H727/H722-1</f>
        <v>-0.0261841179852789</v>
      </c>
      <c r="M722" s="10" t="n">
        <f aca="false">IF(COUNT(B663:B722)&lt;60,"",(B722-AVERAGE(B663:B722))/STDEV(B663:B722))</f>
        <v>-2.68527457333337</v>
      </c>
      <c r="N722" s="10" t="n">
        <f aca="false">(H722-AVERAGE(H663:H722))/STDEV(H663:H722)</f>
        <v>-0.240503251521339</v>
      </c>
      <c r="O722" s="10" t="n">
        <f aca="false">IF(COUNT(B722)=0,"",B722-('Signal Analysis'!$C$6+'Signal Analysis'!$C$5*H722))</f>
        <v>-1.63316669989863</v>
      </c>
    </row>
    <row r="723" customFormat="false" ht="15" hidden="false" customHeight="false" outlineLevel="0" collapsed="false">
      <c r="A723" s="8" t="n">
        <v>43371</v>
      </c>
      <c r="B723" s="9" t="n">
        <v>19.2650233968</v>
      </c>
      <c r="C723" s="9" t="n">
        <v>167.449997</v>
      </c>
      <c r="D723" s="9" t="n">
        <v>169</v>
      </c>
      <c r="E723" s="9" t="n">
        <v>167.449997</v>
      </c>
      <c r="F723" s="9" t="n">
        <v>168.550003</v>
      </c>
      <c r="G723" s="9" t="n">
        <v>163.939941</v>
      </c>
      <c r="H723" s="9" t="n">
        <v>163.939941</v>
      </c>
      <c r="I723" s="2" t="str">
        <f aca="false">IF(COUNT(C723:F723)&lt;4,"",IF(OR(D723&lt;MAX(C723,F723)-0.000001,E723&gt;MIN(C723,F723)+0.000001),"FAIL","OK"))</f>
        <v>OK</v>
      </c>
      <c r="J723" s="10" t="n">
        <f aca="false">IF(COUNT(F723,G723)&lt;2,"",G723/F723)</f>
        <v>0.972648698202634</v>
      </c>
      <c r="K723" s="10" t="n">
        <f aca="false">H723/H722-1</f>
        <v>0.00303525036928898</v>
      </c>
      <c r="L723" s="10" t="n">
        <f aca="false">H728/H723-1</f>
        <v>-0.0379116886470027</v>
      </c>
      <c r="M723" s="10" t="n">
        <f aca="false">IF(COUNT(B664:B723)&lt;60,"",(B723-AVERAGE(B664:B723))/STDEV(B664:B723))</f>
        <v>-2.06065690890755</v>
      </c>
      <c r="N723" s="10" t="n">
        <f aca="false">(H723-AVERAGE(H664:H723))/STDEV(H664:H723)</f>
        <v>-0.0142728986539708</v>
      </c>
      <c r="O723" s="10" t="n">
        <f aca="false">IF(COUNT(B723)=0,"",B723-('Signal Analysis'!$C$6+'Signal Analysis'!$C$5*H723))</f>
        <v>-1.36296918894536</v>
      </c>
    </row>
    <row r="724" customFormat="false" ht="15" hidden="false" customHeight="false" outlineLevel="0" collapsed="false">
      <c r="A724" s="8" t="n">
        <v>43374</v>
      </c>
      <c r="B724" s="9" t="n">
        <v>19.3781586684</v>
      </c>
      <c r="C724" s="9" t="n">
        <v>169.289993</v>
      </c>
      <c r="D724" s="9" t="n">
        <v>169.320007</v>
      </c>
      <c r="E724" s="9" t="n">
        <v>165.770004</v>
      </c>
      <c r="F724" s="9" t="n">
        <v>166.330002</v>
      </c>
      <c r="G724" s="9" t="n">
        <v>161.780624</v>
      </c>
      <c r="H724" s="9" t="n">
        <v>161.780624</v>
      </c>
      <c r="I724" s="2" t="str">
        <f aca="false">IF(COUNT(C724:F724)&lt;4,"",IF(OR(D724&lt;MAX(C724,F724)-0.000001,E724&gt;MIN(C724,F724)+0.000001),"FAIL","OK"))</f>
        <v>OK</v>
      </c>
      <c r="J724" s="10" t="n">
        <f aca="false">IF(COUNT(F724,G724)&lt;2,"",G724/F724)</f>
        <v>0.972648482262388</v>
      </c>
      <c r="K724" s="10" t="n">
        <f aca="false">H724/H723-1</f>
        <v>-0.0131713906131027</v>
      </c>
      <c r="L724" s="10" t="n">
        <f aca="false">H729/H724-1</f>
        <v>-0.0271147551019459</v>
      </c>
      <c r="M724" s="10" t="n">
        <f aca="false">IF(COUNT(B665:B724)&lt;60,"",(B724-AVERAGE(B665:B724))/STDEV(B665:B724))</f>
        <v>-1.88940607486366</v>
      </c>
      <c r="N724" s="10" t="n">
        <f aca="false">(H724-AVERAGE(H665:H724))/STDEV(H665:H724)</f>
        <v>-1.06270929432596</v>
      </c>
      <c r="O724" s="10" t="n">
        <f aca="false">IF(COUNT(B724)=0,"",B724-('Signal Analysis'!$C$6+'Signal Analysis'!$C$5*H724))</f>
        <v>-0.954455702690296</v>
      </c>
    </row>
    <row r="725" customFormat="false" ht="15" hidden="false" customHeight="false" outlineLevel="0" collapsed="false">
      <c r="A725" s="8" t="n">
        <v>43375</v>
      </c>
      <c r="B725" s="9" t="n">
        <v>19.7352089712</v>
      </c>
      <c r="C725" s="9" t="n">
        <v>166.179993</v>
      </c>
      <c r="D725" s="9" t="n">
        <v>166.529999</v>
      </c>
      <c r="E725" s="9" t="n">
        <v>164.179993</v>
      </c>
      <c r="F725" s="9" t="n">
        <v>164.529999</v>
      </c>
      <c r="G725" s="9" t="n">
        <v>160.029877</v>
      </c>
      <c r="H725" s="9" t="n">
        <v>160.029877</v>
      </c>
      <c r="I725" s="2" t="str">
        <f aca="false">IF(COUNT(C725:F725)&lt;4,"",IF(OR(D725&lt;MAX(C725,F725)-0.000001,E725&gt;MIN(C725,F725)+0.000001),"FAIL","OK"))</f>
        <v>OK</v>
      </c>
      <c r="J725" s="10" t="n">
        <f aca="false">IF(COUNT(F725,G725)&lt;2,"",G725/F725)</f>
        <v>0.972648623185125</v>
      </c>
      <c r="K725" s="10" t="n">
        <f aca="false">H725/H724-1</f>
        <v>-0.0108217347461831</v>
      </c>
      <c r="L725" s="10" t="n">
        <f aca="false">H730/H725-1</f>
        <v>-0.0203003217955358</v>
      </c>
      <c r="M725" s="10" t="n">
        <f aca="false">IF(COUNT(B666:B725)&lt;60,"",(B725-AVERAGE(B666:B725))/STDEV(B666:B725))</f>
        <v>-1.31919564750217</v>
      </c>
      <c r="N725" s="10" t="n">
        <f aca="false">(H725-AVERAGE(H666:H725))/STDEV(H666:H725)</f>
        <v>-1.83277457535576</v>
      </c>
      <c r="O725" s="10" t="n">
        <f aca="false">IF(COUNT(B725)=0,"",B725-('Signal Analysis'!$C$6+'Signal Analysis'!$C$5*H725))</f>
        <v>-0.357916467430311</v>
      </c>
    </row>
    <row r="726" customFormat="false" ht="15" hidden="false" customHeight="false" outlineLevel="0" collapsed="false">
      <c r="A726" s="8" t="n">
        <v>43376</v>
      </c>
      <c r="B726" s="9" t="n">
        <v>18.2828425896</v>
      </c>
      <c r="C726" s="9" t="n">
        <v>165.179993</v>
      </c>
      <c r="D726" s="9" t="n">
        <v>166.729996</v>
      </c>
      <c r="E726" s="9" t="n">
        <v>164.509995</v>
      </c>
      <c r="F726" s="9" t="n">
        <v>165.970001</v>
      </c>
      <c r="G726" s="9" t="n">
        <v>161.430481</v>
      </c>
      <c r="H726" s="9" t="n">
        <v>161.430481</v>
      </c>
      <c r="I726" s="2" t="str">
        <f aca="false">IF(COUNT(C726:F726)&lt;4,"",IF(OR(D726&lt;MAX(C726,F726)-0.000001,E726&gt;MIN(C726,F726)+0.000001),"FAIL","OK"))</f>
        <v>OK</v>
      </c>
      <c r="J726" s="10" t="n">
        <f aca="false">IF(COUNT(F726,G726)&lt;2,"",G726/F726)</f>
        <v>0.972648551107739</v>
      </c>
      <c r="K726" s="10" t="n">
        <f aca="false">H726/H725-1</f>
        <v>0.00875214070182651</v>
      </c>
      <c r="L726" s="10" t="n">
        <f aca="false">H731/H726-1</f>
        <v>-0.0566970620622754</v>
      </c>
      <c r="M726" s="10" t="n">
        <f aca="false">IF(COUNT(B667:B726)&lt;60,"",(B726-AVERAGE(B667:B726))/STDEV(B667:B726))</f>
        <v>-3.08693633675207</v>
      </c>
      <c r="N726" s="10" t="n">
        <f aca="false">(H726-AVERAGE(H667:H726))/STDEV(H667:H726)</f>
        <v>-1.13616737468703</v>
      </c>
      <c r="O726" s="10" t="n">
        <f aca="false">IF(COUNT(B726)=0,"",B726-('Signal Analysis'!$C$6+'Signal Analysis'!$C$5*H726))</f>
        <v>-2.00187487046983</v>
      </c>
    </row>
    <row r="727" customFormat="false" ht="15" hidden="false" customHeight="false" outlineLevel="0" collapsed="false">
      <c r="A727" s="8" t="n">
        <v>43377</v>
      </c>
      <c r="B727" s="9" t="n">
        <v>19.720644108</v>
      </c>
      <c r="C727" s="9" t="n">
        <v>165.440002</v>
      </c>
      <c r="D727" s="9" t="n">
        <v>165.649994</v>
      </c>
      <c r="E727" s="9" t="n">
        <v>163.130005</v>
      </c>
      <c r="F727" s="9" t="n">
        <v>163.639999</v>
      </c>
      <c r="G727" s="9" t="n">
        <v>159.164215</v>
      </c>
      <c r="H727" s="9" t="n">
        <v>159.164215</v>
      </c>
      <c r="I727" s="2" t="str">
        <f aca="false">IF(COUNT(C727:F727)&lt;4,"",IF(OR(D727&lt;MAX(C727,F727)-0.000001,E727&gt;MIN(C727,F727)+0.000001),"FAIL","OK"))</f>
        <v>OK</v>
      </c>
      <c r="J727" s="10" t="n">
        <f aca="false">IF(COUNT(F727,G727)&lt;2,"",G727/F727)</f>
        <v>0.972648594308535</v>
      </c>
      <c r="K727" s="10" t="n">
        <f aca="false">H727/H726-1</f>
        <v>-0.0140386498631567</v>
      </c>
      <c r="L727" s="10" t="n">
        <f aca="false">H732/H727-1</f>
        <v>-0.0615376138411514</v>
      </c>
      <c r="M727" s="10" t="n">
        <f aca="false">IF(COUNT(B668:B727)&lt;60,"",(B727-AVERAGE(B668:B727))/STDEV(B668:B727))</f>
        <v>-1.13637281191702</v>
      </c>
      <c r="N727" s="10" t="n">
        <f aca="false">(H727-AVERAGE(H668:H727))/STDEV(H668:H727)</f>
        <v>-2.1084499899728</v>
      </c>
      <c r="O727" s="10" t="n">
        <f aca="false">IF(COUNT(B727)=0,"",B727-('Signal Analysis'!$C$6+'Signal Analysis'!$C$5*H727))</f>
        <v>-0.254065324062157</v>
      </c>
    </row>
    <row r="728" customFormat="false" ht="15" hidden="false" customHeight="false" outlineLevel="0" collapsed="false">
      <c r="A728" s="8" t="n">
        <v>43378</v>
      </c>
      <c r="B728" s="9" t="n">
        <v>18.3542755968</v>
      </c>
      <c r="C728" s="9" t="n">
        <v>163.75</v>
      </c>
      <c r="D728" s="9" t="n">
        <v>164.160004</v>
      </c>
      <c r="E728" s="9" t="n">
        <v>160.660004</v>
      </c>
      <c r="F728" s="9" t="n">
        <v>162.160004</v>
      </c>
      <c r="G728" s="9" t="n">
        <v>157.724701</v>
      </c>
      <c r="H728" s="9" t="n">
        <v>157.724701</v>
      </c>
      <c r="I728" s="2" t="str">
        <f aca="false">IF(COUNT(C728:F728)&lt;4,"",IF(OR(D728&lt;MAX(C728,F728)-0.000001,E728&gt;MIN(C728,F728)+0.000001),"FAIL","OK"))</f>
        <v>OK</v>
      </c>
      <c r="J728" s="10" t="n">
        <f aca="false">IF(COUNT(F728,G728)&lt;2,"",G728/F728)</f>
        <v>0.972648600822679</v>
      </c>
      <c r="K728" s="10" t="n">
        <f aca="false">H728/H727-1</f>
        <v>-0.00904420632489533</v>
      </c>
      <c r="L728" s="10" t="n">
        <f aca="false">H733/H728-1</f>
        <v>-0.0527874324516868</v>
      </c>
      <c r="M728" s="10" t="n">
        <f aca="false">IF(COUNT(B669:B728)&lt;60,"",(B728-AVERAGE(B669:B728))/STDEV(B669:B728))</f>
        <v>-2.71832686541474</v>
      </c>
      <c r="N728" s="10" t="n">
        <f aca="false">(H728-AVERAGE(H669:H728))/STDEV(H669:H728)</f>
        <v>-2.56915611875651</v>
      </c>
      <c r="O728" s="10" t="n">
        <f aca="false">IF(COUNT(B728)=0,"",B728-('Signal Analysis'!$C$6+'Signal Analysis'!$C$5*H728))</f>
        <v>-1.42351922045989</v>
      </c>
    </row>
    <row r="729" customFormat="false" ht="15" hidden="false" customHeight="false" outlineLevel="0" collapsed="false">
      <c r="A729" s="8" t="n">
        <v>43381</v>
      </c>
      <c r="B729" s="9" t="n">
        <v>20.36773134</v>
      </c>
      <c r="C729" s="9" t="n">
        <v>161.770004</v>
      </c>
      <c r="D729" s="9" t="n">
        <v>162.399994</v>
      </c>
      <c r="E729" s="9" t="n">
        <v>160.550003</v>
      </c>
      <c r="F729" s="9" t="n">
        <v>161.820007</v>
      </c>
      <c r="G729" s="9" t="n">
        <v>157.393982</v>
      </c>
      <c r="H729" s="9" t="n">
        <v>157.393982</v>
      </c>
      <c r="I729" s="2" t="str">
        <f aca="false">IF(COUNT(C729:F729)&lt;4,"",IF(OR(D729&lt;MAX(C729,F729)-0.000001,E729&gt;MIN(C729,F729)+0.000001),"FAIL","OK"))</f>
        <v>OK</v>
      </c>
      <c r="J729" s="10" t="n">
        <f aca="false">IF(COUNT(F729,G729)&lt;2,"",G729/F729)</f>
        <v>0.972648468616121</v>
      </c>
      <c r="K729" s="10" t="n">
        <f aca="false">H729/H728-1</f>
        <v>-0.00209681170991738</v>
      </c>
      <c r="L729" s="10" t="n">
        <f aca="false">H734/H729-1</f>
        <v>-0.0472746791551406</v>
      </c>
      <c r="M729" s="10" t="n">
        <f aca="false">IF(COUNT(B670:B729)&lt;60,"",(B729-AVERAGE(B670:B729))/STDEV(B670:B729))</f>
        <v>-0.241766014050485</v>
      </c>
      <c r="N729" s="10" t="n">
        <f aca="false">(H729-AVERAGE(H670:H729))/STDEV(H670:H729)</f>
        <v>-2.53016581036447</v>
      </c>
      <c r="O729" s="10" t="n">
        <f aca="false">IF(COUNT(B729)=0,"",B729-('Signal Analysis'!$C$6+'Signal Analysis'!$C$5*H729))</f>
        <v>0.635176377644459</v>
      </c>
    </row>
    <row r="730" customFormat="false" ht="15" hidden="false" customHeight="false" outlineLevel="0" collapsed="false">
      <c r="A730" s="8" t="n">
        <v>43382</v>
      </c>
      <c r="B730" s="9" t="n">
        <v>26.12487282288</v>
      </c>
      <c r="C730" s="9" t="n">
        <v>161.619995</v>
      </c>
      <c r="D730" s="9" t="n">
        <v>162.740005</v>
      </c>
      <c r="E730" s="9" t="n">
        <v>160.979996</v>
      </c>
      <c r="F730" s="9" t="n">
        <v>161.190002</v>
      </c>
      <c r="G730" s="9" t="n">
        <v>156.781219</v>
      </c>
      <c r="H730" s="9" t="n">
        <v>156.781219</v>
      </c>
      <c r="I730" s="2" t="str">
        <f aca="false">IF(COUNT(C730:F730)&lt;4,"",IF(OR(D730&lt;MAX(C730,F730)-0.000001,E730&gt;MIN(C730,F730)+0.000001),"FAIL","OK"))</f>
        <v>OK</v>
      </c>
      <c r="J730" s="10" t="n">
        <f aca="false">IF(COUNT(F730,G730)&lt;2,"",G730/F730)</f>
        <v>0.972648533126763</v>
      </c>
      <c r="K730" s="10" t="n">
        <f aca="false">H730/H729-1</f>
        <v>-0.00389317934659028</v>
      </c>
      <c r="L730" s="10" t="n">
        <f aca="false">H735/H730-1</f>
        <v>-0.0158196499288604</v>
      </c>
      <c r="M730" s="10" t="n">
        <f aca="false">IF(COUNT(B671:B730)&lt;60,"",(B730-AVERAGE(B671:B730))/STDEV(B671:B730))</f>
        <v>5.1001123123748</v>
      </c>
      <c r="N730" s="10" t="n">
        <f aca="false">(H730-AVERAGE(H671:H730))/STDEV(H671:H730)</f>
        <v>-2.59376173272879</v>
      </c>
      <c r="O730" s="10" t="n">
        <f aca="false">IF(COUNT(B730)=0,"",B730-('Signal Analysis'!$C$6+'Signal Analysis'!$C$5*H730))</f>
        <v>6.47613919891372</v>
      </c>
    </row>
    <row r="731" customFormat="false" ht="15" hidden="false" customHeight="false" outlineLevel="0" collapsed="false">
      <c r="A731" s="8" t="n">
        <v>43383</v>
      </c>
      <c r="B731" s="9" t="n">
        <v>19.7194771932</v>
      </c>
      <c r="C731" s="9" t="n">
        <v>160.820007</v>
      </c>
      <c r="D731" s="9" t="n">
        <v>160.990005</v>
      </c>
      <c r="E731" s="9" t="n">
        <v>156.360001</v>
      </c>
      <c r="F731" s="9" t="n">
        <v>156.559998</v>
      </c>
      <c r="G731" s="11" t="n">
        <v>152.277847</v>
      </c>
      <c r="H731" s="9" t="n">
        <v>152.277847</v>
      </c>
      <c r="I731" s="2" t="str">
        <f aca="false">IF(COUNT(C731:F731)&lt;4,"",IF(OR(D731&lt;MAX(C731,F731)-0.000001,E731&gt;MIN(C731,F731)+0.000001),"FAIL","OK"))</f>
        <v>OK</v>
      </c>
      <c r="J731" s="10" t="n">
        <f aca="false">IF(COUNT(F731,G731)&lt;2,"",G731/F731)</f>
        <v>0.972648498628622</v>
      </c>
      <c r="K731" s="10" t="n">
        <f aca="false">H731/H730-1</f>
        <v>-0.0287239251533055</v>
      </c>
      <c r="L731" s="10" t="n">
        <f aca="false">H736/H731-1</f>
        <v>0.00894237098059292</v>
      </c>
      <c r="M731" s="10" t="n">
        <f aca="false">IF(COUNT(B672:B731)&lt;60,"",(B731-AVERAGE(B672:B731))/STDEV(B672:B731))</f>
        <v>-0.852446996796055</v>
      </c>
      <c r="N731" s="10" t="n">
        <f aca="false">(H731-AVERAGE(H672:H731))/STDEV(H672:H731)</f>
        <v>-3.71998312970103</v>
      </c>
      <c r="O731" s="10" t="n">
        <f aca="false">IF(COUNT(B731)=0,"",B731-('Signal Analysis'!$C$6+'Signal Analysis'!$C$5*H731))</f>
        <v>0.686770758056667</v>
      </c>
    </row>
    <row r="732" customFormat="false" ht="15" hidden="false" customHeight="false" outlineLevel="0" collapsed="false">
      <c r="A732" s="8" t="n">
        <v>43384</v>
      </c>
      <c r="B732" s="9" t="n">
        <v>18.79483914</v>
      </c>
      <c r="C732" s="9" t="n">
        <v>155.809998</v>
      </c>
      <c r="D732" s="9" t="n">
        <v>157.320007</v>
      </c>
      <c r="E732" s="9" t="n">
        <v>153.509995</v>
      </c>
      <c r="F732" s="9" t="n">
        <v>153.570007</v>
      </c>
      <c r="G732" s="9" t="n">
        <v>149.369629</v>
      </c>
      <c r="H732" s="9" t="n">
        <v>149.369629</v>
      </c>
      <c r="I732" s="2" t="str">
        <f aca="false">IF(COUNT(C732:F732)&lt;4,"",IF(OR(D732&lt;MAX(C732,F732)-0.000001,E732&gt;MIN(C732,F732)+0.000001),"FAIL","OK"))</f>
        <v>OK</v>
      </c>
      <c r="J732" s="10" t="n">
        <f aca="false">IF(COUNT(F732,G732)&lt;2,"",G732/F732)</f>
        <v>0.972648448209031</v>
      </c>
      <c r="K732" s="10" t="n">
        <f aca="false">H732/H731-1</f>
        <v>-0.0190981029564991</v>
      </c>
      <c r="L732" s="10" t="n">
        <f aca="false">H737/H732-1</f>
        <v>0.00931179925471981</v>
      </c>
      <c r="M732" s="10" t="n">
        <f aca="false">IF(COUNT(B673:B732)&lt;60,"",(B732-AVERAGE(B673:B732))/STDEV(B673:B732))</f>
        <v>-1.65026054449765</v>
      </c>
      <c r="N732" s="10" t="n">
        <f aca="false">(H732-AVERAGE(H673:H732))/STDEV(H673:H732)</f>
        <v>-3.95037452138321</v>
      </c>
      <c r="O732" s="10" t="n">
        <f aca="false">IF(COUNT(B732)=0,"",B732-('Signal Analysis'!$C$6+'Signal Analysis'!$C$5*H732))</f>
        <v>0.159954905426439</v>
      </c>
    </row>
    <row r="733" customFormat="false" ht="15" hidden="false" customHeight="false" outlineLevel="0" collapsed="false">
      <c r="A733" s="8" t="n">
        <v>43385</v>
      </c>
      <c r="B733" s="9" t="n">
        <v>18.2185552944</v>
      </c>
      <c r="C733" s="9" t="n">
        <v>155.559998</v>
      </c>
      <c r="D733" s="9" t="n">
        <v>155.759995</v>
      </c>
      <c r="E733" s="9" t="n">
        <v>151.889999</v>
      </c>
      <c r="F733" s="9" t="n">
        <v>153.600006</v>
      </c>
      <c r="G733" s="9" t="n">
        <v>149.398819</v>
      </c>
      <c r="H733" s="9" t="n">
        <v>149.398819</v>
      </c>
      <c r="I733" s="2" t="str">
        <f aca="false">IF(COUNT(C733:F733)&lt;4,"",IF(OR(D733&lt;MAX(C733,F733)-0.000001,E733&gt;MIN(C733,F733)+0.000001),"FAIL","OK"))</f>
        <v>OK</v>
      </c>
      <c r="J733" s="10" t="n">
        <f aca="false">IF(COUNT(F733,G733)&lt;2,"",G733/F733)</f>
        <v>0.972648523203834</v>
      </c>
      <c r="K733" s="10" t="n">
        <f aca="false">H733/H732-1</f>
        <v>0.000195421252602745</v>
      </c>
      <c r="L733" s="10" t="n">
        <f aca="false">H738/H733-1</f>
        <v>-0.0015624554568936</v>
      </c>
      <c r="M733" s="10" t="n">
        <f aca="false">IF(COUNT(B674:B733)&lt;60,"",(B733-AVERAGE(B674:B733))/STDEV(B674:B733))</f>
        <v>-2.06261764631807</v>
      </c>
      <c r="N733" s="10" t="n">
        <f aca="false">(H733-AVERAGE(H674:H733))/STDEV(H674:H733)</f>
        <v>-3.45321521965685</v>
      </c>
      <c r="O733" s="10" t="n">
        <f aca="false">IF(COUNT(B733)=0,"",B733-('Signal Analysis'!$C$6+'Signal Analysis'!$C$5*H733))</f>
        <v>-0.420321911138814</v>
      </c>
    </row>
    <row r="734" customFormat="false" ht="15" hidden="false" customHeight="false" outlineLevel="0" collapsed="false">
      <c r="A734" s="8" t="n">
        <v>43388</v>
      </c>
      <c r="B734" s="9" t="n">
        <v>18.2324692332</v>
      </c>
      <c r="C734" s="9" t="n">
        <v>153.360001</v>
      </c>
      <c r="D734" s="9" t="n">
        <v>155.289993</v>
      </c>
      <c r="E734" s="9" t="n">
        <v>152.539993</v>
      </c>
      <c r="F734" s="9" t="n">
        <v>154.169998</v>
      </c>
      <c r="G734" s="9" t="n">
        <v>149.953232</v>
      </c>
      <c r="H734" s="9" t="n">
        <v>149.953232</v>
      </c>
      <c r="I734" s="2" t="str">
        <f aca="false">IF(COUNT(C734:F734)&lt;4,"",IF(OR(D734&lt;MAX(C734,F734)-0.000001,E734&gt;MIN(C734,F734)+0.000001),"FAIL","OK"))</f>
        <v>OK</v>
      </c>
      <c r="J734" s="10" t="n">
        <f aca="false">IF(COUNT(F734,G734)&lt;2,"",G734/F734)</f>
        <v>0.972648595351218</v>
      </c>
      <c r="K734" s="10" t="n">
        <f aca="false">H734/H733-1</f>
        <v>0.00371095972318236</v>
      </c>
      <c r="L734" s="10" t="n">
        <f aca="false">H739/H734-1</f>
        <v>-0.00739447883324063</v>
      </c>
      <c r="M734" s="10" t="n">
        <f aca="false">IF(COUNT(B675:B734)&lt;60,"",(B734-AVERAGE(B675:B734))/STDEV(B675:B734))</f>
        <v>-1.95436698510296</v>
      </c>
      <c r="N734" s="10" t="n">
        <f aca="false">(H734-AVERAGE(H675:H734))/STDEV(H675:H734)</f>
        <v>-2.99269091424527</v>
      </c>
      <c r="O734" s="10" t="n">
        <f aca="false">IF(COUNT(B734)=0,"",B734-('Signal Analysis'!$C$6+'Signal Analysis'!$C$5*H734))</f>
        <v>-0.4822474725704</v>
      </c>
    </row>
    <row r="735" customFormat="false" ht="15" hidden="false" customHeight="false" outlineLevel="0" collapsed="false">
      <c r="A735" s="8" t="n">
        <v>43389</v>
      </c>
      <c r="B735" s="9" t="n">
        <v>18.738463128</v>
      </c>
      <c r="C735" s="9" t="n">
        <v>155.279999</v>
      </c>
      <c r="D735" s="9" t="n">
        <v>158.860001</v>
      </c>
      <c r="E735" s="9" t="n">
        <v>154.039993</v>
      </c>
      <c r="F735" s="9" t="n">
        <v>158.639999</v>
      </c>
      <c r="G735" s="9" t="n">
        <v>154.300995</v>
      </c>
      <c r="H735" s="9" t="n">
        <v>154.300995</v>
      </c>
      <c r="I735" s="2" t="str">
        <f aca="false">IF(COUNT(C735:F735)&lt;4,"",IF(OR(D735&lt;MAX(C735,F735)-0.000001,E735&gt;MIN(C735,F735)+0.000001),"FAIL","OK"))</f>
        <v>OK</v>
      </c>
      <c r="J735" s="10" t="n">
        <f aca="false">IF(COUNT(F735,G735)&lt;2,"",G735/F735)</f>
        <v>0.972648739111503</v>
      </c>
      <c r="K735" s="10" t="n">
        <f aca="false">H735/H734-1</f>
        <v>0.0289941266487672</v>
      </c>
      <c r="L735" s="10" t="n">
        <f aca="false">H740/H735-1</f>
        <v>-0.043999120031598</v>
      </c>
      <c r="M735" s="10" t="n">
        <f aca="false">IF(COUNT(B676:B735)&lt;60,"",(B735-AVERAGE(B676:B735))/STDEV(B676:B735))</f>
        <v>-1.47576133328559</v>
      </c>
      <c r="N735" s="10" t="n">
        <f aca="false">(H735-AVERAGE(H676:H735))/STDEV(H676:H735)</f>
        <v>-1.87439599824163</v>
      </c>
      <c r="O735" s="10" t="n">
        <f aca="false">IF(COUNT(B735)=0,"",B735-('Signal Analysis'!$C$6+'Signal Analysis'!$C$5*H735))</f>
        <v>-0.570994633707688</v>
      </c>
    </row>
    <row r="736" customFormat="false" ht="15" hidden="false" customHeight="false" outlineLevel="0" collapsed="false">
      <c r="A736" s="8" t="n">
        <v>43390</v>
      </c>
      <c r="B736" s="9" t="n">
        <v>19.144173312</v>
      </c>
      <c r="C736" s="9" t="n">
        <v>158.179993</v>
      </c>
      <c r="D736" s="9" t="n">
        <v>158.220001</v>
      </c>
      <c r="E736" s="9" t="n">
        <v>155.889999</v>
      </c>
      <c r="F736" s="9" t="n">
        <v>157.960007</v>
      </c>
      <c r="G736" s="9" t="n">
        <v>153.639572</v>
      </c>
      <c r="H736" s="9" t="n">
        <v>153.639572</v>
      </c>
      <c r="I736" s="2" t="str">
        <f aca="false">IF(COUNT(C736:F736)&lt;4,"",IF(OR(D736&lt;MAX(C736,F736)-0.000001,E736&gt;MIN(C736,F736)+0.000001),"FAIL","OK"))</f>
        <v>OK</v>
      </c>
      <c r="J736" s="10" t="n">
        <f aca="false">IF(COUNT(F736,G736)&lt;2,"",G736/F736)</f>
        <v>0.97264855147797</v>
      </c>
      <c r="K736" s="10" t="n">
        <f aca="false">H736/H735-1</f>
        <v>-0.0042865763762574</v>
      </c>
      <c r="L736" s="10" t="n">
        <f aca="false">H741/H736-1</f>
        <v>-0.0760319613491242</v>
      </c>
      <c r="M736" s="10" t="n">
        <f aca="false">IF(COUNT(B677:B736)&lt;60,"",(B736-AVERAGE(B677:B736))/STDEV(B677:B736))</f>
        <v>-1.10355533295796</v>
      </c>
      <c r="N736" s="10" t="n">
        <f aca="false">(H736-AVERAGE(H677:H736))/STDEV(H677:H736)</f>
        <v>-1.92923304702311</v>
      </c>
      <c r="O736" s="10" t="n">
        <f aca="false">IF(COUNT(B736)=0,"",B736-('Signal Analysis'!$C$6+'Signal Analysis'!$C$5*H736))</f>
        <v>-0.0748067917853916</v>
      </c>
    </row>
    <row r="737" customFormat="false" ht="15" hidden="false" customHeight="false" outlineLevel="0" collapsed="false">
      <c r="A737" s="8" t="n">
        <v>43391</v>
      </c>
      <c r="B737" s="9" t="n">
        <v>17.7299519268</v>
      </c>
      <c r="C737" s="9" t="n">
        <v>157.410004</v>
      </c>
      <c r="D737" s="9" t="n">
        <v>157.630005</v>
      </c>
      <c r="E737" s="9" t="n">
        <v>154.369995</v>
      </c>
      <c r="F737" s="9" t="n">
        <v>155</v>
      </c>
      <c r="G737" s="9" t="n">
        <v>150.760529</v>
      </c>
      <c r="H737" s="9" t="n">
        <v>150.760529</v>
      </c>
      <c r="I737" s="2" t="str">
        <f aca="false">IF(COUNT(C737:F737)&lt;4,"",IF(OR(D737&lt;MAX(C737,F737)-0.000001,E737&gt;MIN(C737,F737)+0.000001),"FAIL","OK"))</f>
        <v>OK</v>
      </c>
      <c r="J737" s="10" t="n">
        <f aca="false">IF(COUNT(F737,G737)&lt;2,"",G737/F737)</f>
        <v>0.972648574193548</v>
      </c>
      <c r="K737" s="10" t="n">
        <f aca="false">H737/H736-1</f>
        <v>-0.0187389418137666</v>
      </c>
      <c r="L737" s="10" t="n">
        <f aca="false">H742/H737-1</f>
        <v>-0.0380000855528968</v>
      </c>
      <c r="M737" s="10" t="n">
        <f aca="false">IF(COUNT(B678:B737)&lt;60,"",(B737-AVERAGE(B678:B737))/STDEV(B678:B737))</f>
        <v>-2.14515764191289</v>
      </c>
      <c r="N737" s="10" t="n">
        <f aca="false">(H737-AVERAGE(H678:H737))/STDEV(H678:H737)</f>
        <v>-2.39392317781756</v>
      </c>
      <c r="O737" s="10" t="n">
        <f aca="false">IF(COUNT(B737)=0,"",B737-('Signal Analysis'!$C$6+'Signal Analysis'!$C$5*H737))</f>
        <v>-1.09519689549446</v>
      </c>
    </row>
    <row r="738" customFormat="false" ht="15" hidden="false" customHeight="false" outlineLevel="0" collapsed="false">
      <c r="A738" s="8" t="n">
        <v>43392</v>
      </c>
      <c r="B738" s="9" t="n">
        <v>17.4613846104</v>
      </c>
      <c r="C738" s="9" t="n">
        <v>155.470001</v>
      </c>
      <c r="D738" s="9" t="n">
        <v>156.360001</v>
      </c>
      <c r="E738" s="11" t="n">
        <v>153.360001</v>
      </c>
      <c r="F738" s="9" t="n">
        <v>153.360001</v>
      </c>
      <c r="G738" s="9" t="n">
        <v>149.16539</v>
      </c>
      <c r="H738" s="9" t="n">
        <v>149.16539</v>
      </c>
      <c r="I738" s="2" t="str">
        <f aca="false">IF(COUNT(C738:F738)&lt;4,"",IF(OR(D738&lt;MAX(C738,F738)-0.000001,E738&gt;MIN(C738,F738)+0.000001),"FAIL","OK"))</f>
        <v>OK</v>
      </c>
      <c r="J738" s="10" t="n">
        <f aca="false">IF(COUNT(F738,G738)&lt;2,"",G738/F738)</f>
        <v>0.972648598248249</v>
      </c>
      <c r="K738" s="10" t="n">
        <f aca="false">H738/H737-1</f>
        <v>-0.0105806142402166</v>
      </c>
      <c r="L738" s="10" t="n">
        <f aca="false">H743/H738-1</f>
        <v>-0.0383411795457378</v>
      </c>
      <c r="M738" s="10" t="n">
        <f aca="false">IF(COUNT(B679:B738)&lt;60,"",(B738-AVERAGE(B679:B738))/STDEV(B679:B738))</f>
        <v>-2.21544411437071</v>
      </c>
      <c r="N738" s="10" t="n">
        <f aca="false">(H738-AVERAGE(H679:H738))/STDEV(H679:H738)</f>
        <v>-2.52813191324189</v>
      </c>
      <c r="O738" s="10" t="n">
        <f aca="false">IF(COUNT(B738)=0,"",B738-('Signal Analysis'!$C$6+'Signal Analysis'!$C$5*H738))</f>
        <v>-1.1455612755277</v>
      </c>
    </row>
    <row r="739" customFormat="false" ht="15" hidden="false" customHeight="false" outlineLevel="0" collapsed="false">
      <c r="A739" s="8" t="n">
        <v>43395</v>
      </c>
      <c r="B739" s="9" t="n">
        <v>17.47616088</v>
      </c>
      <c r="C739" s="9" t="n">
        <v>153.919998</v>
      </c>
      <c r="D739" s="9" t="n">
        <v>154.449997</v>
      </c>
      <c r="E739" s="9" t="n">
        <v>152.520004</v>
      </c>
      <c r="F739" s="9" t="n">
        <v>153.029999</v>
      </c>
      <c r="G739" s="9" t="n">
        <v>148.844406</v>
      </c>
      <c r="H739" s="9" t="n">
        <v>148.844406</v>
      </c>
      <c r="I739" s="2" t="str">
        <f aca="false">IF(COUNT(C739:F739)&lt;4,"",IF(OR(D739&lt;MAX(C739,F739)-0.000001,E739&gt;MIN(C739,F739)+0.000001),"FAIL","OK"))</f>
        <v>OK</v>
      </c>
      <c r="J739" s="10" t="n">
        <f aca="false">IF(COUNT(F739,G739)&lt;2,"",G739/F739)</f>
        <v>0.972648545857992</v>
      </c>
      <c r="K739" s="10" t="n">
        <f aca="false">H739/H738-1</f>
        <v>-0.00215186646178456</v>
      </c>
      <c r="L739" s="10" t="n">
        <f aca="false">H744/H739-1</f>
        <v>-0.0415604130933883</v>
      </c>
      <c r="M739" s="10" t="n">
        <f aca="false">IF(COUNT(B680:B739)&lt;60,"",(B739-AVERAGE(B680:B739))/STDEV(B680:B739))</f>
        <v>-2.08248548043293</v>
      </c>
      <c r="N739" s="10" t="n">
        <f aca="false">(H739-AVERAGE(H680:H739))/STDEV(H680:H739)</f>
        <v>-2.42329348638847</v>
      </c>
      <c r="O739" s="10" t="n">
        <f aca="false">IF(COUNT(B739)=0,"",B739-('Signal Analysis'!$C$6+'Signal Analysis'!$C$5*H739))</f>
        <v>-1.08687682530723</v>
      </c>
    </row>
    <row r="740" customFormat="false" ht="15" hidden="false" customHeight="false" outlineLevel="0" collapsed="false">
      <c r="A740" s="8" t="n">
        <v>43396</v>
      </c>
      <c r="B740" s="9" t="n">
        <v>18.0365095908</v>
      </c>
      <c r="C740" s="9" t="n">
        <v>150.929993</v>
      </c>
      <c r="D740" s="9" t="n">
        <v>152.889999</v>
      </c>
      <c r="E740" s="9" t="n">
        <v>148.919998</v>
      </c>
      <c r="F740" s="9" t="n">
        <v>151.660004</v>
      </c>
      <c r="G740" s="9" t="n">
        <v>147.511887</v>
      </c>
      <c r="H740" s="9" t="n">
        <v>147.511887</v>
      </c>
      <c r="I740" s="2" t="str">
        <f aca="false">IF(COUNT(C740:F740)&lt;4,"",IF(OR(D740&lt;MAX(C740,F740)-0.000001,E740&gt;MIN(C740,F740)+0.000001),"FAIL","OK"))</f>
        <v>OK</v>
      </c>
      <c r="J740" s="10" t="n">
        <f aca="false">IF(COUNT(F740,G740)&lt;2,"",G740/F740)</f>
        <v>0.97264857648296</v>
      </c>
      <c r="K740" s="10" t="n">
        <f aca="false">H740/H739-1</f>
        <v>-0.00895242915612149</v>
      </c>
      <c r="L740" s="10" t="n">
        <f aca="false">H745/H740-1</f>
        <v>-0.0127258422231424</v>
      </c>
      <c r="M740" s="10" t="n">
        <f aca="false">IF(COUNT(B681:B740)&lt;60,"",(B740-AVERAGE(B681:B740))/STDEV(B681:B740))</f>
        <v>-1.60466339229577</v>
      </c>
      <c r="N740" s="10" t="n">
        <f aca="false">(H740-AVERAGE(H681:H740))/STDEV(H681:H740)</f>
        <v>-2.49565482255056</v>
      </c>
      <c r="O740" s="10" t="n">
        <f aca="false">IF(COUNT(B740)=0,"",B740-('Signal Analysis'!$C$6+'Signal Analysis'!$C$5*H740))</f>
        <v>-0.344249605509273</v>
      </c>
    </row>
    <row r="741" customFormat="false" ht="15" hidden="false" customHeight="false" outlineLevel="0" collapsed="false">
      <c r="A741" s="8" t="n">
        <v>43397</v>
      </c>
      <c r="B741" s="9" t="n">
        <v>18.2733174216</v>
      </c>
      <c r="C741" s="9" t="n">
        <v>151.429993</v>
      </c>
      <c r="D741" s="9" t="n">
        <v>151.979996</v>
      </c>
      <c r="E741" s="9" t="n">
        <v>145.820007</v>
      </c>
      <c r="F741" s="9" t="n">
        <v>145.949997</v>
      </c>
      <c r="G741" s="9" t="n">
        <v>141.958054</v>
      </c>
      <c r="H741" s="9" t="n">
        <v>141.958054</v>
      </c>
      <c r="I741" s="2" t="str">
        <f aca="false">IF(COUNT(C741:F741)&lt;4,"",IF(OR(D741&lt;MAX(C741,F741)-0.000001,E741&gt;MIN(C741,F741)+0.000001),"FAIL","OK"))</f>
        <v>OK</v>
      </c>
      <c r="J741" s="10" t="n">
        <f aca="false">IF(COUNT(F741,G741)&lt;2,"",G741/F741)</f>
        <v>0.97264855716304</v>
      </c>
      <c r="K741" s="10" t="n">
        <f aca="false">H741/H740-1</f>
        <v>-0.0376500708719155</v>
      </c>
      <c r="L741" s="10" t="n">
        <f aca="false">H746/H741-1</f>
        <v>0.0279547295005891</v>
      </c>
      <c r="M741" s="10" t="n">
        <f aca="false">IF(COUNT(B682:B741)&lt;60,"",(B741-AVERAGE(B682:B741))/STDEV(B682:B741))</f>
        <v>-1.39662461016066</v>
      </c>
      <c r="N741" s="10" t="n">
        <f aca="false">(H741-AVERAGE(H682:H741))/STDEV(H682:H741)</f>
        <v>-3.12499953981891</v>
      </c>
      <c r="O741" s="10" t="n">
        <f aca="false">IF(COUNT(B741)=0,"",B741-('Signal Analysis'!$C$6+'Signal Analysis'!$C$5*H741))</f>
        <v>0.652280524532745</v>
      </c>
    </row>
    <row r="742" customFormat="false" ht="15" hidden="false" customHeight="false" outlineLevel="0" collapsed="false">
      <c r="A742" s="8" t="n">
        <v>43398</v>
      </c>
      <c r="B742" s="9" t="n">
        <v>19.771999104</v>
      </c>
      <c r="C742" s="9" t="n">
        <v>146.729996</v>
      </c>
      <c r="D742" s="9" t="n">
        <v>149.820007</v>
      </c>
      <c r="E742" s="9" t="n">
        <v>146.410004</v>
      </c>
      <c r="F742" s="9" t="n">
        <v>149.110001</v>
      </c>
      <c r="G742" s="9" t="n">
        <v>145.031616</v>
      </c>
      <c r="H742" s="9" t="n">
        <v>145.031616</v>
      </c>
      <c r="I742" s="2" t="str">
        <f aca="false">IF(COUNT(C742:F742)&lt;4,"",IF(OR(D742&lt;MAX(C742,F742)-0.000001,E742&gt;MIN(C742,F742)+0.000001),"FAIL","OK"))</f>
        <v>OK</v>
      </c>
      <c r="J742" s="10" t="n">
        <f aca="false">IF(COUNT(F742,G742)&lt;2,"",G742/F742)</f>
        <v>0.972648481170623</v>
      </c>
      <c r="K742" s="10" t="n">
        <f aca="false">H742/H741-1</f>
        <v>0.0216511984589476</v>
      </c>
      <c r="L742" s="10" t="n">
        <f aca="false">H747/H742-1</f>
        <v>0.0293742365802501</v>
      </c>
      <c r="M742" s="10" t="n">
        <f aca="false">IF(COUNT(B683:B742)&lt;60,"",(B742-AVERAGE(B683:B742))/STDEV(B683:B742))</f>
        <v>-0.329983712775679</v>
      </c>
      <c r="N742" s="10" t="n">
        <f aca="false">(H742-AVERAGE(H683:H742))/STDEV(H683:H742)</f>
        <v>-2.44742656549451</v>
      </c>
      <c r="O742" s="10" t="n">
        <f aca="false">IF(COUNT(B742)=0,"",B742-('Signal Analysis'!$C$6+'Signal Analysis'!$C$5*H742))</f>
        <v>1.73052219919342</v>
      </c>
    </row>
    <row r="743" customFormat="false" ht="15" hidden="false" customHeight="false" outlineLevel="0" collapsed="false">
      <c r="A743" s="8" t="n">
        <v>43399</v>
      </c>
      <c r="B743" s="9" t="n">
        <v>18.3197497392</v>
      </c>
      <c r="C743" s="9" t="n">
        <v>147.539993</v>
      </c>
      <c r="D743" s="9" t="n">
        <v>149.419998</v>
      </c>
      <c r="E743" s="9" t="n">
        <v>144.699997</v>
      </c>
      <c r="F743" s="9" t="n">
        <v>147.479996</v>
      </c>
      <c r="G743" s="9" t="n">
        <v>143.446213</v>
      </c>
      <c r="H743" s="9" t="n">
        <v>143.446213</v>
      </c>
      <c r="I743" s="2" t="str">
        <f aca="false">IF(COUNT(C743:F743)&lt;4,"",IF(OR(D743&lt;MAX(C743,F743)-0.000001,E743&gt;MIN(C743,F743)+0.000001),"FAIL","OK"))</f>
        <v>OK</v>
      </c>
      <c r="J743" s="10" t="n">
        <f aca="false">IF(COUNT(F743,G743)&lt;2,"",G743/F743)</f>
        <v>0.972648609239181</v>
      </c>
      <c r="K743" s="10" t="n">
        <f aca="false">H743/H742-1</f>
        <v>-0.0109314302889655</v>
      </c>
      <c r="L743" s="10" t="n">
        <f aca="false">H748/H743-1</f>
        <v>0.0442093162821942</v>
      </c>
      <c r="M743" s="10" t="n">
        <f aca="false">IF(COUNT(B684:B743)&lt;60,"",(B743-AVERAGE(B684:B743))/STDEV(B684:B743))</f>
        <v>-1.3036280827205</v>
      </c>
      <c r="N743" s="10" t="n">
        <f aca="false">(H743-AVERAGE(H684:H743))/STDEV(H684:H743)</f>
        <v>-2.49767767060553</v>
      </c>
      <c r="O743" s="10" t="n">
        <f aca="false">IF(COUNT(B743)=0,"",B743-('Signal Analysis'!$C$6+'Signal Analysis'!$C$5*H743))</f>
        <v>0.495143959683865</v>
      </c>
    </row>
    <row r="744" customFormat="false" ht="15" hidden="false" customHeight="false" outlineLevel="0" collapsed="false">
      <c r="A744" s="8" t="n">
        <v>43402</v>
      </c>
      <c r="B744" s="9" t="n">
        <v>19.673674434</v>
      </c>
      <c r="C744" s="9" t="n">
        <v>149.130005</v>
      </c>
      <c r="D744" s="9" t="n">
        <v>150.630005</v>
      </c>
      <c r="E744" s="9" t="n">
        <v>145.070007</v>
      </c>
      <c r="F744" s="9" t="n">
        <v>146.669998</v>
      </c>
      <c r="G744" s="9" t="n">
        <v>142.658371</v>
      </c>
      <c r="H744" s="9" t="n">
        <v>142.658371</v>
      </c>
      <c r="I744" s="2" t="str">
        <f aca="false">IF(COUNT(C744:F744)&lt;4,"",IF(OR(D744&lt;MAX(C744,F744)-0.000001,E744&gt;MIN(C744,F744)+0.000001),"FAIL","OK"))</f>
        <v>OK</v>
      </c>
      <c r="J744" s="10" t="n">
        <f aca="false">IF(COUNT(F744,G744)&lt;2,"",G744/F744)</f>
        <v>0.972648618976595</v>
      </c>
      <c r="K744" s="10" t="n">
        <f aca="false">H744/H743-1</f>
        <v>-0.0054922467698747</v>
      </c>
      <c r="L744" s="10" t="n">
        <f aca="false">H749/H744-1</f>
        <v>0.0491579074599136</v>
      </c>
      <c r="M744" s="10" t="n">
        <f aca="false">IF(COUNT(B685:B744)&lt;60,"",(B744-AVERAGE(B685:B744))/STDEV(B685:B744))</f>
        <v>-0.344922115261744</v>
      </c>
      <c r="N744" s="10" t="n">
        <f aca="false">(H744-AVERAGE(H685:H744))/STDEV(H685:H744)</f>
        <v>-2.43244379253164</v>
      </c>
      <c r="O744" s="10" t="n">
        <f aca="false">IF(COUNT(B744)=0,"",B744-('Signal Analysis'!$C$6+'Signal Analysis'!$C$5*H744))</f>
        <v>1.95683947432656</v>
      </c>
    </row>
    <row r="745" customFormat="false" ht="15" hidden="false" customHeight="false" outlineLevel="0" collapsed="false">
      <c r="A745" s="8" t="n">
        <v>43403</v>
      </c>
      <c r="B745" s="9" t="n">
        <v>20.20981116</v>
      </c>
      <c r="C745" s="9" t="n">
        <v>146.850006</v>
      </c>
      <c r="D745" s="9" t="n">
        <v>149.889999</v>
      </c>
      <c r="E745" s="9" t="n">
        <v>146.559998</v>
      </c>
      <c r="F745" s="9" t="n">
        <v>149.729996</v>
      </c>
      <c r="G745" s="9" t="n">
        <v>145.634674</v>
      </c>
      <c r="H745" s="9" t="n">
        <v>145.634674</v>
      </c>
      <c r="I745" s="2" t="str">
        <f aca="false">IF(COUNT(C745:F745)&lt;4,"",IF(OR(D745&lt;MAX(C745,F745)-0.000001,E745&gt;MIN(C745,F745)+0.000001),"FAIL","OK"))</f>
        <v>OK</v>
      </c>
      <c r="J745" s="10" t="n">
        <f aca="false">IF(COUNT(F745,G745)&lt;2,"",G745/F745)</f>
        <v>0.97264862012018</v>
      </c>
      <c r="K745" s="10" t="n">
        <f aca="false">H745/H744-1</f>
        <v>0.0208631500495684</v>
      </c>
      <c r="L745" s="10" t="n">
        <f aca="false">H750/H745-1</f>
        <v>0.0327921975504268</v>
      </c>
      <c r="M745" s="10" t="n">
        <f aca="false">IF(COUNT(B686:B745)&lt;60,"",(B745-AVERAGE(B686:B745))/STDEV(B686:B745))</f>
        <v>0.0266101007529007</v>
      </c>
      <c r="N745" s="10" t="n">
        <f aca="false">(H745-AVERAGE(H686:H745))/STDEV(H686:H745)</f>
        <v>-1.9221731615765</v>
      </c>
      <c r="O745" s="10" t="n">
        <f aca="false">IF(COUNT(B745)=0,"",B745-('Signal Analysis'!$C$6+'Signal Analysis'!$C$5*H745))</f>
        <v>2.08584048731522</v>
      </c>
    </row>
    <row r="746" customFormat="false" ht="15" hidden="false" customHeight="false" outlineLevel="0" collapsed="false">
      <c r="A746" s="8" t="n">
        <v>43404</v>
      </c>
      <c r="B746" s="9" t="n">
        <v>19.0564721568</v>
      </c>
      <c r="C746" s="9" t="n">
        <v>151.259995</v>
      </c>
      <c r="D746" s="9" t="n">
        <v>151.860001</v>
      </c>
      <c r="E746" s="9" t="n">
        <v>150.029999</v>
      </c>
      <c r="F746" s="9" t="n">
        <v>150.029999</v>
      </c>
      <c r="G746" s="9" t="n">
        <v>145.926453</v>
      </c>
      <c r="H746" s="9" t="n">
        <v>145.926453</v>
      </c>
      <c r="I746" s="2" t="str">
        <f aca="false">IF(COUNT(C746:F746)&lt;4,"",IF(OR(D746&lt;MAX(C746,F746)-0.000001,E746&gt;MIN(C746,F746)+0.000001),"FAIL","OK"))</f>
        <v>OK</v>
      </c>
      <c r="J746" s="10" t="n">
        <f aca="false">IF(COUNT(F746,G746)&lt;2,"",G746/F746)</f>
        <v>0.972648496784966</v>
      </c>
      <c r="K746" s="10" t="n">
        <f aca="false">H746/H745-1</f>
        <v>0.00200349952374679</v>
      </c>
      <c r="L746" s="10" t="n">
        <f aca="false">H751/H746-1</f>
        <v>0.049190375373545</v>
      </c>
      <c r="M746" s="10" t="n">
        <f aca="false">IF(COUNT(B687:B746)&lt;60,"",(B746-AVERAGE(B687:B746))/STDEV(B687:B746))</f>
        <v>-0.754102614662302</v>
      </c>
      <c r="N746" s="10" t="n">
        <f aca="false">(H746-AVERAGE(H687:H746))/STDEV(H687:H746)</f>
        <v>-1.79597849766875</v>
      </c>
      <c r="O746" s="10" t="n">
        <f aca="false">IF(COUNT(B746)=0,"",B746-('Signal Analysis'!$C$6+'Signal Analysis'!$C$5*H746))</f>
        <v>0.892588326346431</v>
      </c>
    </row>
    <row r="747" customFormat="false" ht="15" hidden="false" customHeight="false" outlineLevel="0" collapsed="false">
      <c r="A747" s="8" t="n">
        <v>43405</v>
      </c>
      <c r="B747" s="9" t="n">
        <v>18.7032364896</v>
      </c>
      <c r="C747" s="9" t="n">
        <v>150.889999</v>
      </c>
      <c r="D747" s="9" t="n">
        <v>153.770004</v>
      </c>
      <c r="E747" s="9" t="n">
        <v>150.809998</v>
      </c>
      <c r="F747" s="9" t="n">
        <v>153.490005</v>
      </c>
      <c r="G747" s="9" t="n">
        <v>149.291809</v>
      </c>
      <c r="H747" s="9" t="n">
        <v>149.291809</v>
      </c>
      <c r="I747" s="2" t="str">
        <f aca="false">IF(COUNT(C747:F747)&lt;4,"",IF(OR(D747&lt;MAX(C747,F747)-0.000001,E747&gt;MIN(C747,F747)+0.000001),"FAIL","OK"))</f>
        <v>OK</v>
      </c>
      <c r="J747" s="10" t="n">
        <f aca="false">IF(COUNT(F747,G747)&lt;2,"",G747/F747)</f>
        <v>0.972648407953339</v>
      </c>
      <c r="K747" s="10" t="n">
        <f aca="false">H747/H746-1</f>
        <v>0.0230620009656508</v>
      </c>
      <c r="L747" s="10" t="n">
        <f aca="false">H752/H747-1</f>
        <v>0.0228028719244737</v>
      </c>
      <c r="M747" s="10" t="n">
        <f aca="false">IF(COUNT(B688:B747)&lt;60,"",(B747-AVERAGE(B688:B747))/STDEV(B688:B747))</f>
        <v>-0.972119774887034</v>
      </c>
      <c r="N747" s="10" t="n">
        <f aca="false">(H747-AVERAGE(H688:H747))/STDEV(H688:H747)</f>
        <v>-1.31324255180756</v>
      </c>
      <c r="O747" s="10" t="n">
        <f aca="false">IF(COUNT(B747)=0,"",B747-('Signal Analysis'!$C$6+'Signal Analysis'!$C$5*H747))</f>
        <v>0.0789974417518984</v>
      </c>
    </row>
    <row r="748" customFormat="false" ht="15" hidden="false" customHeight="false" outlineLevel="0" collapsed="false">
      <c r="A748" s="8" t="n">
        <v>43406</v>
      </c>
      <c r="B748" s="9" t="n">
        <v>17.7221065248</v>
      </c>
      <c r="C748" s="9" t="n">
        <v>154.059998</v>
      </c>
      <c r="D748" s="9" t="n">
        <v>154.889999</v>
      </c>
      <c r="E748" s="9" t="n">
        <v>152.440002</v>
      </c>
      <c r="F748" s="9" t="n">
        <v>154</v>
      </c>
      <c r="G748" s="9" t="n">
        <v>149.787872</v>
      </c>
      <c r="H748" s="9" t="n">
        <v>149.787872</v>
      </c>
      <c r="I748" s="2" t="str">
        <f aca="false">IF(COUNT(C748:F748)&lt;4,"",IF(OR(D748&lt;MAX(C748,F748)-0.000001,E748&gt;MIN(C748,F748)+0.000001),"FAIL","OK"))</f>
        <v>OK</v>
      </c>
      <c r="J748" s="10" t="n">
        <f aca="false">IF(COUNT(F748,G748)&lt;2,"",G748/F748)</f>
        <v>0.972648519480519</v>
      </c>
      <c r="K748" s="10" t="n">
        <f aca="false">H748/H747-1</f>
        <v>0.00332277439279993</v>
      </c>
      <c r="L748" s="10" t="n">
        <f aca="false">H753/H748-1</f>
        <v>0.000519434577453737</v>
      </c>
      <c r="M748" s="10" t="n">
        <f aca="false">IF(COUNT(B689:B748)&lt;60,"",(B748-AVERAGE(B689:B748))/STDEV(B689:B748))</f>
        <v>-1.58531341646549</v>
      </c>
      <c r="N748" s="10" t="n">
        <f aca="false">(H748-AVERAGE(H689:H748))/STDEV(H689:H748)</f>
        <v>-1.20835511804059</v>
      </c>
      <c r="O748" s="10" t="n">
        <f aca="false">IF(COUNT(B748)=0,"",B748-('Signal Analysis'!$C$6+'Signal Analysis'!$C$5*H748))</f>
        <v>-0.969990185122004</v>
      </c>
    </row>
    <row r="749" customFormat="false" ht="15" hidden="false" customHeight="false" outlineLevel="0" collapsed="false">
      <c r="A749" s="8" t="n">
        <v>43409</v>
      </c>
      <c r="B749" s="9" t="n">
        <v>17.7212191104</v>
      </c>
      <c r="C749" s="9" t="n">
        <v>154.039993</v>
      </c>
      <c r="D749" s="9" t="n">
        <v>154.660004</v>
      </c>
      <c r="E749" s="9" t="n">
        <v>152.350006</v>
      </c>
      <c r="F749" s="9" t="n">
        <v>153.880005</v>
      </c>
      <c r="G749" s="9" t="n">
        <v>149.671158</v>
      </c>
      <c r="H749" s="9" t="n">
        <v>149.671158</v>
      </c>
      <c r="I749" s="2" t="str">
        <f aca="false">IF(COUNT(C749:F749)&lt;4,"",IF(OR(D749&lt;MAX(C749,F749)-0.000001,E749&gt;MIN(C749,F749)+0.000001),"FAIL","OK"))</f>
        <v>OK</v>
      </c>
      <c r="J749" s="10" t="n">
        <f aca="false">IF(COUNT(F749,G749)&lt;2,"",G749/F749)</f>
        <v>0.972648512716126</v>
      </c>
      <c r="K749" s="10" t="n">
        <f aca="false">H749/H748-1</f>
        <v>-0.000779195260881993</v>
      </c>
      <c r="L749" s="10" t="n">
        <f aca="false">H754/H749-1</f>
        <v>-0.00435411321309265</v>
      </c>
      <c r="M749" s="10" t="n">
        <f aca="false">IF(COUNT(B690:B749)&lt;60,"",(B749-AVERAGE(B690:B749))/STDEV(B690:B749))</f>
        <v>-1.52301428198167</v>
      </c>
      <c r="N749" s="10" t="n">
        <f aca="false">(H749-AVERAGE(H690:H749))/STDEV(H690:H749)</f>
        <v>-1.18316484944116</v>
      </c>
      <c r="O749" s="10" t="n">
        <f aca="false">IF(COUNT(B749)=0,"",B749-('Signal Analysis'!$C$6+'Signal Analysis'!$C$5*H749))</f>
        <v>-0.954912008112661</v>
      </c>
    </row>
    <row r="750" customFormat="false" ht="15" hidden="false" customHeight="false" outlineLevel="0" collapsed="false">
      <c r="A750" s="8" t="n">
        <v>43410</v>
      </c>
      <c r="B750" s="9" t="n">
        <v>17.9688501408</v>
      </c>
      <c r="C750" s="9" t="n">
        <v>153.649994</v>
      </c>
      <c r="D750" s="9" t="n">
        <v>155.110001</v>
      </c>
      <c r="E750" s="9" t="n">
        <v>153.520004</v>
      </c>
      <c r="F750" s="9" t="n">
        <v>154.639999</v>
      </c>
      <c r="G750" s="9" t="n">
        <v>150.410355</v>
      </c>
      <c r="H750" s="9" t="n">
        <v>150.410355</v>
      </c>
      <c r="I750" s="2" t="str">
        <f aca="false">IF(COUNT(C750:F750)&lt;4,"",IF(OR(D750&lt;MAX(C750,F750)-0.000001,E750&gt;MIN(C750,F750)+0.000001),"FAIL","OK"))</f>
        <v>OK</v>
      </c>
      <c r="J750" s="10" t="n">
        <f aca="false">IF(COUNT(F750,G750)&lt;2,"",G750/F750)</f>
        <v>0.972648447831405</v>
      </c>
      <c r="K750" s="10" t="n">
        <f aca="false">H750/H749-1</f>
        <v>0.00493880724835449</v>
      </c>
      <c r="L750" s="10" t="n">
        <f aca="false">H755/H750-1</f>
        <v>-0.014873220220332</v>
      </c>
      <c r="M750" s="10" t="n">
        <f aca="false">IF(COUNT(B691:B750)&lt;60,"",(B750-AVERAGE(B691:B750))/STDEV(B691:B750))</f>
        <v>-1.30875343815562</v>
      </c>
      <c r="N750" s="10" t="n">
        <f aca="false">(H750-AVERAGE(H691:H750))/STDEV(H691:H750)</f>
        <v>-1.05812572780608</v>
      </c>
      <c r="O750" s="10" t="n">
        <f aca="false">IF(COUNT(B750)=0,"",B750-('Signal Analysis'!$C$6+'Signal Analysis'!$C$5*H750))</f>
        <v>-0.808397529908739</v>
      </c>
    </row>
    <row r="751" customFormat="false" ht="15" hidden="false" customHeight="false" outlineLevel="0" collapsed="false">
      <c r="A751" s="8" t="n">
        <v>43411</v>
      </c>
      <c r="B751" s="9" t="n">
        <v>17.4340104852</v>
      </c>
      <c r="C751" s="9" t="n">
        <v>155.360001</v>
      </c>
      <c r="D751" s="9" t="n">
        <v>157.410004</v>
      </c>
      <c r="E751" s="9" t="n">
        <v>154.800003</v>
      </c>
      <c r="F751" s="9" t="n">
        <v>157.410004</v>
      </c>
      <c r="G751" s="9" t="n">
        <v>153.10463</v>
      </c>
      <c r="H751" s="9" t="n">
        <v>153.10463</v>
      </c>
      <c r="I751" s="2" t="str">
        <f aca="false">IF(COUNT(C751:F751)&lt;4,"",IF(OR(D751&lt;MAX(C751,F751)-0.000001,E751&gt;MIN(C751,F751)+0.000001),"FAIL","OK"))</f>
        <v>OK</v>
      </c>
      <c r="J751" s="10" t="n">
        <f aca="false">IF(COUNT(F751,G751)&lt;2,"",G751/F751)</f>
        <v>0.972648663422942</v>
      </c>
      <c r="K751" s="10" t="n">
        <f aca="false">H751/H750-1</f>
        <v>0.017912829206473</v>
      </c>
      <c r="L751" s="10" t="n">
        <f aca="false">H756/H751-1</f>
        <v>-0.0377360599741495</v>
      </c>
      <c r="M751" s="10" t="n">
        <f aca="false">IF(COUNT(B692:B751)&lt;60,"",(B751-AVERAGE(B692:B751))/STDEV(B692:B751))</f>
        <v>-1.59482170412635</v>
      </c>
      <c r="N751" s="10" t="n">
        <f aca="false">(H751-AVERAGE(H692:H751))/STDEV(H692:H751)</f>
        <v>-0.702580014797854</v>
      </c>
      <c r="O751" s="10" t="n">
        <f aca="false">IF(COUNT(B751)=0,"",B751-('Signal Analysis'!$C$6+'Signal Analysis'!$C$5*H751))</f>
        <v>-1.71179360371401</v>
      </c>
    </row>
    <row r="752" customFormat="false" ht="15" hidden="false" customHeight="false" outlineLevel="0" collapsed="false">
      <c r="A752" s="8" t="n">
        <v>43412</v>
      </c>
      <c r="B752" s="9" t="n">
        <v>17.8352054712</v>
      </c>
      <c r="C752" s="9" t="n">
        <v>156.610001</v>
      </c>
      <c r="D752" s="9" t="n">
        <v>157.899994</v>
      </c>
      <c r="E752" s="9" t="n">
        <v>156.339996</v>
      </c>
      <c r="F752" s="9" t="n">
        <v>156.990005</v>
      </c>
      <c r="G752" s="9" t="n">
        <v>152.696091</v>
      </c>
      <c r="H752" s="9" t="n">
        <v>152.696091</v>
      </c>
      <c r="I752" s="2" t="str">
        <f aca="false">IF(COUNT(C752:F752)&lt;4,"",IF(OR(D752&lt;MAX(C752,F752)-0.000001,E752&gt;MIN(C752,F752)+0.000001),"FAIL","OK"))</f>
        <v>OK</v>
      </c>
      <c r="J752" s="10" t="n">
        <f aca="false">IF(COUNT(F752,G752)&lt;2,"",G752/F752)</f>
        <v>0.97264848803591</v>
      </c>
      <c r="K752" s="10" t="n">
        <f aca="false">H752/H751-1</f>
        <v>-0.00266836476467103</v>
      </c>
      <c r="L752" s="10" t="n">
        <f aca="false">H757/H752-1</f>
        <v>-0.0407032729257404</v>
      </c>
      <c r="M752" s="10" t="n">
        <f aca="false">IF(COUNT(B693:B752)&lt;60,"",(B752-AVERAGE(B693:B752))/STDEV(B693:B752))</f>
        <v>-1.28780187925254</v>
      </c>
      <c r="N752" s="10" t="n">
        <f aca="false">(H752-AVERAGE(H693:H752))/STDEV(H693:H752)</f>
        <v>-0.732809886358503</v>
      </c>
      <c r="O752" s="10" t="n">
        <f aca="false">IF(COUNT(B752)=0,"",B752-('Signal Analysis'!$C$6+'Signal Analysis'!$C$5*H752))</f>
        <v>-1.25471357608421</v>
      </c>
    </row>
    <row r="753" customFormat="false" ht="15" hidden="false" customHeight="false" outlineLevel="0" collapsed="false">
      <c r="A753" s="8" t="n">
        <v>43413</v>
      </c>
      <c r="B753" s="9" t="n">
        <v>19.074847968</v>
      </c>
      <c r="C753" s="9" t="n">
        <v>156</v>
      </c>
      <c r="D753" s="9" t="n">
        <v>156.029999</v>
      </c>
      <c r="E753" s="9" t="n">
        <v>152.949997</v>
      </c>
      <c r="F753" s="9" t="n">
        <v>154.080002</v>
      </c>
      <c r="G753" s="9" t="n">
        <v>149.865677</v>
      </c>
      <c r="H753" s="9" t="n">
        <v>149.865677</v>
      </c>
      <c r="I753" s="2" t="str">
        <f aca="false">IF(COUNT(C753:F753)&lt;4,"",IF(OR(D753&lt;MAX(C753,F753)-0.000001,E753&gt;MIN(C753,F753)+0.000001),"FAIL","OK"))</f>
        <v>OK</v>
      </c>
      <c r="J753" s="10" t="n">
        <f aca="false">IF(COUNT(F753,G753)&lt;2,"",G753/F753)</f>
        <v>0.972648462193037</v>
      </c>
      <c r="K753" s="10" t="n">
        <f aca="false">H753/H752-1</f>
        <v>-0.0185362570938374</v>
      </c>
      <c r="L753" s="10" t="n">
        <f aca="false">H758/H753-1</f>
        <v>-0.0282320870130477</v>
      </c>
      <c r="M753" s="10" t="n">
        <f aca="false">IF(COUNT(B694:B753)&lt;60,"",(B753-AVERAGE(B694:B753))/STDEV(B694:B753))</f>
        <v>-0.475000972053728</v>
      </c>
      <c r="N753" s="10" t="n">
        <f aca="false">(H753-AVERAGE(H694:H753))/STDEV(H694:H753)</f>
        <v>-1.04703295469045</v>
      </c>
      <c r="O753" s="10" t="n">
        <f aca="false">IF(COUNT(B753)=0,"",B753-('Signal Analysis'!$C$6+'Signal Analysis'!$C$5*H753))</f>
        <v>0.372108123238952</v>
      </c>
    </row>
    <row r="754" customFormat="false" ht="15" hidden="false" customHeight="false" outlineLevel="0" collapsed="false">
      <c r="A754" s="13" t="n">
        <v>43416</v>
      </c>
      <c r="B754" s="2"/>
      <c r="C754" s="2"/>
      <c r="D754" s="2"/>
      <c r="E754" s="2"/>
      <c r="F754" s="2"/>
      <c r="G754" s="2"/>
      <c r="H754" s="11" t="n">
        <v>149.019472833333</v>
      </c>
      <c r="I754" s="2" t="str">
        <f aca="false">IF(COUNT(C754:F754)&lt;4,"",IF(OR(D754&lt;MAX(C754,F754)-0.000001,E754&gt;MIN(C754,F754)+0.000001),"FAIL","OK"))</f>
        <v/>
      </c>
      <c r="J754" s="10" t="str">
        <f aca="false">IF(COUNT(F754,G754)&lt;2,"",G754/F754)</f>
        <v/>
      </c>
      <c r="K754" s="10" t="n">
        <f aca="false">H754/H753-1</f>
        <v>-0.00564641740260974</v>
      </c>
      <c r="L754" s="10" t="n">
        <f aca="false">H759/H754-1</f>
        <v>-0.0283924023678797</v>
      </c>
      <c r="M754" s="10" t="str">
        <f aca="false">IF(COUNT(B695:B754)&lt;60,"",(B754-AVERAGE(B695:B754))/STDEV(B695:B754))</f>
        <v/>
      </c>
      <c r="N754" s="10" t="n">
        <f aca="false">(H754-AVERAGE(H695:H754))/STDEV(H695:H754)</f>
        <v>-1.11264969297143</v>
      </c>
      <c r="O754" s="10" t="str">
        <f aca="false">IF(COUNT(B754)=0,"",B754-('Signal Analysis'!$C$6+'Signal Analysis'!$C$5*H754))</f>
        <v/>
      </c>
    </row>
    <row r="755" customFormat="false" ht="15" hidden="false" customHeight="false" outlineLevel="0" collapsed="false">
      <c r="A755" s="13" t="n">
        <v>43417</v>
      </c>
      <c r="B755" s="2"/>
      <c r="C755" s="2"/>
      <c r="D755" s="2"/>
      <c r="E755" s="2"/>
      <c r="F755" s="2"/>
      <c r="G755" s="2"/>
      <c r="H755" s="11" t="n">
        <v>148.173268666667</v>
      </c>
      <c r="I755" s="2" t="str">
        <f aca="false">IF(COUNT(C755:F755)&lt;4,"",IF(OR(D755&lt;MAX(C755,F755)-0.000001,E755&gt;MIN(C755,F755)+0.000001),"FAIL","OK"))</f>
        <v/>
      </c>
      <c r="J755" s="10" t="str">
        <f aca="false">IF(COUNT(F755,G755)&lt;2,"",G755/F755)</f>
        <v/>
      </c>
      <c r="K755" s="10" t="n">
        <f aca="false">H755/H754-1</f>
        <v>-0.00567848047357555</v>
      </c>
      <c r="L755" s="10" t="n">
        <f aca="false">H760/H755-1</f>
        <v>-0.0416830965682552</v>
      </c>
      <c r="M755" s="10" t="str">
        <f aca="false">IF(COUNT(B696:B755)&lt;60,"",(B755-AVERAGE(B696:B755))/STDEV(B696:B755))</f>
        <v/>
      </c>
      <c r="N755" s="10" t="n">
        <f aca="false">(H755-AVERAGE(H696:H755))/STDEV(H696:H755)</f>
        <v>-1.17415764489965</v>
      </c>
      <c r="O755" s="10" t="str">
        <f aca="false">IF(COUNT(B755)=0,"",B755-('Signal Analysis'!$C$6+'Signal Analysis'!$C$5*H755))</f>
        <v/>
      </c>
    </row>
    <row r="756" customFormat="false" ht="15" hidden="false" customHeight="false" outlineLevel="0" collapsed="false">
      <c r="A756" s="13" t="n">
        <v>43418</v>
      </c>
      <c r="B756" s="2"/>
      <c r="C756" s="2"/>
      <c r="D756" s="2"/>
      <c r="E756" s="2"/>
      <c r="F756" s="2"/>
      <c r="G756" s="2"/>
      <c r="H756" s="11" t="n">
        <v>147.3270645</v>
      </c>
      <c r="I756" s="2" t="str">
        <f aca="false">IF(COUNT(C756:F756)&lt;4,"",IF(OR(D756&lt;MAX(C756,F756)-0.000001,E756&gt;MIN(C756,F756)+0.000001),"FAIL","OK"))</f>
        <v/>
      </c>
      <c r="J756" s="10" t="str">
        <f aca="false">IF(COUNT(F756,G756)&lt;2,"",G756/F756)</f>
        <v/>
      </c>
      <c r="K756" s="10" t="n">
        <f aca="false">H756/H755-1</f>
        <v>-0.00571090976315258</v>
      </c>
      <c r="L756" s="10" t="n">
        <f aca="false">H761/H756-1</f>
        <v>-0.0227106506964986</v>
      </c>
      <c r="M756" s="10" t="str">
        <f aca="false">IF(COUNT(B697:B756)&lt;60,"",(B756-AVERAGE(B697:B756))/STDEV(B697:B756))</f>
        <v/>
      </c>
      <c r="N756" s="10" t="n">
        <f aca="false">(H756-AVERAGE(H697:H756))/STDEV(H697:H756)</f>
        <v>-1.23199541296712</v>
      </c>
      <c r="O756" s="10" t="str">
        <f aca="false">IF(COUNT(B756)=0,"",B756-('Signal Analysis'!$C$6+'Signal Analysis'!$C$5*H756))</f>
        <v/>
      </c>
    </row>
    <row r="757" customFormat="false" ht="15" hidden="false" customHeight="false" outlineLevel="0" collapsed="false">
      <c r="A757" s="13" t="n">
        <v>43419</v>
      </c>
      <c r="B757" s="2"/>
      <c r="C757" s="2"/>
      <c r="D757" s="2"/>
      <c r="E757" s="2"/>
      <c r="F757" s="2"/>
      <c r="G757" s="2"/>
      <c r="H757" s="11" t="n">
        <v>146.480860333333</v>
      </c>
      <c r="I757" s="2" t="str">
        <f aca="false">IF(COUNT(C757:F757)&lt;4,"",IF(OR(D757&lt;MAX(C757,F757)-0.000001,E757&gt;MIN(C757,F757)+0.000001),"FAIL","OK"))</f>
        <v/>
      </c>
      <c r="J757" s="10" t="str">
        <f aca="false">IF(COUNT(F757,G757)&lt;2,"",G757/F757)</f>
        <v/>
      </c>
      <c r="K757" s="10" t="n">
        <f aca="false">H757/H756-1</f>
        <v>-0.00574371158170128</v>
      </c>
      <c r="L757" s="10" t="n">
        <f aca="false">H762/H757-1</f>
        <v>-0.0179947696056336</v>
      </c>
      <c r="M757" s="10" t="str">
        <f aca="false">IF(COUNT(B698:B757)&lt;60,"",(B757-AVERAGE(B698:B757))/STDEV(B698:B757))</f>
        <v/>
      </c>
      <c r="N757" s="10" t="n">
        <f aca="false">(H757-AVERAGE(H698:H757))/STDEV(H698:H757)</f>
        <v>-1.28680718107787</v>
      </c>
      <c r="O757" s="10" t="str">
        <f aca="false">IF(COUNT(B757)=0,"",B757-('Signal Analysis'!$C$6+'Signal Analysis'!$C$5*H757))</f>
        <v/>
      </c>
    </row>
    <row r="758" customFormat="false" ht="15" hidden="false" customHeight="false" outlineLevel="0" collapsed="false">
      <c r="A758" s="13" t="n">
        <v>43420</v>
      </c>
      <c r="B758" s="2"/>
      <c r="C758" s="2"/>
      <c r="D758" s="2"/>
      <c r="E758" s="2"/>
      <c r="F758" s="2"/>
      <c r="G758" s="2"/>
      <c r="H758" s="11" t="n">
        <v>145.634656166667</v>
      </c>
      <c r="I758" s="2" t="str">
        <f aca="false">IF(COUNT(C758:F758)&lt;4,"",IF(OR(D758&lt;MAX(C758,F758)-0.000001,E758&gt;MIN(C758,F758)+0.000001),"FAIL","OK"))</f>
        <v/>
      </c>
      <c r="J758" s="10" t="str">
        <f aca="false">IF(COUNT(F758,G758)&lt;2,"",G758/F758)</f>
        <v/>
      </c>
      <c r="K758" s="10" t="n">
        <f aca="false">H758/H757-1</f>
        <v>-0.00577689238540091</v>
      </c>
      <c r="L758" s="10" t="n">
        <f aca="false">H763/H758-1</f>
        <v>0.000534260425240296</v>
      </c>
      <c r="M758" s="10" t="str">
        <f aca="false">IF(COUNT(B699:B758)&lt;60,"",(B758-AVERAGE(B699:B758))/STDEV(B699:B758))</f>
        <v/>
      </c>
      <c r="N758" s="10" t="n">
        <f aca="false">(H758-AVERAGE(H699:H758))/STDEV(H699:H758)</f>
        <v>-1.33805980082103</v>
      </c>
      <c r="O758" s="10" t="str">
        <f aca="false">IF(COUNT(B758)=0,"",B758-('Signal Analysis'!$C$6+'Signal Analysis'!$C$5*H758))</f>
        <v/>
      </c>
    </row>
    <row r="759" customFormat="false" ht="15" hidden="false" customHeight="false" outlineLevel="0" collapsed="false">
      <c r="A759" s="8" t="n">
        <v>43423</v>
      </c>
      <c r="B759" s="9" t="n">
        <v>17.76912048</v>
      </c>
      <c r="C759" s="9" t="n">
        <v>151.679993</v>
      </c>
      <c r="D759" s="9" t="n">
        <v>152.029999</v>
      </c>
      <c r="E759" s="9" t="n">
        <v>148.369995</v>
      </c>
      <c r="F759" s="9" t="n">
        <v>148.860001</v>
      </c>
      <c r="G759" s="9" t="n">
        <v>144.788452</v>
      </c>
      <c r="H759" s="9" t="n">
        <v>144.788452</v>
      </c>
      <c r="I759" s="2" t="str">
        <f aca="false">IF(COUNT(C759:F759)&lt;4,"",IF(OR(D759&lt;MAX(C759,F759)-0.000001,E759&gt;MIN(C759,F759)+0.000001),"FAIL","OK"))</f>
        <v>OK</v>
      </c>
      <c r="J759" s="10" t="n">
        <f aca="false">IF(COUNT(F759,G759)&lt;2,"",G759/F759)</f>
        <v>0.972648468543272</v>
      </c>
      <c r="K759" s="10" t="n">
        <f aca="false">H759/H758-1</f>
        <v>-0.00581045878048614</v>
      </c>
      <c r="L759" s="10" t="n">
        <f aca="false">H764/H759-1</f>
        <v>-0.00194786252704737</v>
      </c>
      <c r="M759" s="10" t="str">
        <f aca="false">IF(COUNT(B700:B759)&lt;60,"",(B759-AVERAGE(B700:B759))/STDEV(B700:B759))</f>
        <v/>
      </c>
      <c r="N759" s="10" t="n">
        <f aca="false">(H759-AVERAGE(H700:H759))/STDEV(H700:H759)</f>
        <v>-1.38697258199262</v>
      </c>
      <c r="O759" s="10" t="n">
        <f aca="false">IF(COUNT(B759)=0,"",B759-('Signal Analysis'!$C$6+'Signal Analysis'!$C$5*H759))</f>
        <v>-0.23909343091157</v>
      </c>
    </row>
    <row r="760" customFormat="false" ht="15" hidden="false" customHeight="false" outlineLevel="0" collapsed="false">
      <c r="A760" s="8" t="n">
        <v>43424</v>
      </c>
      <c r="B760" s="9" t="n">
        <v>18.0756912384</v>
      </c>
      <c r="C760" s="9" t="n">
        <v>147.25</v>
      </c>
      <c r="D760" s="9" t="n">
        <v>148.429993</v>
      </c>
      <c r="E760" s="9" t="n">
        <v>145.589996</v>
      </c>
      <c r="F760" s="9" t="n">
        <v>145.990005</v>
      </c>
      <c r="G760" s="9" t="n">
        <v>141.996948</v>
      </c>
      <c r="H760" s="9" t="n">
        <v>141.996948</v>
      </c>
      <c r="I760" s="2" t="str">
        <f aca="false">IF(COUNT(C760:F760)&lt;4,"",IF(OR(D760&lt;MAX(C760,F760)-0.000001,E760&gt;MIN(C760,F760)+0.000001),"FAIL","OK"))</f>
        <v>OK</v>
      </c>
      <c r="J760" s="10" t="n">
        <f aca="false">IF(COUNT(F760,G760)&lt;2,"",G760/F760)</f>
        <v>0.972648422061497</v>
      </c>
      <c r="K760" s="10" t="n">
        <f aca="false">H760/H759-1</f>
        <v>-0.0192798801385072</v>
      </c>
      <c r="L760" s="10" t="n">
        <f aca="false">H765/H760-1</f>
        <v>0.0428111736598733</v>
      </c>
      <c r="M760" s="10" t="str">
        <f aca="false">IF(COUNT(B701:B760)&lt;60,"",(B760-AVERAGE(B701:B760))/STDEV(B701:B760))</f>
        <v/>
      </c>
      <c r="N760" s="10" t="n">
        <f aca="false">(H760-AVERAGE(H701:H760))/STDEV(H701:H760)</f>
        <v>-1.64657540037439</v>
      </c>
      <c r="O760" s="10" t="n">
        <f aca="false">IF(COUNT(B760)=0,"",B760-('Signal Analysis'!$C$6+'Signal Analysis'!$C$5*H760))</f>
        <v>0.449333936648859</v>
      </c>
    </row>
    <row r="761" customFormat="false" ht="15" hidden="false" customHeight="false" outlineLevel="0" collapsed="false">
      <c r="A761" s="8" t="n">
        <v>43425</v>
      </c>
      <c r="B761" s="9" t="n">
        <v>18.704149758</v>
      </c>
      <c r="C761" s="9" t="n">
        <v>146.779999</v>
      </c>
      <c r="D761" s="9" t="n">
        <v>149.369995</v>
      </c>
      <c r="E761" s="9" t="n">
        <v>146.529999</v>
      </c>
      <c r="F761" s="9" t="n">
        <v>148.029999</v>
      </c>
      <c r="G761" s="9" t="n">
        <v>143.981171</v>
      </c>
      <c r="H761" s="9" t="n">
        <v>143.981171</v>
      </c>
      <c r="I761" s="2" t="str">
        <f aca="false">IF(COUNT(C761:F761)&lt;4,"",IF(OR(D761&lt;MAX(C761,F761)-0.000001,E761&gt;MIN(C761,F761)+0.000001),"FAIL","OK"))</f>
        <v>OK</v>
      </c>
      <c r="J761" s="10" t="n">
        <f aca="false">IF(COUNT(F761,G761)&lt;2,"",G761/F761)</f>
        <v>0.972648598072341</v>
      </c>
      <c r="K761" s="10" t="n">
        <f aca="false">H761/H760-1</f>
        <v>0.0139737017446318</v>
      </c>
      <c r="L761" s="10" t="n">
        <f aca="false">H766/H761-1</f>
        <v>0.025670335741331</v>
      </c>
      <c r="M761" s="10" t="str">
        <f aca="false">IF(COUNT(B702:B761)&lt;60,"",(B761-AVERAGE(B702:B761))/STDEV(B702:B761))</f>
        <v/>
      </c>
      <c r="N761" s="10" t="n">
        <f aca="false">(H761-AVERAGE(H702:H761))/STDEV(H702:H761)</f>
        <v>-1.36820181178812</v>
      </c>
      <c r="O761" s="10" t="n">
        <f aca="false">IF(COUNT(B761)=0,"",B761-('Signal Analysis'!$C$6+'Signal Analysis'!$C$5*H761))</f>
        <v>0.806365774933649</v>
      </c>
    </row>
    <row r="762" customFormat="false" ht="15" hidden="false" customHeight="false" outlineLevel="0" collapsed="false">
      <c r="A762" s="8" t="n">
        <v>43427</v>
      </c>
      <c r="B762" s="9" t="n">
        <v>18.883075302</v>
      </c>
      <c r="C762" s="9" t="n">
        <v>146.820007</v>
      </c>
      <c r="D762" s="9" t="n">
        <v>149.300003</v>
      </c>
      <c r="E762" s="9" t="n">
        <v>146.809998</v>
      </c>
      <c r="F762" s="9" t="n">
        <v>147.889999</v>
      </c>
      <c r="G762" s="9" t="n">
        <v>143.844971</v>
      </c>
      <c r="H762" s="9" t="n">
        <v>143.844971</v>
      </c>
      <c r="I762" s="2" t="str">
        <f aca="false">IF(COUNT(C762:F762)&lt;4,"",IF(OR(D762&lt;MAX(C762,F762)-0.000001,E762&gt;MIN(C762,F762)+0.000001),"FAIL","OK"))</f>
        <v>OK</v>
      </c>
      <c r="J762" s="10" t="n">
        <f aca="false">IF(COUNT(F762,G762)&lt;2,"",G762/F762)</f>
        <v>0.972648400653515</v>
      </c>
      <c r="K762" s="10" t="n">
        <f aca="false">H762/H761-1</f>
        <v>-0.000945957023783306</v>
      </c>
      <c r="L762" s="10" t="n">
        <f aca="false">H767/H762-1</f>
        <v>0.0319834747646479</v>
      </c>
      <c r="M762" s="10" t="str">
        <f aca="false">IF(COUNT(B703:B762)&lt;60,"",(B762-AVERAGE(B703:B762))/STDEV(B703:B762))</f>
        <v/>
      </c>
      <c r="N762" s="10" t="n">
        <f aca="false">(H762-AVERAGE(H703:H762))/STDEV(H703:H762)</f>
        <v>-1.33843887196029</v>
      </c>
      <c r="O762" s="10" t="n">
        <f aca="false">IF(COUNT(B762)=0,"",B762-('Signal Analysis'!$C$6+'Signal Analysis'!$C$5*H762))</f>
        <v>1.00392244758962</v>
      </c>
    </row>
    <row r="763" customFormat="false" ht="15" hidden="false" customHeight="false" outlineLevel="0" collapsed="false">
      <c r="A763" s="8" t="n">
        <v>43430</v>
      </c>
      <c r="B763" s="9" t="n">
        <v>17.7347612028</v>
      </c>
      <c r="C763" s="9" t="n">
        <v>149.320007</v>
      </c>
      <c r="D763" s="9" t="n">
        <v>150.399994</v>
      </c>
      <c r="E763" s="9" t="n">
        <v>148.740005</v>
      </c>
      <c r="F763" s="9" t="n">
        <v>149.809998</v>
      </c>
      <c r="G763" s="9" t="n">
        <v>145.712463</v>
      </c>
      <c r="H763" s="9" t="n">
        <v>145.712463</v>
      </c>
      <c r="I763" s="2" t="str">
        <f aca="false">IF(COUNT(C763:F763)&lt;4,"",IF(OR(D763&lt;MAX(C763,F763)-0.000001,E763&gt;MIN(C763,F763)+0.000001),"FAIL","OK"))</f>
        <v>OK</v>
      </c>
      <c r="J763" s="10" t="n">
        <f aca="false">IF(COUNT(F763,G763)&lt;2,"",G763/F763)</f>
        <v>0.972648454344149</v>
      </c>
      <c r="K763" s="10" t="n">
        <f aca="false">H763/H762-1</f>
        <v>0.0129826714623205</v>
      </c>
      <c r="L763" s="10" t="n">
        <f aca="false">H768/H763-1</f>
        <v>0.0285028055561727</v>
      </c>
      <c r="M763" s="10" t="str">
        <f aca="false">IF(COUNT(B704:B763)&lt;60,"",(B763-AVERAGE(B704:B763))/STDEV(B704:B763))</f>
        <v/>
      </c>
      <c r="N763" s="10" t="n">
        <f aca="false">(H763-AVERAGE(H704:H763))/STDEV(H704:H763)</f>
        <v>-1.0877444966846</v>
      </c>
      <c r="O763" s="10" t="n">
        <f aca="false">IF(COUNT(B763)=0,"",B763-('Signal Analysis'!$C$6+'Signal Analysis'!$C$5*H763))</f>
        <v>-0.399850416044977</v>
      </c>
    </row>
    <row r="764" customFormat="false" ht="15" hidden="false" customHeight="false" outlineLevel="0" collapsed="false">
      <c r="A764" s="8" t="n">
        <v>43431</v>
      </c>
      <c r="B764" s="9" t="n">
        <v>18.3835254216</v>
      </c>
      <c r="C764" s="9" t="n">
        <v>149.179993</v>
      </c>
      <c r="D764" s="9" t="n">
        <v>149.729996</v>
      </c>
      <c r="E764" s="9" t="n">
        <v>148.289993</v>
      </c>
      <c r="F764" s="9" t="n">
        <v>148.570007</v>
      </c>
      <c r="G764" s="9" t="n">
        <v>144.506424</v>
      </c>
      <c r="H764" s="9" t="n">
        <v>144.506424</v>
      </c>
      <c r="I764" s="2" t="str">
        <f aca="false">IF(COUNT(C764:F764)&lt;4,"",IF(OR(D764&lt;MAX(C764,F764)-0.000001,E764&gt;MIN(C764,F764)+0.000001),"FAIL","OK"))</f>
        <v>OK</v>
      </c>
      <c r="J764" s="10" t="n">
        <f aca="false">IF(COUNT(F764,G764)&lt;2,"",G764/F764)</f>
        <v>0.97264869887231</v>
      </c>
      <c r="K764" s="10" t="n">
        <f aca="false">H764/H763-1</f>
        <v>-0.00827684176884724</v>
      </c>
      <c r="L764" s="10" t="n">
        <f aca="false">H769/H764-1</f>
        <v>-0.00706751279098861</v>
      </c>
      <c r="M764" s="10" t="str">
        <f aca="false">IF(COUNT(B705:B764)&lt;60,"",(B764-AVERAGE(B705:B764))/STDEV(B705:B764))</f>
        <v/>
      </c>
      <c r="N764" s="10" t="n">
        <f aca="false">(H764-AVERAGE(H705:H764))/STDEV(H705:H764)</f>
        <v>-1.19277932636499</v>
      </c>
      <c r="O764" s="10" t="n">
        <f aca="false">IF(COUNT(B764)=0,"",B764-('Signal Analysis'!$C$6+'Signal Analysis'!$C$5*H764))</f>
        <v>0.413890805494493</v>
      </c>
    </row>
    <row r="765" customFormat="false" ht="15" hidden="false" customHeight="false" outlineLevel="0" collapsed="false">
      <c r="A765" s="8" t="n">
        <v>43432</v>
      </c>
      <c r="B765" s="9" t="n">
        <v>18.490672992</v>
      </c>
      <c r="C765" s="9" t="n">
        <v>149.199997</v>
      </c>
      <c r="D765" s="9" t="n">
        <v>152.369995</v>
      </c>
      <c r="E765" s="9" t="n">
        <v>147.699997</v>
      </c>
      <c r="F765" s="9" t="n">
        <v>152.240005</v>
      </c>
      <c r="G765" s="9" t="n">
        <v>148.076004</v>
      </c>
      <c r="H765" s="9" t="n">
        <v>148.076004</v>
      </c>
      <c r="I765" s="2" t="str">
        <f aca="false">IF(COUNT(C765:F765)&lt;4,"",IF(OR(D765&lt;MAX(C765,F765)-0.000001,E765&gt;MIN(C765,F765)+0.000001),"FAIL","OK"))</f>
        <v>OK</v>
      </c>
      <c r="J765" s="10" t="n">
        <f aca="false">IF(COUNT(F765,G765)&lt;2,"",G765/F765)</f>
        <v>0.972648444145808</v>
      </c>
      <c r="K765" s="10" t="n">
        <f aca="false">H765/H764-1</f>
        <v>0.0247018776134131</v>
      </c>
      <c r="L765" s="10" t="n">
        <f aca="false">H770/H765-1</f>
        <v>-0.0331054989841568</v>
      </c>
      <c r="M765" s="10" t="str">
        <f aca="false">IF(COUNT(B706:B765)&lt;60,"",(B765-AVERAGE(B706:B765))/STDEV(B706:B765))</f>
        <v/>
      </c>
      <c r="N765" s="10" t="n">
        <f aca="false">(H765-AVERAGE(H706:H765))/STDEV(H706:H765)</f>
        <v>-0.746877388787167</v>
      </c>
      <c r="O765" s="10" t="n">
        <f aca="false">IF(COUNT(B765)=0,"",B765-('Signal Analysis'!$C$6+'Signal Analysis'!$C$5*H765))</f>
        <v>0.0327468617405131</v>
      </c>
    </row>
    <row r="766" customFormat="false" ht="15" hidden="false" customHeight="false" outlineLevel="0" collapsed="false">
      <c r="A766" s="8" t="n">
        <v>43433</v>
      </c>
      <c r="B766" s="9" t="n">
        <v>16.76067996</v>
      </c>
      <c r="C766" s="9" t="n">
        <v>151.610001</v>
      </c>
      <c r="D766" s="9" t="n">
        <v>152.740005</v>
      </c>
      <c r="E766" s="9" t="n">
        <v>150.440002</v>
      </c>
      <c r="F766" s="9" t="n">
        <v>151.830002</v>
      </c>
      <c r="G766" s="9" t="n">
        <v>147.677216</v>
      </c>
      <c r="H766" s="9" t="n">
        <v>147.677216</v>
      </c>
      <c r="I766" s="2" t="str">
        <f aca="false">IF(COUNT(C766:F766)&lt;4,"",IF(OR(D766&lt;MAX(C766,F766)-0.000001,E766&gt;MIN(C766,F766)+0.000001),"FAIL","OK"))</f>
        <v>OK</v>
      </c>
      <c r="J766" s="10" t="n">
        <f aca="false">IF(COUNT(F766,G766)&lt;2,"",G766/F766)</f>
        <v>0.972648449283429</v>
      </c>
      <c r="K766" s="10" t="n">
        <f aca="false">H766/H765-1</f>
        <v>-0.00269313048183029</v>
      </c>
      <c r="L766" s="10" t="n">
        <f aca="false">H771/H766-1</f>
        <v>-0.0514389437027305</v>
      </c>
      <c r="M766" s="10" t="str">
        <f aca="false">IF(COUNT(B707:B766)&lt;60,"",(B766-AVERAGE(B707:B766))/STDEV(B707:B766))</f>
        <v/>
      </c>
      <c r="N766" s="10" t="n">
        <f aca="false">(H766-AVERAGE(H707:H766))/STDEV(H707:H766)</f>
        <v>-0.767151732639681</v>
      </c>
      <c r="O766" s="10" t="n">
        <f aca="false">IF(COUNT(B766)=0,"",B766-('Signal Analysis'!$C$6+'Signal Analysis'!$C$5*H766))</f>
        <v>-1.6426949915924</v>
      </c>
    </row>
    <row r="767" customFormat="false" ht="15" hidden="false" customHeight="false" outlineLevel="0" collapsed="false">
      <c r="A767" s="8" t="n">
        <v>43434</v>
      </c>
      <c r="B767" s="9" t="n">
        <v>17.580329928</v>
      </c>
      <c r="C767" s="9" t="n">
        <v>151.460007</v>
      </c>
      <c r="D767" s="9" t="n">
        <v>152.860001</v>
      </c>
      <c r="E767" s="9" t="n">
        <v>151.080002</v>
      </c>
      <c r="F767" s="9" t="n">
        <v>152.619995</v>
      </c>
      <c r="G767" s="9" t="n">
        <v>148.445633</v>
      </c>
      <c r="H767" s="9" t="n">
        <v>148.445633</v>
      </c>
      <c r="I767" s="2" t="str">
        <f aca="false">IF(COUNT(C767:F767)&lt;4,"",IF(OR(D767&lt;MAX(C767,F767)-0.000001,E767&gt;MIN(C767,F767)+0.000001),"FAIL","OK"))</f>
        <v>OK</v>
      </c>
      <c r="J767" s="10" t="n">
        <f aca="false">IF(COUNT(F767,G767)&lt;2,"",G767/F767)</f>
        <v>0.972648655898593</v>
      </c>
      <c r="K767" s="10" t="n">
        <f aca="false">H767/H766-1</f>
        <v>0.00520335513367209</v>
      </c>
      <c r="L767" s="10" t="n">
        <f aca="false">H772/H767-1</f>
        <v>-0.059101098649362</v>
      </c>
      <c r="M767" s="10" t="str">
        <f aca="false">IF(COUNT(B708:B767)&lt;60,"",(B767-AVERAGE(B708:B767))/STDEV(B708:B767))</f>
        <v/>
      </c>
      <c r="N767" s="10" t="n">
        <f aca="false">(H767-AVERAGE(H708:H767))/STDEV(H708:H767)</f>
        <v>-0.648604231135248</v>
      </c>
      <c r="O767" s="10" t="n">
        <f aca="false">IF(COUNT(B767)=0,"",B767-('Signal Analysis'!$C$6+'Signal Analysis'!$C$5*H767))</f>
        <v>-0.928158650526566</v>
      </c>
    </row>
    <row r="768" customFormat="false" ht="15" hidden="false" customHeight="false" outlineLevel="0" collapsed="false">
      <c r="A768" s="8" t="n">
        <v>43437</v>
      </c>
      <c r="B768" s="9" t="n">
        <v>18.593385096</v>
      </c>
      <c r="C768" s="9" t="n">
        <v>154.389999</v>
      </c>
      <c r="D768" s="9" t="n">
        <v>154.479996</v>
      </c>
      <c r="E768" s="9" t="n">
        <v>152.020004</v>
      </c>
      <c r="F768" s="9" t="n">
        <v>154.080002</v>
      </c>
      <c r="G768" s="9" t="n">
        <v>149.865677</v>
      </c>
      <c r="H768" s="9" t="n">
        <v>149.865677</v>
      </c>
      <c r="I768" s="2" t="str">
        <f aca="false">IF(COUNT(C768:F768)&lt;4,"",IF(OR(D768&lt;MAX(C768,F768)-0.000001,E768&gt;MIN(C768,F768)+0.000001),"FAIL","OK"))</f>
        <v>OK</v>
      </c>
      <c r="J768" s="10" t="n">
        <f aca="false">IF(COUNT(F768,G768)&lt;2,"",G768/F768)</f>
        <v>0.972648462193037</v>
      </c>
      <c r="K768" s="10" t="n">
        <f aca="false">H768/H767-1</f>
        <v>0.00956608807751191</v>
      </c>
      <c r="L768" s="10" t="n">
        <f aca="false">H773/H768-1</f>
        <v>-0.0689901063870682</v>
      </c>
      <c r="M768" s="10" t="str">
        <f aca="false">IF(COUNT(B709:B768)&lt;60,"",(B768-AVERAGE(B709:B768))/STDEV(B709:B768))</f>
        <v/>
      </c>
      <c r="N768" s="10" t="n">
        <f aca="false">(H768-AVERAGE(H709:H768))/STDEV(H709:H768)</f>
        <v>-0.450490382713074</v>
      </c>
      <c r="O768" s="10" t="n">
        <f aca="false">IF(COUNT(B768)=0,"",B768-('Signal Analysis'!$C$6+'Signal Analysis'!$C$5*H768))</f>
        <v>-0.109354748761049</v>
      </c>
    </row>
    <row r="769" customFormat="false" ht="15" hidden="false" customHeight="false" outlineLevel="0" collapsed="false">
      <c r="A769" s="8" t="n">
        <v>43438</v>
      </c>
      <c r="B769" s="9" t="n">
        <v>16.66380252</v>
      </c>
      <c r="C769" s="9" t="n">
        <v>153.75</v>
      </c>
      <c r="D769" s="9" t="n">
        <v>154.130005</v>
      </c>
      <c r="E769" s="9" t="n">
        <v>147.139999</v>
      </c>
      <c r="F769" s="9" t="n">
        <v>147.520004</v>
      </c>
      <c r="G769" s="9" t="n">
        <v>143.485123</v>
      </c>
      <c r="H769" s="9" t="n">
        <v>143.485123</v>
      </c>
      <c r="I769" s="2" t="str">
        <f aca="false">IF(COUNT(C769:F769)&lt;4,"",IF(OR(D769&lt;MAX(C769,F769)-0.000001,E769&gt;MIN(C769,F769)+0.000001),"FAIL","OK"))</f>
        <v>OK</v>
      </c>
      <c r="J769" s="10" t="n">
        <f aca="false">IF(COUNT(F769,G769)&lt;2,"",G769/F769)</f>
        <v>0.972648583984583</v>
      </c>
      <c r="K769" s="10" t="n">
        <f aca="false">H769/H768-1</f>
        <v>-0.0425751521477464</v>
      </c>
      <c r="L769" s="10" t="n">
        <f aca="false">H774/H769-1</f>
        <v>-0.0183025594925265</v>
      </c>
      <c r="M769" s="10" t="str">
        <f aca="false">IF(COUNT(B710:B769)&lt;60,"",(B769-AVERAGE(B710:B769))/STDEV(B710:B769))</f>
        <v/>
      </c>
      <c r="N769" s="10" t="n">
        <f aca="false">(H769-AVERAGE(H710:H769))/STDEV(H710:H769)</f>
        <v>-1.20617525492466</v>
      </c>
      <c r="O769" s="10" t="n">
        <f aca="false">IF(COUNT(B769)=0,"",B769-('Signal Analysis'!$C$6+'Signal Analysis'!$C$5*H769))</f>
        <v>-1.16612585287886</v>
      </c>
    </row>
    <row r="770" customFormat="false" ht="15" hidden="false" customHeight="false" outlineLevel="0" collapsed="false">
      <c r="A770" s="8" t="n">
        <v>43440</v>
      </c>
      <c r="B770" s="9" t="n">
        <v>16.9040444904</v>
      </c>
      <c r="C770" s="9" t="n">
        <v>145.449997</v>
      </c>
      <c r="D770" s="11" t="n">
        <v>147.199997</v>
      </c>
      <c r="E770" s="9" t="n">
        <v>143.429993</v>
      </c>
      <c r="F770" s="9" t="n">
        <v>147.199997</v>
      </c>
      <c r="G770" s="9" t="n">
        <v>143.173874</v>
      </c>
      <c r="H770" s="9" t="n">
        <v>143.173874</v>
      </c>
      <c r="I770" s="2" t="str">
        <f aca="false">IF(COUNT(C770:F770)&lt;4,"",IF(OR(D770&lt;MAX(C770,F770)-0.000001,E770&gt;MIN(C770,F770)+0.000001),"FAIL","OK"))</f>
        <v>OK</v>
      </c>
      <c r="J770" s="10" t="n">
        <f aca="false">IF(COUNT(F770,G770)&lt;2,"",G770/F770)</f>
        <v>0.97264862036648</v>
      </c>
      <c r="K770" s="10" t="n">
        <f aca="false">H770/H769-1</f>
        <v>-0.00216920746550131</v>
      </c>
      <c r="L770" s="10" t="n">
        <f aca="false">H775/H770-1</f>
        <v>-0.030095246287741</v>
      </c>
      <c r="M770" s="10" t="str">
        <f aca="false">IF(COUNT(B711:B770)&lt;60,"",(B770-AVERAGE(B711:B770))/STDEV(B711:B770))</f>
        <v/>
      </c>
      <c r="N770" s="10" t="n">
        <f aca="false">(H770-AVERAGE(H711:H770))/STDEV(H711:H770)</f>
        <v>-1.20951415070421</v>
      </c>
      <c r="O770" s="10" t="n">
        <f aca="false">IF(COUNT(B770)=0,"",B770-('Signal Analysis'!$C$6+'Signal Analysis'!$C$5*H770))</f>
        <v>-0.883307376142291</v>
      </c>
    </row>
    <row r="771" customFormat="false" ht="15" hidden="false" customHeight="false" outlineLevel="0" collapsed="false">
      <c r="A771" s="8" t="n">
        <v>43441</v>
      </c>
      <c r="B771" s="9" t="n">
        <v>17.650820616</v>
      </c>
      <c r="C771" s="9" t="n">
        <v>147.139999</v>
      </c>
      <c r="D771" s="9" t="n">
        <v>148.259995</v>
      </c>
      <c r="E771" s="9" t="n">
        <v>143.270004</v>
      </c>
      <c r="F771" s="9" t="n">
        <v>144.020004</v>
      </c>
      <c r="G771" s="9" t="n">
        <v>140.080856</v>
      </c>
      <c r="H771" s="9" t="n">
        <v>140.080856</v>
      </c>
      <c r="I771" s="2" t="str">
        <f aca="false">IF(COUNT(C771:F771)&lt;4,"",IF(OR(D771&lt;MAX(C771,F771)-0.000001,E771&gt;MIN(C771,F771)+0.000001),"FAIL","OK"))</f>
        <v>OK</v>
      </c>
      <c r="J771" s="10" t="n">
        <f aca="false">IF(COUNT(F771,G771)&lt;2,"",G771/F771)</f>
        <v>0.972648605120161</v>
      </c>
      <c r="K771" s="10" t="n">
        <f aca="false">H771/H770-1</f>
        <v>-0.0216032290919221</v>
      </c>
      <c r="L771" s="10" t="n">
        <f aca="false">H776/H771-1</f>
        <v>-0.023677339607348</v>
      </c>
      <c r="M771" s="10" t="str">
        <f aca="false">IF(COUNT(B712:B771)&lt;60,"",(B771-AVERAGE(B712:B771))/STDEV(B712:B771))</f>
        <v/>
      </c>
      <c r="N771" s="10" t="n">
        <f aca="false">(H771-AVERAGE(H712:H771))/STDEV(H712:H771)</f>
        <v>-1.54971825065445</v>
      </c>
      <c r="O771" s="10" t="n">
        <f aca="false">IF(COUNT(B771)=0,"",B771-('Signal Analysis'!$C$6+'Signal Analysis'!$C$5*H771))</f>
        <v>0.286570190670822</v>
      </c>
    </row>
    <row r="772" customFormat="false" ht="15" hidden="false" customHeight="false" outlineLevel="0" collapsed="false">
      <c r="A772" s="8" t="n">
        <v>43444</v>
      </c>
      <c r="B772" s="9" t="n">
        <v>17.628918648</v>
      </c>
      <c r="C772" s="9" t="n">
        <v>144.270004</v>
      </c>
      <c r="D772" s="9" t="n">
        <v>144.720001</v>
      </c>
      <c r="E772" s="9" t="n">
        <v>141.449997</v>
      </c>
      <c r="F772" s="9" t="n">
        <v>143.600006</v>
      </c>
      <c r="G772" s="9" t="n">
        <v>139.672333</v>
      </c>
      <c r="H772" s="9" t="n">
        <v>139.672333</v>
      </c>
      <c r="I772" s="2" t="str">
        <f aca="false">IF(COUNT(C772:F772)&lt;4,"",IF(OR(D772&lt;MAX(C772,F772)-0.000001,E772&gt;MIN(C772,F772)+0.000001),"FAIL","OK"))</f>
        <v>OK</v>
      </c>
      <c r="J772" s="10" t="n">
        <f aca="false">IF(COUNT(F772,G772)&lt;2,"",G772/F772)</f>
        <v>0.972648517855912</v>
      </c>
      <c r="K772" s="10" t="n">
        <f aca="false">H772/H771-1</f>
        <v>-0.00291633711889938</v>
      </c>
      <c r="L772" s="10" t="n">
        <f aca="false">H777/H772-1</f>
        <v>-0.0426283063518387</v>
      </c>
      <c r="M772" s="10" t="str">
        <f aca="false">IF(COUNT(B713:B772)&lt;60,"",(B772-AVERAGE(B713:B772))/STDEV(B713:B772))</f>
        <v/>
      </c>
      <c r="N772" s="10" t="n">
        <f aca="false">(H772-AVERAGE(H713:H772))/STDEV(H713:H772)</f>
        <v>-1.55239499184553</v>
      </c>
      <c r="O772" s="10" t="n">
        <f aca="false">IF(COUNT(B772)=0,"",B772-('Signal Analysis'!$C$6+'Signal Analysis'!$C$5*H772))</f>
        <v>0.320551075621793</v>
      </c>
    </row>
    <row r="773" customFormat="false" ht="15" hidden="false" customHeight="false" outlineLevel="0" collapsed="false">
      <c r="A773" s="8" t="n">
        <v>43445</v>
      </c>
      <c r="B773" s="9" t="n">
        <v>16.9479330048</v>
      </c>
      <c r="C773" s="9" t="n">
        <v>145.679993</v>
      </c>
      <c r="D773" s="9" t="n">
        <v>146.190002</v>
      </c>
      <c r="E773" s="9" t="n">
        <v>142.389999</v>
      </c>
      <c r="F773" s="9" t="n">
        <v>143.449997</v>
      </c>
      <c r="G773" s="9" t="n">
        <v>139.526428</v>
      </c>
      <c r="H773" s="9" t="n">
        <v>139.526428</v>
      </c>
      <c r="I773" s="2" t="str">
        <f aca="false">IF(COUNT(C773:F773)&lt;4,"",IF(OR(D773&lt;MAX(C773,F773)-0.000001,E773&gt;MIN(C773,F773)+0.000001),"FAIL","OK"))</f>
        <v>OK</v>
      </c>
      <c r="J773" s="10" t="n">
        <f aca="false">IF(COUNT(F773,G773)&lt;2,"",G773/F773)</f>
        <v>0.972648525046675</v>
      </c>
      <c r="K773" s="10" t="n">
        <f aca="false">H773/H772-1</f>
        <v>-0.00104462349032286</v>
      </c>
      <c r="L773" s="10" t="n">
        <f aca="false">H778/H773-1</f>
        <v>-0.0428163616429714</v>
      </c>
      <c r="M773" s="10" t="str">
        <f aca="false">IF(COUNT(B714:B773)&lt;60,"",(B773-AVERAGE(B714:B773))/STDEV(B714:B773))</f>
        <v/>
      </c>
      <c r="N773" s="10" t="n">
        <f aca="false">(H773-AVERAGE(H714:H773))/STDEV(H714:H773)</f>
        <v>-1.52807149713803</v>
      </c>
      <c r="O773" s="10" t="n">
        <f aca="false">IF(COUNT(B773)=0,"",B773-('Signal Analysis'!$C$6+'Signal Analysis'!$C$5*H773))</f>
        <v>-0.340475868411183</v>
      </c>
    </row>
    <row r="774" customFormat="false" ht="15" hidden="false" customHeight="false" outlineLevel="0" collapsed="false">
      <c r="A774" s="8" t="n">
        <v>43446</v>
      </c>
      <c r="B774" s="9" t="n">
        <v>16.6684157424</v>
      </c>
      <c r="C774" s="9" t="n">
        <v>144.880005</v>
      </c>
      <c r="D774" s="9" t="n">
        <v>146.759995</v>
      </c>
      <c r="E774" s="9" t="n">
        <v>144.759995</v>
      </c>
      <c r="F774" s="9" t="n">
        <v>144.820007</v>
      </c>
      <c r="G774" s="9" t="n">
        <v>140.858978</v>
      </c>
      <c r="H774" s="9" t="n">
        <v>140.858978</v>
      </c>
      <c r="I774" s="2" t="str">
        <f aca="false">IF(COUNT(C774:F774)&lt;4,"",IF(OR(D774&lt;MAX(C774,F774)-0.000001,E774&gt;MIN(C774,F774)+0.000001),"FAIL","OK"))</f>
        <v>OK</v>
      </c>
      <c r="J774" s="10" t="n">
        <f aca="false">IF(COUNT(F774,G774)&lt;2,"",G774/F774)</f>
        <v>0.972648606487086</v>
      </c>
      <c r="K774" s="10" t="n">
        <f aca="false">H774/H773-1</f>
        <v>0.00955052042183713</v>
      </c>
      <c r="L774" s="10" t="n">
        <f aca="false">H779/H774-1</f>
        <v>-0.0716169472704822</v>
      </c>
      <c r="M774" s="10" t="str">
        <f aca="false">IF(COUNT(B715:B774)&lt;60,"",(B774-AVERAGE(B715:B774))/STDEV(B715:B774))</f>
        <v/>
      </c>
      <c r="N774" s="10" t="n">
        <f aca="false">(H774-AVERAGE(H715:H774))/STDEV(H715:H774)</f>
        <v>-1.31914775683961</v>
      </c>
      <c r="O774" s="10" t="n">
        <f aca="false">IF(COUNT(B774)=0,"",B774-('Signal Analysis'!$C$6+'Signal Analysis'!$C$5*H774))</f>
        <v>-0.802275880374399</v>
      </c>
    </row>
    <row r="775" customFormat="false" ht="15" hidden="false" customHeight="false" outlineLevel="0" collapsed="false">
      <c r="A775" s="8" t="n">
        <v>43447</v>
      </c>
      <c r="B775" s="9" t="n">
        <v>15.784871256</v>
      </c>
      <c r="C775" s="9" t="n">
        <v>145.240005</v>
      </c>
      <c r="D775" s="9" t="n">
        <v>145.690002</v>
      </c>
      <c r="E775" s="9" t="n">
        <v>142.539993</v>
      </c>
      <c r="F775" s="9" t="n">
        <v>142.770004</v>
      </c>
      <c r="G775" s="9" t="n">
        <v>138.865021</v>
      </c>
      <c r="H775" s="9" t="n">
        <v>138.865021</v>
      </c>
      <c r="I775" s="2" t="str">
        <f aca="false">IF(COUNT(C775:F775)&lt;4,"",IF(OR(D775&lt;MAX(C775,F775)-0.000001,E775&gt;MIN(C775,F775)+0.000001),"FAIL","OK"))</f>
        <v>OK</v>
      </c>
      <c r="J775" s="10" t="n">
        <f aca="false">IF(COUNT(F775,G775)&lt;2,"",G775/F775)</f>
        <v>0.972648435311384</v>
      </c>
      <c r="K775" s="10" t="n">
        <f aca="false">H775/H774-1</f>
        <v>-0.0141556969126951</v>
      </c>
      <c r="L775" s="10" t="n">
        <f aca="false">H780/H775-1</f>
        <v>-0.0738177398900189</v>
      </c>
      <c r="M775" s="10" t="str">
        <f aca="false">IF(COUNT(B716:B775)&lt;60,"",(B775-AVERAGE(B716:B775))/STDEV(B716:B775))</f>
        <v/>
      </c>
      <c r="N775" s="10" t="n">
        <f aca="false">(H775-AVERAGE(H716:H775))/STDEV(H716:H775)</f>
        <v>-1.53422018940079</v>
      </c>
      <c r="O775" s="10" t="n">
        <f aca="false">IF(COUNT(B775)=0,"",B775-('Signal Analysis'!$C$6+'Signal Analysis'!$C$5*H775))</f>
        <v>-1.41306214796773</v>
      </c>
    </row>
    <row r="776" customFormat="false" ht="15" hidden="false" customHeight="false" outlineLevel="0" collapsed="false">
      <c r="A776" s="8" t="n">
        <v>43448</v>
      </c>
      <c r="B776" s="9" t="n">
        <v>15.9209395776</v>
      </c>
      <c r="C776" s="9" t="n">
        <v>141.729996</v>
      </c>
      <c r="D776" s="9" t="n">
        <v>143.229996</v>
      </c>
      <c r="E776" s="9" t="n">
        <v>140.100006</v>
      </c>
      <c r="F776" s="9" t="n">
        <v>140.610001</v>
      </c>
      <c r="G776" s="9" t="n">
        <v>136.764114</v>
      </c>
      <c r="H776" s="9" t="n">
        <v>136.764114</v>
      </c>
      <c r="I776" s="2" t="str">
        <f aca="false">IF(COUNT(C776:F776)&lt;4,"",IF(OR(D776&lt;MAX(C776,F776)-0.000001,E776&gt;MIN(C776,F776)+0.000001),"FAIL","OK"))</f>
        <v>OK</v>
      </c>
      <c r="J776" s="10" t="n">
        <f aca="false">IF(COUNT(F776,G776)&lt;2,"",G776/F776)</f>
        <v>0.972648552929034</v>
      </c>
      <c r="K776" s="10" t="n">
        <f aca="false">H776/H775-1</f>
        <v>-0.0151291303228911</v>
      </c>
      <c r="L776" s="10" t="n">
        <f aca="false">H781/H776-1</f>
        <v>-0.083993948880479</v>
      </c>
      <c r="M776" s="10" t="str">
        <f aca="false">IF(COUNT(B717:B776)&lt;60,"",(B776-AVERAGE(B717:B776))/STDEV(B717:B776))</f>
        <v/>
      </c>
      <c r="N776" s="10" t="n">
        <f aca="false">(H776-AVERAGE(H717:H776))/STDEV(H717:H776)</f>
        <v>-1.75219748607336</v>
      </c>
      <c r="O776" s="10" t="n">
        <f aca="false">IF(COUNT(B776)=0,"",B776-('Signal Analysis'!$C$6+'Signal Analysis'!$C$5*H776))</f>
        <v>-0.989605657416005</v>
      </c>
    </row>
    <row r="777" customFormat="false" ht="15" hidden="false" customHeight="false" outlineLevel="0" collapsed="false">
      <c r="A777" s="8" t="n">
        <v>43451</v>
      </c>
      <c r="B777" s="9" t="n">
        <v>15.9136169256</v>
      </c>
      <c r="C777" s="9" t="n">
        <v>139.669998</v>
      </c>
      <c r="D777" s="9" t="n">
        <v>140.880005</v>
      </c>
      <c r="E777" s="9" t="n">
        <v>136.160004</v>
      </c>
      <c r="F777" s="9" t="n">
        <v>137.020004</v>
      </c>
      <c r="G777" s="9" t="n">
        <v>133.718338</v>
      </c>
      <c r="H777" s="9" t="n">
        <v>133.718338</v>
      </c>
      <c r="I777" s="2" t="str">
        <f aca="false">IF(COUNT(C777:F777)&lt;4,"",IF(OR(D777&lt;MAX(C777,F777)-0.000001,E777&gt;MIN(C777,F777)+0.000001),"FAIL","OK"))</f>
        <v>OK</v>
      </c>
      <c r="J777" s="10" t="n">
        <f aca="false">IF(COUNT(F777,G777)&lt;2,"",G777/F777)</f>
        <v>0.975903766577032</v>
      </c>
      <c r="K777" s="10" t="n">
        <f aca="false">H777/H776-1</f>
        <v>-0.0222702864875798</v>
      </c>
      <c r="L777" s="10" t="n">
        <f aca="false">H782/H777-1</f>
        <v>-0.0813021023339371</v>
      </c>
      <c r="M777" s="10" t="str">
        <f aca="false">IF(COUNT(B718:B777)&lt;60,"",(B777-AVERAGE(B718:B777))/STDEV(B718:B777))</f>
        <v/>
      </c>
      <c r="N777" s="10" t="n">
        <f aca="false">(H777-AVERAGE(H718:H777))/STDEV(H718:H777)</f>
        <v>-2.08091593376134</v>
      </c>
      <c r="O777" s="10" t="n">
        <f aca="false">IF(COUNT(B777)=0,"",B777-('Signal Analysis'!$C$6+'Signal Analysis'!$C$5*H777))</f>
        <v>-0.580289216073417</v>
      </c>
    </row>
    <row r="778" customFormat="false" ht="15" hidden="false" customHeight="false" outlineLevel="0" collapsed="false">
      <c r="A778" s="8" t="n">
        <v>43452</v>
      </c>
      <c r="B778" s="9" t="n">
        <v>16.1351054592</v>
      </c>
      <c r="C778" s="9" t="n">
        <v>138.259995</v>
      </c>
      <c r="D778" s="9" t="n">
        <v>139.179993</v>
      </c>
      <c r="E778" s="9" t="n">
        <v>136.289993</v>
      </c>
      <c r="F778" s="9" t="n">
        <v>136.850006</v>
      </c>
      <c r="G778" s="9" t="n">
        <v>133.552414</v>
      </c>
      <c r="H778" s="9" t="n">
        <v>133.552414</v>
      </c>
      <c r="I778" s="2" t="str">
        <f aca="false">IF(COUNT(C778:F778)&lt;4,"",IF(OR(D778&lt;MAX(C778,F778)-0.000001,E778&gt;MIN(C778,F778)+0.000001),"FAIL","OK"))</f>
        <v>OK</v>
      </c>
      <c r="J778" s="10" t="n">
        <f aca="false">IF(COUNT(F778,G778)&lt;2,"",G778/F778)</f>
        <v>0.975903603540945</v>
      </c>
      <c r="K778" s="10" t="n">
        <f aca="false">H778/H777-1</f>
        <v>-0.0012408470108265</v>
      </c>
      <c r="L778" s="10" t="n">
        <f aca="false">H783/H778-1</f>
        <v>-0.0359519371922398</v>
      </c>
      <c r="M778" s="10" t="str">
        <f aca="false">IF(COUNT(B719:B778)&lt;60,"",(B778-AVERAGE(B719:B778))/STDEV(B719:B778))</f>
        <v/>
      </c>
      <c r="N778" s="10" t="n">
        <f aca="false">(H778-AVERAGE(H719:H778))/STDEV(H719:H778)</f>
        <v>-2.0349224176336</v>
      </c>
      <c r="O778" s="10" t="n">
        <f aca="false">IF(COUNT(B778)=0,"",B778-('Signal Analysis'!$C$6+'Signal Analysis'!$C$5*H778))</f>
        <v>-0.336103535695791</v>
      </c>
    </row>
    <row r="779" customFormat="false" ht="15" hidden="false" customHeight="false" outlineLevel="0" collapsed="false">
      <c r="A779" s="8" t="n">
        <v>43453</v>
      </c>
      <c r="B779" s="9" t="n">
        <v>16.6481583336</v>
      </c>
      <c r="C779" s="9" t="n">
        <v>136.800003</v>
      </c>
      <c r="D779" s="9" t="n">
        <v>138.679993</v>
      </c>
      <c r="E779" s="9" t="n">
        <v>133.25</v>
      </c>
      <c r="F779" s="9" t="n">
        <v>134</v>
      </c>
      <c r="G779" s="9" t="n">
        <v>130.771088</v>
      </c>
      <c r="H779" s="9" t="n">
        <v>130.771088</v>
      </c>
      <c r="I779" s="2" t="str">
        <f aca="false">IF(COUNT(C779:F779)&lt;4,"",IF(OR(D779&lt;MAX(C779,F779)-0.000001,E779&gt;MIN(C779,F779)+0.000001),"FAIL","OK"))</f>
        <v>OK</v>
      </c>
      <c r="J779" s="10" t="n">
        <f aca="false">IF(COUNT(F779,G779)&lt;2,"",G779/F779)</f>
        <v>0.975903641791045</v>
      </c>
      <c r="K779" s="10" t="n">
        <f aca="false">H779/H778-1</f>
        <v>-0.0208257261452421</v>
      </c>
      <c r="L779" s="10" t="n">
        <f aca="false">H784/H779-1</f>
        <v>-0.0113433636034289</v>
      </c>
      <c r="M779" s="10" t="str">
        <f aca="false">IF(COUNT(B720:B779)&lt;60,"",(B779-AVERAGE(B720:B779))/STDEV(B720:B779))</f>
        <v/>
      </c>
      <c r="N779" s="10" t="n">
        <f aca="false">(H779-AVERAGE(H720:H779))/STDEV(H720:H779)</f>
        <v>-2.30128916629751</v>
      </c>
      <c r="O779" s="10" t="n">
        <f aca="false">IF(COUNT(B779)=0,"",B779-('Signal Analysis'!$C$6+'Signal Analysis'!$C$5*H779))</f>
        <v>0.557413674535269</v>
      </c>
    </row>
    <row r="780" customFormat="false" ht="15" hidden="false" customHeight="false" outlineLevel="0" collapsed="false">
      <c r="A780" s="8" t="n">
        <v>43454</v>
      </c>
      <c r="B780" s="9" t="n">
        <v>17.0920907916</v>
      </c>
      <c r="C780" s="9" t="n">
        <v>133.630005</v>
      </c>
      <c r="D780" s="9" t="n">
        <v>134.410004</v>
      </c>
      <c r="E780" s="9" t="n">
        <v>130.229996</v>
      </c>
      <c r="F780" s="9" t="n">
        <v>131.789993</v>
      </c>
      <c r="G780" s="9" t="n">
        <v>128.614319</v>
      </c>
      <c r="H780" s="9" t="n">
        <v>128.614319</v>
      </c>
      <c r="I780" s="2" t="str">
        <f aca="false">IF(COUNT(C780:F780)&lt;4,"",IF(OR(D780&lt;MAX(C780,F780)-0.000001,E780&gt;MIN(C780,F780)+0.000001),"FAIL","OK"))</f>
        <v>OK</v>
      </c>
      <c r="J780" s="10" t="n">
        <f aca="false">IF(COUNT(F780,G780)&lt;2,"",G780/F780)</f>
        <v>0.975903527060662</v>
      </c>
      <c r="K780" s="10" t="n">
        <f aca="false">H780/H779-1</f>
        <v>-0.0164927051765448</v>
      </c>
      <c r="L780" s="10" t="n">
        <f aca="false">H785/H780-1</f>
        <v>0.00811911930272724</v>
      </c>
      <c r="M780" s="10" t="str">
        <f aca="false">IF(COUNT(B721:B780)&lt;60,"",(B780-AVERAGE(B721:B780))/STDEV(B721:B780))</f>
        <v/>
      </c>
      <c r="N780" s="10" t="n">
        <f aca="false">(H780-AVERAGE(H721:H780))/STDEV(H721:H780)</f>
        <v>-2.4661918296896</v>
      </c>
      <c r="O780" s="10" t="n">
        <f aca="false">IF(COUNT(B780)=0,"",B780-('Signal Analysis'!$C$6+'Signal Analysis'!$C$5*H780))</f>
        <v>1.29637580008449</v>
      </c>
    </row>
    <row r="781" customFormat="false" ht="15" hidden="false" customHeight="false" outlineLevel="0" collapsed="false">
      <c r="A781" s="8" t="n">
        <v>43455</v>
      </c>
      <c r="B781" s="9" t="n">
        <v>17.346805344</v>
      </c>
      <c r="C781" s="9" t="n">
        <v>132.380005</v>
      </c>
      <c r="D781" s="9" t="n">
        <v>132.949997</v>
      </c>
      <c r="E781" s="9" t="n">
        <v>127.980003</v>
      </c>
      <c r="F781" s="9" t="n">
        <v>128.369995</v>
      </c>
      <c r="G781" s="9" t="n">
        <v>125.276756</v>
      </c>
      <c r="H781" s="9" t="n">
        <v>125.276756</v>
      </c>
      <c r="I781" s="2" t="str">
        <f aca="false">IF(COUNT(C781:F781)&lt;4,"",IF(OR(D781&lt;MAX(C781,F781)-0.000001,E781&gt;MIN(C781,F781)+0.000001),"FAIL","OK"))</f>
        <v>OK</v>
      </c>
      <c r="J781" s="10" t="n">
        <f aca="false">IF(COUNT(F781,G781)&lt;2,"",G781/F781)</f>
        <v>0.975903722672888</v>
      </c>
      <c r="K781" s="10" t="n">
        <f aca="false">H781/H780-1</f>
        <v>-0.0259501665596036</v>
      </c>
      <c r="L781" s="10" t="n">
        <f aca="false">H786/H781-1</f>
        <v>0.0430783903759449</v>
      </c>
      <c r="M781" s="10" t="str">
        <f aca="false">IF(COUNT(B722:B781)&lt;60,"",(B781-AVERAGE(B722:B781))/STDEV(B722:B781))</f>
        <v/>
      </c>
      <c r="N781" s="10" t="n">
        <f aca="false">(H781-AVERAGE(H722:H781))/STDEV(H722:H781)</f>
        <v>-2.72010936507017</v>
      </c>
      <c r="O781" s="10" t="n">
        <f aca="false">IF(COUNT(B781)=0,"",B781-('Signal Analysis'!$C$6+'Signal Analysis'!$C$5*H781))</f>
        <v>2.00764369793529</v>
      </c>
    </row>
    <row r="782" customFormat="false" ht="15" hidden="false" customHeight="false" outlineLevel="0" collapsed="false">
      <c r="A782" s="8" t="n">
        <v>43458</v>
      </c>
      <c r="B782" s="9" t="n">
        <v>15.48759156</v>
      </c>
      <c r="C782" s="9" t="n">
        <v>127.730003</v>
      </c>
      <c r="D782" s="9" t="n">
        <v>128.470001</v>
      </c>
      <c r="E782" s="9" t="n">
        <v>125.839996</v>
      </c>
      <c r="F782" s="9" t="n">
        <v>125.879997</v>
      </c>
      <c r="G782" s="9" t="n">
        <v>122.846756</v>
      </c>
      <c r="H782" s="9" t="n">
        <v>122.846756</v>
      </c>
      <c r="I782" s="2" t="str">
        <f aca="false">IF(COUNT(C782:F782)&lt;4,"",IF(OR(D782&lt;MAX(C782,F782)-0.000001,E782&gt;MIN(C782,F782)+0.000001),"FAIL","OK"))</f>
        <v>OK</v>
      </c>
      <c r="J782" s="10" t="n">
        <f aca="false">IF(COUNT(F782,G782)&lt;2,"",G782/F782)</f>
        <v>0.97590370930816</v>
      </c>
      <c r="K782" s="10" t="n">
        <f aca="false">H782/H781-1</f>
        <v>-0.0193970539914045</v>
      </c>
      <c r="L782" s="10" t="n">
        <f aca="false">H787/H782-1</f>
        <v>0.069748980591722</v>
      </c>
      <c r="M782" s="10" t="str">
        <f aca="false">IF(COUNT(B723:B782)&lt;60,"",(B782-AVERAGE(B723:B782))/STDEV(B723:B782))</f>
        <v/>
      </c>
      <c r="N782" s="10" t="n">
        <f aca="false">(H782-AVERAGE(H723:H782))/STDEV(H723:H782)</f>
        <v>-2.82644308599943</v>
      </c>
      <c r="O782" s="10" t="n">
        <f aca="false">IF(COUNT(B782)=0,"",B782-('Signal Analysis'!$C$6+'Signal Analysis'!$C$5*H782))</f>
        <v>0.480835513303893</v>
      </c>
    </row>
    <row r="783" customFormat="false" ht="15" hidden="false" customHeight="false" outlineLevel="0" collapsed="false">
      <c r="A783" s="8" t="n">
        <v>43460</v>
      </c>
      <c r="B783" s="9" t="n">
        <v>16.06611144</v>
      </c>
      <c r="C783" s="9" t="n">
        <v>126.279999</v>
      </c>
      <c r="D783" s="9" t="n">
        <v>132.100006</v>
      </c>
      <c r="E783" s="9" t="n">
        <v>125.809998</v>
      </c>
      <c r="F783" s="9" t="n">
        <v>131.929993</v>
      </c>
      <c r="G783" s="9" t="n">
        <v>128.750946</v>
      </c>
      <c r="H783" s="9" t="n">
        <v>128.750946</v>
      </c>
      <c r="I783" s="2" t="str">
        <f aca="false">IF(COUNT(C783:F783)&lt;4,"",IF(OR(D783&lt;MAX(C783,F783)-0.000001,E783&gt;MIN(C783,F783)+0.000001),"FAIL","OK"))</f>
        <v>OK</v>
      </c>
      <c r="J783" s="10" t="n">
        <f aca="false">IF(COUNT(F783,G783)&lt;2,"",G783/F783)</f>
        <v>0.975903530897633</v>
      </c>
      <c r="K783" s="10" t="n">
        <f aca="false">H783/H782-1</f>
        <v>0.04806142377907</v>
      </c>
      <c r="L783" s="10" t="n">
        <f aca="false">H788/H783-1</f>
        <v>0.00242574528345596</v>
      </c>
      <c r="M783" s="10" t="str">
        <f aca="false">IF(COUNT(B724:B783)&lt;60,"",(B783-AVERAGE(B724:B783))/STDEV(B724:B783))</f>
        <v/>
      </c>
      <c r="N783" s="10" t="n">
        <f aca="false">(H783-AVERAGE(H724:H783))/STDEV(H724:H783)</f>
        <v>-2.0546982748734</v>
      </c>
      <c r="O783" s="10" t="n">
        <f aca="false">IF(COUNT(B783)=0,"",B783-('Signal Analysis'!$C$6+'Signal Analysis'!$C$5*H783))</f>
        <v>0.251706909461884</v>
      </c>
    </row>
    <row r="784" customFormat="false" ht="15" hidden="false" customHeight="false" outlineLevel="0" collapsed="false">
      <c r="A784" s="8" t="n">
        <v>43461</v>
      </c>
      <c r="B784" s="9" t="n">
        <v>17.981882028</v>
      </c>
      <c r="C784" s="9" t="n">
        <v>130.270004</v>
      </c>
      <c r="D784" s="9" t="n">
        <v>132.479996</v>
      </c>
      <c r="E784" s="9" t="n">
        <v>127.870003</v>
      </c>
      <c r="F784" s="9" t="n">
        <v>132.479996</v>
      </c>
      <c r="G784" s="9" t="n">
        <v>129.287704</v>
      </c>
      <c r="H784" s="9" t="n">
        <v>129.287704</v>
      </c>
      <c r="I784" s="2" t="str">
        <f aca="false">IF(COUNT(C784:F784)&lt;4,"",IF(OR(D784&lt;MAX(C784,F784)-0.000001,E784&gt;MIN(C784,F784)+0.000001),"FAIL","OK"))</f>
        <v>OK</v>
      </c>
      <c r="J784" s="10" t="n">
        <f aca="false">IF(COUNT(F784,G784)&lt;2,"",G784/F784)</f>
        <v>0.975903592267621</v>
      </c>
      <c r="K784" s="10" t="n">
        <f aca="false">H784/H783-1</f>
        <v>0.00416896354299401</v>
      </c>
      <c r="L784" s="10" t="n">
        <f aca="false">H789/H784-1</f>
        <v>0.035552940131105</v>
      </c>
      <c r="M784" s="10" t="str">
        <f aca="false">IF(COUNT(B725:B784)&lt;60,"",(B784-AVERAGE(B725:B784))/STDEV(B725:B784))</f>
        <v/>
      </c>
      <c r="N784" s="10" t="n">
        <f aca="false">(H784-AVERAGE(H725:H784))/STDEV(H725:H784)</f>
        <v>-1.92326168902274</v>
      </c>
      <c r="O784" s="10" t="n">
        <f aca="false">IF(COUNT(B784)=0,"",B784-('Signal Analysis'!$C$6+'Signal Analysis'!$C$5*H784))</f>
        <v>2.09405306754177</v>
      </c>
    </row>
    <row r="785" customFormat="false" ht="15" hidden="false" customHeight="false" outlineLevel="0" collapsed="false">
      <c r="A785" s="8" t="n">
        <v>43462</v>
      </c>
      <c r="B785" s="9" t="n">
        <v>18.0915783252</v>
      </c>
      <c r="C785" s="9" t="n">
        <v>132.479996</v>
      </c>
      <c r="D785" s="9" t="n">
        <v>135.009995</v>
      </c>
      <c r="E785" s="9" t="n">
        <v>131.539993</v>
      </c>
      <c r="F785" s="9" t="n">
        <v>132.860001</v>
      </c>
      <c r="G785" s="9" t="n">
        <v>129.658554</v>
      </c>
      <c r="H785" s="9" t="n">
        <v>129.658554</v>
      </c>
      <c r="I785" s="2" t="str">
        <f aca="false">IF(COUNT(C785:F785)&lt;4,"",IF(OR(D785&lt;MAX(C785,F785)-0.000001,E785&gt;MIN(C785,F785)+0.000001),"FAIL","OK"))</f>
        <v>OK</v>
      </c>
      <c r="J785" s="10" t="n">
        <f aca="false">IF(COUNT(F785,G785)&lt;2,"",G785/F785)</f>
        <v>0.975903605480178</v>
      </c>
      <c r="K785" s="10" t="n">
        <f aca="false">H785/H784-1</f>
        <v>0.00286840889370277</v>
      </c>
      <c r="L785" s="10" t="n">
        <f aca="false">H790/H785-1</f>
        <v>0.0506547759278575</v>
      </c>
      <c r="M785" s="10" t="str">
        <f aca="false">IF(COUNT(B726:B785)&lt;60,"",(B785-AVERAGE(B726:B785))/STDEV(B726:B785))</f>
        <v/>
      </c>
      <c r="N785" s="10" t="n">
        <f aca="false">(H785-AVERAGE(H726:H785))/STDEV(H726:H785)</f>
        <v>-1.81413620392108</v>
      </c>
      <c r="O785" s="10" t="n">
        <f aca="false">IF(COUNT(B785)=0,"",B785-('Signal Analysis'!$C$6+'Signal Analysis'!$C$5*H785))</f>
        <v>2.15301989292043</v>
      </c>
    </row>
    <row r="786" customFormat="false" ht="15" hidden="false" customHeight="false" outlineLevel="0" collapsed="false">
      <c r="A786" s="8" t="n">
        <v>43465</v>
      </c>
      <c r="B786" s="9" t="n">
        <v>17.9062298796</v>
      </c>
      <c r="C786" s="9" t="n">
        <v>133.720001</v>
      </c>
      <c r="D786" s="9" t="n">
        <v>134.050003</v>
      </c>
      <c r="E786" s="9" t="n">
        <v>131.800003</v>
      </c>
      <c r="F786" s="9" t="n">
        <v>133.899994</v>
      </c>
      <c r="G786" s="9" t="n">
        <v>130.673477</v>
      </c>
      <c r="H786" s="9" t="n">
        <v>130.673477</v>
      </c>
      <c r="I786" s="2" t="str">
        <f aca="false">IF(COUNT(C786:F786)&lt;4,"",IF(OR(D786&lt;MAX(C786,F786)-0.000001,E786&gt;MIN(C786,F786)+0.000001),"FAIL","OK"))</f>
        <v>OK</v>
      </c>
      <c r="J786" s="10" t="n">
        <f aca="false">IF(COUNT(F786,G786)&lt;2,"",G786/F786)</f>
        <v>0.975903531407178</v>
      </c>
      <c r="K786" s="10" t="n">
        <f aca="false">H786/H785-1</f>
        <v>0.00782765940764674</v>
      </c>
      <c r="L786" s="10" t="n">
        <f aca="false">H791/H786-1</f>
        <v>0.0584766103682999</v>
      </c>
      <c r="M786" s="10" t="str">
        <f aca="false">IF(COUNT(B727:B786)&lt;60,"",(B786-AVERAGE(B727:B786))/STDEV(B727:B786))</f>
        <v/>
      </c>
      <c r="N786" s="10" t="n">
        <f aca="false">(H786-AVERAGE(H727:H786))/STDEV(H727:H786)</f>
        <v>-1.64940715850893</v>
      </c>
      <c r="O786" s="10" t="n">
        <f aca="false">IF(COUNT(B786)=0,"",B786-('Signal Analysis'!$C$6+'Signal Analysis'!$C$5*H786))</f>
        <v>1.82883766619781</v>
      </c>
    </row>
    <row r="787" customFormat="false" ht="15" hidden="false" customHeight="false" outlineLevel="0" collapsed="false">
      <c r="A787" s="8" t="n">
        <v>43467</v>
      </c>
      <c r="B787" s="9" t="n">
        <v>17.8307475576</v>
      </c>
      <c r="C787" s="9" t="n">
        <v>132.169998</v>
      </c>
      <c r="D787" s="9" t="n">
        <v>135.169998</v>
      </c>
      <c r="E787" s="9" t="n">
        <v>131.539993</v>
      </c>
      <c r="F787" s="9" t="n">
        <v>134.660004</v>
      </c>
      <c r="G787" s="9" t="n">
        <v>131.415192</v>
      </c>
      <c r="H787" s="9" t="n">
        <v>131.415192</v>
      </c>
      <c r="I787" s="2" t="str">
        <f aca="false">IF(COUNT(C787:F787)&lt;4,"",IF(OR(D787&lt;MAX(C787,F787)-0.000001,E787&gt;MIN(C787,F787)+0.000001),"FAIL","OK"))</f>
        <v>OK</v>
      </c>
      <c r="J787" s="10" t="n">
        <f aca="false">IF(COUNT(F787,G787)&lt;2,"",G787/F787)</f>
        <v>0.975903669214209</v>
      </c>
      <c r="K787" s="10" t="n">
        <f aca="false">H787/H786-1</f>
        <v>0.00567609446865802</v>
      </c>
      <c r="L787" s="10" t="n">
        <f aca="false">H792/H787-1</f>
        <v>0.0611909998959632</v>
      </c>
      <c r="M787" s="10" t="str">
        <f aca="false">IF(COUNT(B728:B787)&lt;60,"",(B787-AVERAGE(B728:B787))/STDEV(B728:B787))</f>
        <v/>
      </c>
      <c r="N787" s="10" t="n">
        <f aca="false">(H787-AVERAGE(H728:H787))/STDEV(H728:H787)</f>
        <v>-1.51622327962332</v>
      </c>
      <c r="O787" s="10" t="n">
        <f aca="false">IF(COUNT(B787)=0,"",B787-('Signal Analysis'!$C$6+'Signal Analysis'!$C$5*H787))</f>
        <v>1.65189434866872</v>
      </c>
    </row>
    <row r="788" customFormat="false" ht="15" hidden="false" customHeight="false" outlineLevel="0" collapsed="false">
      <c r="A788" s="8" t="n">
        <v>43468</v>
      </c>
      <c r="B788" s="9" t="n">
        <v>18.0039698856</v>
      </c>
      <c r="C788" s="9" t="n">
        <v>133.910004</v>
      </c>
      <c r="D788" s="9" t="n">
        <v>134.639999</v>
      </c>
      <c r="E788" s="9" t="n">
        <v>131.649994</v>
      </c>
      <c r="F788" s="9" t="n">
        <v>132.25</v>
      </c>
      <c r="G788" s="9" t="n">
        <v>129.063263</v>
      </c>
      <c r="H788" s="9" t="n">
        <v>129.063263</v>
      </c>
      <c r="I788" s="2" t="str">
        <f aca="false">IF(COUNT(C788:F788)&lt;4,"",IF(OR(D788&lt;MAX(C788,F788)-0.000001,E788&gt;MIN(C788,F788)+0.000001),"FAIL","OK"))</f>
        <v>OK</v>
      </c>
      <c r="J788" s="10" t="n">
        <f aca="false">IF(COUNT(F788,G788)&lt;2,"",G788/F788)</f>
        <v>0.975903689981096</v>
      </c>
      <c r="K788" s="10" t="n">
        <f aca="false">H788/H787-1</f>
        <v>-0.0178969338643891</v>
      </c>
      <c r="L788" s="10" t="n">
        <f aca="false">H793/H788-1</f>
        <v>0.0861249726810331</v>
      </c>
      <c r="M788" s="10" t="str">
        <f aca="false">IF(COUNT(B729:B788)&lt;60,"",(B788-AVERAGE(B729:B788))/STDEV(B729:B788))</f>
        <v/>
      </c>
      <c r="N788" s="10" t="n">
        <f aca="false">(H788-AVERAGE(H729:H788))/STDEV(H729:H788)</f>
        <v>-1.73796727509644</v>
      </c>
      <c r="O788" s="10" t="n">
        <f aca="false">IF(COUNT(B788)=0,"",B788-('Signal Analysis'!$C$6+'Signal Analysis'!$C$5*H788))</f>
        <v>2.1468427544125</v>
      </c>
    </row>
    <row r="789" customFormat="false" ht="15" hidden="false" customHeight="false" outlineLevel="0" collapsed="false">
      <c r="A789" s="8" t="n">
        <v>43469</v>
      </c>
      <c r="B789" s="9" t="n">
        <v>17.1584339316</v>
      </c>
      <c r="C789" s="9" t="n">
        <v>133.919998</v>
      </c>
      <c r="D789" s="9" t="n">
        <v>137.600006</v>
      </c>
      <c r="E789" s="9" t="n">
        <v>133.710007</v>
      </c>
      <c r="F789" s="9" t="n">
        <v>137.190002</v>
      </c>
      <c r="G789" s="9" t="n">
        <v>133.884262</v>
      </c>
      <c r="H789" s="9" t="n">
        <v>133.884262</v>
      </c>
      <c r="I789" s="2" t="str">
        <f aca="false">IF(COUNT(C789:F789)&lt;4,"",IF(OR(D789&lt;MAX(C789,F789)-0.000001,E789&gt;MIN(C789,F789)+0.000001),"FAIL","OK"))</f>
        <v>OK</v>
      </c>
      <c r="J789" s="10" t="n">
        <f aca="false">IF(COUNT(F789,G789)&lt;2,"",G789/F789)</f>
        <v>0.975903929209069</v>
      </c>
      <c r="K789" s="10" t="n">
        <f aca="false">H789/H788-1</f>
        <v>0.037353766578798</v>
      </c>
      <c r="L789" s="10" t="n">
        <f aca="false">H794/H789-1</f>
        <v>0.0473063219334922</v>
      </c>
      <c r="M789" s="10" t="str">
        <f aca="false">IF(COUNT(B730:B789)&lt;60,"",(B789-AVERAGE(B730:B789))/STDEV(B730:B789))</f>
        <v/>
      </c>
      <c r="N789" s="10" t="n">
        <f aca="false">(H789-AVERAGE(H730:H789))/STDEV(H730:H789)</f>
        <v>-1.12597767162889</v>
      </c>
      <c r="O789" s="10" t="n">
        <f aca="false">IF(COUNT(B789)=0,"",B789-('Signal Analysis'!$C$6+'Signal Analysis'!$C$5*H789))</f>
        <v>0.641830643148957</v>
      </c>
    </row>
    <row r="790" customFormat="false" ht="15" hidden="false" customHeight="false" outlineLevel="0" collapsed="false">
      <c r="A790" s="8" t="n">
        <v>43472</v>
      </c>
      <c r="B790" s="9" t="n">
        <v>17.639163612</v>
      </c>
      <c r="C790" s="9" t="n">
        <v>137.259995</v>
      </c>
      <c r="D790" s="9" t="n">
        <v>140.369995</v>
      </c>
      <c r="E790" s="9" t="n">
        <v>136.740005</v>
      </c>
      <c r="F790" s="9" t="n">
        <v>139.589996</v>
      </c>
      <c r="G790" s="9" t="n">
        <v>136.226379</v>
      </c>
      <c r="H790" s="9" t="n">
        <v>136.226379</v>
      </c>
      <c r="I790" s="2" t="str">
        <f aca="false">IF(COUNT(C790:F790)&lt;4,"",IF(OR(D790&lt;MAX(C790,F790)-0.000001,E790&gt;MIN(C790,F790)+0.000001),"FAIL","OK"))</f>
        <v>OK</v>
      </c>
      <c r="J790" s="10" t="n">
        <f aca="false">IF(COUNT(F790,G790)&lt;2,"",G790/F790)</f>
        <v>0.975903595555659</v>
      </c>
      <c r="K790" s="10" t="n">
        <f aca="false">H790/H789-1</f>
        <v>0.0174935945794734</v>
      </c>
      <c r="L790" s="10" t="n">
        <f aca="false">H795/H790-1</f>
        <v>0.0190557953537032</v>
      </c>
      <c r="M790" s="10" t="str">
        <f aca="false">IF(COUNT(B731:B790)&lt;60,"",(B790-AVERAGE(B731:B790))/STDEV(B731:B790))</f>
        <v/>
      </c>
      <c r="N790" s="10" t="n">
        <f aca="false">(H790-AVERAGE(H731:H790))/STDEV(H731:H790)</f>
        <v>-0.813678422725697</v>
      </c>
      <c r="O790" s="10" t="n">
        <f aca="false">IF(COUNT(B790)=0,"",B790-('Signal Analysis'!$C$6+'Signal Analysis'!$C$5*H790))</f>
        <v>0.802176453106</v>
      </c>
    </row>
    <row r="791" customFormat="false" ht="15" hidden="false" customHeight="false" outlineLevel="0" collapsed="false">
      <c r="A791" s="8" t="n">
        <v>43473</v>
      </c>
      <c r="B791" s="9" t="n">
        <v>18.4477178184</v>
      </c>
      <c r="C791" s="9" t="n">
        <v>140.800003</v>
      </c>
      <c r="D791" s="9" t="n">
        <v>141.789993</v>
      </c>
      <c r="E791" s="9" t="n">
        <v>139.389999</v>
      </c>
      <c r="F791" s="9" t="n">
        <v>141.729996</v>
      </c>
      <c r="G791" s="9" t="n">
        <v>138.314819</v>
      </c>
      <c r="H791" s="9" t="n">
        <v>138.314819</v>
      </c>
      <c r="I791" s="2" t="str">
        <f aca="false">IF(COUNT(C791:F791)&lt;4,"",IF(OR(D791&lt;MAX(C791,F791)-0.000001,E791&gt;MIN(C791,F791)+0.000001),"FAIL","OK"))</f>
        <v>OK</v>
      </c>
      <c r="J791" s="10" t="n">
        <f aca="false">IF(COUNT(F791,G791)&lt;2,"",G791/F791)</f>
        <v>0.975903640045259</v>
      </c>
      <c r="K791" s="10" t="n">
        <f aca="false">H791/H790-1</f>
        <v>0.0153306578015995</v>
      </c>
      <c r="L791" s="10" t="n">
        <f aca="false">H796/H791-1</f>
        <v>0.0121356700036601</v>
      </c>
      <c r="M791" s="10" t="str">
        <f aca="false">IF(COUNT(B732:B791)&lt;60,"",(B791-AVERAGE(B732:B791))/STDEV(B732:B791))</f>
        <v/>
      </c>
      <c r="N791" s="10" t="n">
        <f aca="false">(H791-AVERAGE(H732:H791))/STDEV(H732:H791)</f>
        <v>-0.530339883052125</v>
      </c>
      <c r="O791" s="10" t="n">
        <f aca="false">IF(COUNT(B791)=0,"",B791-('Signal Analysis'!$C$6+'Signal Analysis'!$C$5*H791))</f>
        <v>1.32504788175071</v>
      </c>
    </row>
    <row r="792" customFormat="false" ht="15" hidden="false" customHeight="false" outlineLevel="0" collapsed="false">
      <c r="A792" s="8" t="n">
        <v>43474</v>
      </c>
      <c r="B792" s="9" t="n">
        <v>17.0779248</v>
      </c>
      <c r="C792" s="9" t="n">
        <v>142.220001</v>
      </c>
      <c r="D792" s="9" t="n">
        <v>143.389999</v>
      </c>
      <c r="E792" s="9" t="n">
        <v>141.619995</v>
      </c>
      <c r="F792" s="9" t="n">
        <v>142.899994</v>
      </c>
      <c r="G792" s="9" t="n">
        <v>139.456619</v>
      </c>
      <c r="H792" s="9" t="n">
        <v>139.456619</v>
      </c>
      <c r="I792" s="2" t="str">
        <f aca="false">IF(COUNT(C792:F792)&lt;4,"",IF(OR(D792&lt;MAX(C792,F792)-0.000001,E792&gt;MIN(C792,F792)+0.000001),"FAIL","OK"))</f>
        <v>OK</v>
      </c>
      <c r="J792" s="10" t="n">
        <f aca="false">IF(COUNT(F792,G792)&lt;2,"",G792/F792)</f>
        <v>0.975903602907079</v>
      </c>
      <c r="K792" s="10" t="n">
        <f aca="false">H792/H791-1</f>
        <v>0.00825508075168724</v>
      </c>
      <c r="L792" s="10" t="n">
        <f aca="false">H797/H792-1</f>
        <v>0.0113367082275242</v>
      </c>
      <c r="M792" s="10" t="str">
        <f aca="false">IF(COUNT(B733:B792)&lt;60,"",(B792-AVERAGE(B733:B792))/STDEV(B733:B792))</f>
        <v/>
      </c>
      <c r="N792" s="10" t="n">
        <f aca="false">(H792-AVERAGE(H733:H792))/STDEV(H733:H792)</f>
        <v>-0.368219699858729</v>
      </c>
      <c r="O792" s="10" t="n">
        <f aca="false">IF(COUNT(B792)=0,"",B792-('Signal Analysis'!$C$6+'Signal Analysis'!$C$5*H792))</f>
        <v>-0.200934730624212</v>
      </c>
    </row>
    <row r="793" customFormat="false" ht="15" hidden="false" customHeight="false" outlineLevel="0" collapsed="false">
      <c r="A793" s="8" t="n">
        <v>43475</v>
      </c>
      <c r="B793" s="9" t="n">
        <v>18.116266392</v>
      </c>
      <c r="C793" s="9" t="n">
        <v>142.059998</v>
      </c>
      <c r="D793" s="9" t="n">
        <v>143.720001</v>
      </c>
      <c r="E793" s="9" t="n">
        <v>141.350006</v>
      </c>
      <c r="F793" s="9" t="n">
        <v>143.639999</v>
      </c>
      <c r="G793" s="9" t="n">
        <v>140.178833</v>
      </c>
      <c r="H793" s="9" t="n">
        <v>140.178833</v>
      </c>
      <c r="I793" s="2" t="str">
        <f aca="false">IF(COUNT(C793:F793)&lt;4,"",IF(OR(D793&lt;MAX(C793,F793)-0.000001,E793&gt;MIN(C793,F793)+0.000001),"FAIL","OK"))</f>
        <v>OK</v>
      </c>
      <c r="J793" s="10" t="n">
        <f aca="false">IF(COUNT(F793,G793)&lt;2,"",G793/F793)</f>
        <v>0.975903884544026</v>
      </c>
      <c r="K793" s="10" t="n">
        <f aca="false">H793/H792-1</f>
        <v>0.0051787717584062</v>
      </c>
      <c r="L793" s="10" t="n">
        <f aca="false">H798/H793-1</f>
        <v>0.0152462890028482</v>
      </c>
      <c r="M793" s="10" t="str">
        <f aca="false">IF(COUNT(B734:B793)&lt;60,"",(B793-AVERAGE(B734:B793))/STDEV(B734:B793))</f>
        <v/>
      </c>
      <c r="N793" s="10" t="n">
        <f aca="false">(H793-AVERAGE(H734:H793))/STDEV(H734:H793)</f>
        <v>-0.259334947608846</v>
      </c>
      <c r="O793" s="10" t="n">
        <f aca="false">IF(COUNT(B793)=0,"",B793-('Signal Analysis'!$C$6+'Signal Analysis'!$C$5*H793))</f>
        <v>0.738613454979738</v>
      </c>
    </row>
    <row r="794" customFormat="false" ht="15" hidden="false" customHeight="false" outlineLevel="0" collapsed="false">
      <c r="A794" s="8" t="n">
        <v>43476</v>
      </c>
      <c r="B794" s="9" t="n">
        <v>18.678795564</v>
      </c>
      <c r="C794" s="9" t="n">
        <v>143.009995</v>
      </c>
      <c r="D794" s="9" t="n">
        <v>143.990005</v>
      </c>
      <c r="E794" s="9" t="n">
        <v>142.679993</v>
      </c>
      <c r="F794" s="9" t="n">
        <v>143.679993</v>
      </c>
      <c r="G794" s="9" t="n">
        <v>140.217834</v>
      </c>
      <c r="H794" s="9" t="n">
        <v>140.217834</v>
      </c>
      <c r="I794" s="2" t="str">
        <f aca="false">IF(COUNT(C794:F794)&lt;4,"",IF(OR(D794&lt;MAX(C794,F794)-0.000001,E794&gt;MIN(C794,F794)+0.000001),"FAIL","OK"))</f>
        <v>OK</v>
      </c>
      <c r="J794" s="10" t="n">
        <f aca="false">IF(COUNT(F794,G794)&lt;2,"",G794/F794)</f>
        <v>0.975903680618916</v>
      </c>
      <c r="K794" s="10" t="n">
        <f aca="false">H794/H793-1</f>
        <v>0.000278223175106618</v>
      </c>
      <c r="L794" s="10" t="n">
        <f aca="false">H799/H794-1</f>
        <v>0.0254037442911861</v>
      </c>
      <c r="M794" s="10" t="str">
        <f aca="false">IF(COUNT(B735:B794)&lt;60,"",(B794-AVERAGE(B735:B794))/STDEV(B735:B794))</f>
        <v/>
      </c>
      <c r="N794" s="10" t="n">
        <f aca="false">(H794-AVERAGE(H735:H794))/STDEV(H735:H794)</f>
        <v>-0.235639202923337</v>
      </c>
      <c r="O794" s="10" t="n">
        <f aca="false">IF(COUNT(B794)=0,"",B794-('Signal Analysis'!$C$6+'Signal Analysis'!$C$5*H794))</f>
        <v>1.29580758550609</v>
      </c>
    </row>
    <row r="795" customFormat="false" ht="15" hidden="false" customHeight="false" outlineLevel="0" collapsed="false">
      <c r="A795" s="8" t="n">
        <v>43479</v>
      </c>
      <c r="B795" s="9" t="n">
        <v>18.4579285896</v>
      </c>
      <c r="C795" s="9" t="n">
        <v>142.820007</v>
      </c>
      <c r="D795" s="9" t="n">
        <v>143.440002</v>
      </c>
      <c r="E795" s="9" t="n">
        <v>142.089996</v>
      </c>
      <c r="F795" s="9" t="n">
        <v>142.25</v>
      </c>
      <c r="G795" s="9" t="n">
        <v>138.822281</v>
      </c>
      <c r="H795" s="9" t="n">
        <v>138.822281</v>
      </c>
      <c r="I795" s="2" t="str">
        <f aca="false">IF(COUNT(C795:F795)&lt;4,"",IF(OR(D795&lt;MAX(C795,F795)-0.000001,E795&gt;MIN(C795,F795)+0.000001),"FAIL","OK"))</f>
        <v>OK</v>
      </c>
      <c r="J795" s="10" t="n">
        <f aca="false">IF(COUNT(F795,G795)&lt;2,"",G795/F795)</f>
        <v>0.975903557117751</v>
      </c>
      <c r="K795" s="10" t="n">
        <f aca="false">H795/H794-1</f>
        <v>-0.0099527496623576</v>
      </c>
      <c r="L795" s="10" t="n">
        <f aca="false">H800/H795-1</f>
        <v>0.0193322424949924</v>
      </c>
      <c r="M795" s="10" t="str">
        <f aca="false">IF(COUNT(B736:B795)&lt;60,"",(B795-AVERAGE(B736:B795))/STDEV(B736:B795))</f>
        <v/>
      </c>
      <c r="N795" s="10" t="n">
        <f aca="false">(H795-AVERAGE(H736:H795))/STDEV(H736:H795)</f>
        <v>-0.389006171544588</v>
      </c>
      <c r="O795" s="10" t="n">
        <f aca="false">IF(COUNT(B795)=0,"",B795-('Signal Analysis'!$C$6+'Signal Analysis'!$C$5*H795))</f>
        <v>1.26584169399318</v>
      </c>
    </row>
    <row r="796" customFormat="false" ht="15" hidden="false" customHeight="false" outlineLevel="0" collapsed="false">
      <c r="A796" s="8" t="n">
        <v>43480</v>
      </c>
      <c r="B796" s="9" t="n">
        <v>17.3764800144</v>
      </c>
      <c r="C796" s="9" t="n">
        <v>142.649994</v>
      </c>
      <c r="D796" s="9" t="n">
        <v>143.649994</v>
      </c>
      <c r="E796" s="9" t="n">
        <v>142.089996</v>
      </c>
      <c r="F796" s="9" t="n">
        <v>143.449997</v>
      </c>
      <c r="G796" s="9" t="n">
        <v>139.993362</v>
      </c>
      <c r="H796" s="9" t="n">
        <v>139.993362</v>
      </c>
      <c r="I796" s="2" t="str">
        <f aca="false">IF(COUNT(C796:F796)&lt;4,"",IF(OR(D796&lt;MAX(C796,F796)-0.000001,E796&gt;MIN(C796,F796)+0.000001),"FAIL","OK"))</f>
        <v>OK</v>
      </c>
      <c r="J796" s="10" t="n">
        <f aca="false">IF(COUNT(F796,G796)&lt;2,"",G796/F796)</f>
        <v>0.975903554741796</v>
      </c>
      <c r="K796" s="10" t="n">
        <f aca="false">H796/H795-1</f>
        <v>0.00843582882779459</v>
      </c>
      <c r="L796" s="10" t="n">
        <f aca="false">H801/H796-1</f>
        <v>0.00801680868268595</v>
      </c>
      <c r="M796" s="10" t="str">
        <f aca="false">IF(COUNT(B737:B796)&lt;60,"",(B796-AVERAGE(B737:B796))/STDEV(B737:B796))</f>
        <v/>
      </c>
      <c r="N796" s="10" t="n">
        <f aca="false">(H796-AVERAGE(H737:H796))/STDEV(H737:H796)</f>
        <v>-0.210704085520171</v>
      </c>
      <c r="O796" s="10" t="n">
        <f aca="false">IF(COUNT(B796)=0,"",B796-('Signal Analysis'!$C$6+'Signal Analysis'!$C$5*H796))</f>
        <v>0.0241981057420801</v>
      </c>
    </row>
    <row r="797" customFormat="false" ht="15" hidden="false" customHeight="false" outlineLevel="0" collapsed="false">
      <c r="A797" s="8" t="n">
        <v>43481</v>
      </c>
      <c r="B797" s="9" t="n">
        <v>17.4273046104</v>
      </c>
      <c r="C797" s="9" t="n">
        <v>143.679993</v>
      </c>
      <c r="D797" s="9" t="n">
        <v>145.25</v>
      </c>
      <c r="E797" s="9" t="n">
        <v>143.669998</v>
      </c>
      <c r="F797" s="9" t="n">
        <v>144.520004</v>
      </c>
      <c r="G797" s="9" t="n">
        <v>141.037598</v>
      </c>
      <c r="H797" s="9" t="n">
        <v>141.037598</v>
      </c>
      <c r="I797" s="2" t="str">
        <f aca="false">IF(COUNT(C797:F797)&lt;4,"",IF(OR(D797&lt;MAX(C797,F797)-0.000001,E797&gt;MIN(C797,F797)+0.000001),"FAIL","OK"))</f>
        <v>OK</v>
      </c>
      <c r="J797" s="10" t="n">
        <f aca="false">IF(COUNT(F797,G797)&lt;2,"",G797/F797)</f>
        <v>0.975903640301588</v>
      </c>
      <c r="K797" s="10" t="n">
        <f aca="false">H797/H796-1</f>
        <v>0.00745918224322684</v>
      </c>
      <c r="L797" s="10" t="n">
        <f aca="false">H802/H797-1</f>
        <v>0.00657348120747203</v>
      </c>
      <c r="M797" s="10" t="str">
        <f aca="false">IF(COUNT(B738:B797)&lt;60,"",(B797-AVERAGE(B738:B797))/STDEV(B738:B797))</f>
        <v/>
      </c>
      <c r="N797" s="10" t="n">
        <f aca="false">(H797-AVERAGE(H738:H797))/STDEV(H738:H797)</f>
        <v>-0.0505682471802397</v>
      </c>
      <c r="O797" s="10" t="n">
        <f aca="false">IF(COUNT(B797)=0,"",B797-('Signal Analysis'!$C$6+'Signal Analysis'!$C$5*H797))</f>
        <v>-0.0678208758144088</v>
      </c>
    </row>
    <row r="798" customFormat="false" ht="15" hidden="false" customHeight="false" outlineLevel="0" collapsed="false">
      <c r="A798" s="8" t="n">
        <v>43482</v>
      </c>
      <c r="B798" s="9" t="n">
        <v>17.6771084772</v>
      </c>
      <c r="C798" s="9" t="n">
        <v>143.990005</v>
      </c>
      <c r="D798" s="9" t="n">
        <v>146.330002</v>
      </c>
      <c r="E798" s="9" t="n">
        <v>143.970001</v>
      </c>
      <c r="F798" s="9" t="n">
        <v>145.830002</v>
      </c>
      <c r="G798" s="9" t="n">
        <v>142.31604</v>
      </c>
      <c r="H798" s="9" t="n">
        <v>142.31604</v>
      </c>
      <c r="I798" s="2" t="str">
        <f aca="false">IF(COUNT(C798:F798)&lt;4,"",IF(OR(D798&lt;MAX(C798,F798)-0.000001,E798&gt;MIN(C798,F798)+0.000001),"FAIL","OK"))</f>
        <v>OK</v>
      </c>
      <c r="J798" s="10" t="n">
        <f aca="false">IF(COUNT(F798,G798)&lt;2,"",G798/F798)</f>
        <v>0.975903710129552</v>
      </c>
      <c r="K798" s="10" t="n">
        <f aca="false">H798/H797-1</f>
        <v>0.00906454745492757</v>
      </c>
      <c r="L798" s="10" t="n">
        <f aca="false">H803/H798-1</f>
        <v>0.0103544336955974</v>
      </c>
      <c r="M798" s="10" t="str">
        <f aca="false">IF(COUNT(B739:B798)&lt;60,"",(B798-AVERAGE(B739:B798))/STDEV(B739:B798))</f>
        <v/>
      </c>
      <c r="N798" s="10" t="n">
        <f aca="false">(H798-AVERAGE(H739:H798))/STDEV(H739:H798)</f>
        <v>0.138795952627502</v>
      </c>
      <c r="O798" s="10" t="n">
        <f aca="false">IF(COUNT(B798)=0,"",B798-('Signal Analysis'!$C$6+'Signal Analysis'!$C$5*H798))</f>
        <v>0.00710180610164812</v>
      </c>
    </row>
    <row r="799" customFormat="false" ht="15" hidden="false" customHeight="false" outlineLevel="0" collapsed="false">
      <c r="A799" s="8" t="n">
        <v>43483</v>
      </c>
      <c r="B799" s="9" t="n">
        <v>17.4636763056</v>
      </c>
      <c r="C799" s="9" t="n">
        <v>146.600006</v>
      </c>
      <c r="D799" s="9" t="n">
        <v>147.919998</v>
      </c>
      <c r="E799" s="9" t="n">
        <v>146</v>
      </c>
      <c r="F799" s="9" t="n">
        <v>147.330002</v>
      </c>
      <c r="G799" s="9" t="n">
        <v>143.779892</v>
      </c>
      <c r="H799" s="9" t="n">
        <v>143.779892</v>
      </c>
      <c r="I799" s="2" t="str">
        <f aca="false">IF(COUNT(C799:F799)&lt;4,"",IF(OR(D799&lt;MAX(C799,F799)-0.000001,E799&gt;MIN(C799,F799)+0.000001),"FAIL","OK"))</f>
        <v>OK</v>
      </c>
      <c r="J799" s="10" t="n">
        <f aca="false">IF(COUNT(F799,G799)&lt;2,"",G799/F799)</f>
        <v>0.975903685930853</v>
      </c>
      <c r="K799" s="10" t="n">
        <f aca="false">H799/H798-1</f>
        <v>0.010285924200814</v>
      </c>
      <c r="L799" s="10" t="n">
        <f aca="false">H804/H799-1</f>
        <v>-0.00529430777427486</v>
      </c>
      <c r="M799" s="10" t="str">
        <f aca="false">IF(COUNT(B740:B799)&lt;60,"",(B799-AVERAGE(B740:B799))/STDEV(B740:B799))</f>
        <v/>
      </c>
      <c r="N799" s="10" t="n">
        <f aca="false">(H799-AVERAGE(H740:H799))/STDEV(H740:H799)</f>
        <v>0.352713034539075</v>
      </c>
      <c r="O799" s="10" t="n">
        <f aca="false">IF(COUNT(B799)=0,"",B799-('Signal Analysis'!$C$6+'Signal Analysis'!$C$5*H799))</f>
        <v>-0.406574234406552</v>
      </c>
    </row>
    <row r="800" customFormat="false" ht="15" hidden="false" customHeight="false" outlineLevel="0" collapsed="false">
      <c r="A800" s="8" t="n">
        <v>43487</v>
      </c>
      <c r="B800" s="9" t="n">
        <v>18.0009736608</v>
      </c>
      <c r="C800" s="9" t="n">
        <v>146.460007</v>
      </c>
      <c r="D800" s="9" t="n">
        <v>146.759995</v>
      </c>
      <c r="E800" s="9" t="n">
        <v>144.050003</v>
      </c>
      <c r="F800" s="9" t="n">
        <v>145</v>
      </c>
      <c r="G800" s="9" t="n">
        <v>141.506027</v>
      </c>
      <c r="H800" s="9" t="n">
        <v>141.506027</v>
      </c>
      <c r="I800" s="2" t="str">
        <f aca="false">IF(COUNT(C800:F800)&lt;4,"",IF(OR(D800&lt;MAX(C800,F800)-0.000001,E800&gt;MIN(C800,F800)+0.000001),"FAIL","OK"))</f>
        <v>OK</v>
      </c>
      <c r="J800" s="10" t="n">
        <f aca="false">IF(COUNT(F800,G800)&lt;2,"",G800/F800)</f>
        <v>0.975903634482759</v>
      </c>
      <c r="K800" s="10" t="n">
        <f aca="false">H800/H799-1</f>
        <v>-0.0158149026847231</v>
      </c>
      <c r="L800" s="10" t="n">
        <f aca="false">H805/H800-1</f>
        <v>0.00827573937893145</v>
      </c>
      <c r="M800" s="10" t="str">
        <f aca="false">IF(COUNT(B741:B800)&lt;60,"",(B800-AVERAGE(B741:B800))/STDEV(B741:B800))</f>
        <v/>
      </c>
      <c r="N800" s="10" t="n">
        <f aca="false">(H800-AVERAGE(H741:H800))/STDEV(H741:H800)</f>
        <v>0.0543137452392245</v>
      </c>
      <c r="O800" s="10" t="n">
        <f aca="false">IF(COUNT(B800)=0,"",B800-('Signal Analysis'!$C$6+'Signal Analysis'!$C$5*H800))</f>
        <v>0.441770634459406</v>
      </c>
    </row>
    <row r="801" customFormat="false" ht="15" hidden="false" customHeight="false" outlineLevel="0" collapsed="false">
      <c r="A801" s="8" t="n">
        <v>43488</v>
      </c>
      <c r="B801" s="9" t="n">
        <v>19.0272406908</v>
      </c>
      <c r="C801" s="9" t="n">
        <v>145.320007</v>
      </c>
      <c r="D801" s="9" t="n">
        <v>146.179993</v>
      </c>
      <c r="E801" s="9" t="n">
        <v>143.460007</v>
      </c>
      <c r="F801" s="9" t="n">
        <v>144.600006</v>
      </c>
      <c r="G801" s="9" t="n">
        <v>141.115662</v>
      </c>
      <c r="H801" s="9" t="n">
        <v>141.115662</v>
      </c>
      <c r="I801" s="2" t="str">
        <f aca="false">IF(COUNT(C801:F801)&lt;4,"",IF(OR(D801&lt;MAX(C801,F801)-0.000001,E801&gt;MIN(C801,F801)+0.000001),"FAIL","OK"))</f>
        <v>OK</v>
      </c>
      <c r="J801" s="10" t="n">
        <f aca="false">IF(COUNT(F801,G801)&lt;2,"",G801/F801)</f>
        <v>0.975903569464582</v>
      </c>
      <c r="K801" s="10" t="n">
        <f aca="false">H801/H800-1</f>
        <v>-0.00275864575012064</v>
      </c>
      <c r="L801" s="10" t="n">
        <f aca="false">H806/H801-1</f>
        <v>0.0221301374754563</v>
      </c>
      <c r="M801" s="10" t="str">
        <f aca="false">IF(COUNT(B742:B801)&lt;60,"",(B801-AVERAGE(B742:B801))/STDEV(B742:B801))</f>
        <v/>
      </c>
      <c r="N801" s="10" t="n">
        <f aca="false">(H801-AVERAGE(H742:H801))/STDEV(H742:H801)</f>
        <v>0.00225816782702282</v>
      </c>
      <c r="O801" s="10" t="n">
        <f aca="false">IF(COUNT(B801)=0,"",B801-('Signal Analysis'!$C$6+'Signal Analysis'!$C$5*H801))</f>
        <v>1.52143664050777</v>
      </c>
    </row>
    <row r="802" customFormat="false" ht="15" hidden="false" customHeight="false" outlineLevel="0" collapsed="false">
      <c r="A802" s="8" t="n">
        <v>43489</v>
      </c>
      <c r="B802" s="9" t="n">
        <v>18.1690450656</v>
      </c>
      <c r="C802" s="9" t="n">
        <v>144.429993</v>
      </c>
      <c r="D802" s="9" t="n">
        <v>145.759995</v>
      </c>
      <c r="E802" s="9" t="n">
        <v>144.330002</v>
      </c>
      <c r="F802" s="9" t="n">
        <v>145.470001</v>
      </c>
      <c r="G802" s="9" t="n">
        <v>141.964706</v>
      </c>
      <c r="H802" s="9" t="n">
        <v>141.964706</v>
      </c>
      <c r="I802" s="2" t="str">
        <f aca="false">IF(COUNT(C802:F802)&lt;4,"",IF(OR(D802&lt;MAX(C802,F802)-0.000001,E802&gt;MIN(C802,F802)+0.000001),"FAIL","OK"))</f>
        <v>OK</v>
      </c>
      <c r="J802" s="10" t="n">
        <f aca="false">IF(COUNT(F802,G802)&lt;2,"",G802/F802)</f>
        <v>0.975903657277077</v>
      </c>
      <c r="K802" s="10" t="n">
        <f aca="false">H802/H801-1</f>
        <v>0.00601665320465994</v>
      </c>
      <c r="L802" s="10" t="n">
        <f aca="false">H807/H802-1</f>
        <v>0.0246786338570657</v>
      </c>
      <c r="M802" s="10" t="str">
        <f aca="false">IF(COUNT(B743:B802)&lt;60,"",(B802-AVERAGE(B743:B802))/STDEV(B743:B802))</f>
        <v/>
      </c>
      <c r="N802" s="10" t="n">
        <f aca="false">(H802-AVERAGE(H743:H802))/STDEV(H743:H802)</f>
        <v>0.127095848263943</v>
      </c>
      <c r="O802" s="10" t="n">
        <f aca="false">IF(COUNT(B802)=0,"",B802-('Signal Analysis'!$C$6+'Signal Analysis'!$C$5*H802))</f>
        <v>0.547098225303525</v>
      </c>
    </row>
    <row r="803" customFormat="false" ht="15" hidden="false" customHeight="false" outlineLevel="0" collapsed="false">
      <c r="A803" s="8" t="n">
        <v>43490</v>
      </c>
      <c r="B803" s="9" t="n">
        <v>18.2090527188</v>
      </c>
      <c r="C803" s="9" t="n">
        <v>146.619995</v>
      </c>
      <c r="D803" s="9" t="n">
        <v>147.639999</v>
      </c>
      <c r="E803" s="9" t="n">
        <v>146.429993</v>
      </c>
      <c r="F803" s="9" t="n">
        <v>147.339996</v>
      </c>
      <c r="G803" s="9" t="n">
        <v>143.789642</v>
      </c>
      <c r="H803" s="9" t="n">
        <v>143.789642</v>
      </c>
      <c r="I803" s="2" t="str">
        <f aca="false">IF(COUNT(C803:F803)&lt;4,"",IF(OR(D803&lt;MAX(C803,F803)-0.000001,E803&gt;MIN(C803,F803)+0.000001),"FAIL","OK"))</f>
        <v>OK</v>
      </c>
      <c r="J803" s="10" t="n">
        <f aca="false">IF(COUNT(F803,G803)&lt;2,"",G803/F803)</f>
        <v>0.975903664338365</v>
      </c>
      <c r="K803" s="10" t="n">
        <f aca="false">H803/H802-1</f>
        <v>0.0128548570374949</v>
      </c>
      <c r="L803" s="10" t="n">
        <f aca="false">H808/H803-1</f>
        <v>0.0124880692032046</v>
      </c>
      <c r="M803" s="10" t="str">
        <f aca="false">IF(COUNT(B744:B803)&lt;60,"",(B803-AVERAGE(B744:B803))/STDEV(B744:B803))</f>
        <v/>
      </c>
      <c r="N803" s="10" t="n">
        <f aca="false">(H803-AVERAGE(H744:H803))/STDEV(H744:H803)</f>
        <v>0.379271471703251</v>
      </c>
      <c r="O803" s="10" t="n">
        <f aca="false">IF(COUNT(B803)=0,"",B803-('Signal Analysis'!$C$6+'Signal Analysis'!$C$5*H803))</f>
        <v>0.337468452623142</v>
      </c>
    </row>
    <row r="804" customFormat="false" ht="15" hidden="false" customHeight="false" outlineLevel="0" collapsed="false">
      <c r="A804" s="8" t="n">
        <v>43493</v>
      </c>
      <c r="B804" s="9" t="n">
        <v>17.69742924</v>
      </c>
      <c r="C804" s="9" t="n">
        <v>145.960007</v>
      </c>
      <c r="D804" s="9" t="n">
        <v>146.910004</v>
      </c>
      <c r="E804" s="9" t="n">
        <v>145.369995</v>
      </c>
      <c r="F804" s="9" t="n">
        <v>146.550003</v>
      </c>
      <c r="G804" s="9" t="n">
        <v>143.018677</v>
      </c>
      <c r="H804" s="9" t="n">
        <v>143.018677</v>
      </c>
      <c r="I804" s="2" t="str">
        <f aca="false">IF(COUNT(C804:F804)&lt;4,"",IF(OR(D804&lt;MAX(C804,F804)-0.000001,E804&gt;MIN(C804,F804)+0.000001),"FAIL","OK"))</f>
        <v>OK</v>
      </c>
      <c r="J804" s="10" t="n">
        <f aca="false">IF(COUNT(F804,G804)&lt;2,"",G804/F804)</f>
        <v>0.975903610182799</v>
      </c>
      <c r="K804" s="10" t="n">
        <f aca="false">H804/H803-1</f>
        <v>-0.00536175616877876</v>
      </c>
      <c r="L804" s="10" t="n">
        <f aca="false">H809/H804-1</f>
        <v>0.0300922655017988</v>
      </c>
      <c r="M804" s="10" t="str">
        <f aca="false">IF(COUNT(B745:B804)&lt;60,"",(B804-AVERAGE(B745:B804))/STDEV(B745:B804))</f>
        <v/>
      </c>
      <c r="N804" s="10" t="n">
        <f aca="false">(H804-AVERAGE(H745:H804))/STDEV(H745:H804)</f>
        <v>0.271497041664287</v>
      </c>
      <c r="O804" s="10" t="n">
        <f aca="false">IF(COUNT(B804)=0,"",B804-('Signal Analysis'!$C$6+'Signal Analysis'!$C$5*H804))</f>
        <v>-0.0686928521368522</v>
      </c>
    </row>
    <row r="805" customFormat="false" ht="15" hidden="false" customHeight="false" outlineLevel="0" collapsed="false">
      <c r="A805" s="8" t="n">
        <v>43494</v>
      </c>
      <c r="B805" s="9" t="n">
        <v>18.3821815008</v>
      </c>
      <c r="C805" s="9" t="n">
        <v>146.710007</v>
      </c>
      <c r="D805" s="9" t="n">
        <v>146.820007</v>
      </c>
      <c r="E805" s="9" t="n">
        <v>145.880005</v>
      </c>
      <c r="F805" s="9" t="n">
        <v>146.199997</v>
      </c>
      <c r="G805" s="9" t="n">
        <v>142.677094</v>
      </c>
      <c r="H805" s="9" t="n">
        <v>142.677094</v>
      </c>
      <c r="I805" s="2" t="str">
        <f aca="false">IF(COUNT(C805:F805)&lt;4,"",IF(OR(D805&lt;MAX(C805,F805)-0.000001,E805&gt;MIN(C805,F805)+0.000001),"FAIL","OK"))</f>
        <v>OK</v>
      </c>
      <c r="J805" s="10" t="n">
        <f aca="false">IF(COUNT(F805,G805)&lt;2,"",G805/F805)</f>
        <v>0.975903535757255</v>
      </c>
      <c r="K805" s="10" t="n">
        <f aca="false">H805/H804-1</f>
        <v>-0.00238838036517419</v>
      </c>
      <c r="L805" s="10" t="n">
        <f aca="false">H810/H805-1</f>
        <v>0.0336527950309948</v>
      </c>
      <c r="M805" s="10" t="str">
        <f aca="false">IF(COUNT(B746:B805)&lt;60,"",(B805-AVERAGE(B746:B805))/STDEV(B746:B805))</f>
        <v/>
      </c>
      <c r="N805" s="10" t="n">
        <f aca="false">(H805-AVERAGE(H746:H805))/STDEV(H746:H805)</f>
        <v>0.231680324415005</v>
      </c>
      <c r="O805" s="10" t="n">
        <f aca="false">IF(COUNT(B805)=0,"",B805-('Signal Analysis'!$C$6+'Signal Analysis'!$C$5*H805))</f>
        <v>0.662785376502292</v>
      </c>
    </row>
    <row r="806" customFormat="false" ht="15" hidden="false" customHeight="false" outlineLevel="0" collapsed="false">
      <c r="A806" s="8" t="n">
        <v>43495</v>
      </c>
      <c r="B806" s="9" t="n">
        <v>19.282957056</v>
      </c>
      <c r="C806" s="9" t="n">
        <v>146.979996</v>
      </c>
      <c r="D806" s="9" t="n">
        <v>148.339996</v>
      </c>
      <c r="E806" s="9" t="n">
        <v>145.679993</v>
      </c>
      <c r="F806" s="9" t="n">
        <v>147.800003</v>
      </c>
      <c r="G806" s="9" t="n">
        <v>144.238571</v>
      </c>
      <c r="H806" s="9" t="n">
        <v>144.238571</v>
      </c>
      <c r="I806" s="2" t="str">
        <f aca="false">IF(COUNT(C806:F806)&lt;4,"",IF(OR(D806&lt;MAX(C806,F806)-0.000001,E806&gt;MIN(C806,F806)+0.000001),"FAIL","OK"))</f>
        <v>OK</v>
      </c>
      <c r="J806" s="10" t="n">
        <f aca="false">IF(COUNT(F806,G806)&lt;2,"",G806/F806)</f>
        <v>0.975903708202225</v>
      </c>
      <c r="K806" s="10" t="n">
        <f aca="false">H806/H805-1</f>
        <v>0.0109441323496537</v>
      </c>
      <c r="L806" s="10" t="n">
        <f aca="false">H811/H806-1</f>
        <v>0.0211770678177337</v>
      </c>
      <c r="M806" s="10" t="str">
        <f aca="false">IF(COUNT(B747:B806)&lt;60,"",(B806-AVERAGE(B747:B806))/STDEV(B747:B806))</f>
        <v/>
      </c>
      <c r="N806" s="10" t="n">
        <f aca="false">(H806-AVERAGE(H747:H806))/STDEV(H747:H806)</f>
        <v>0.453705974412181</v>
      </c>
      <c r="O806" s="10" t="n">
        <f aca="false">IF(COUNT(B806)=0,"",B806-('Signal Analysis'!$C$6+'Signal Analysis'!$C$5*H806))</f>
        <v>1.34996270203757</v>
      </c>
    </row>
    <row r="807" customFormat="false" ht="15" hidden="false" customHeight="false" outlineLevel="0" collapsed="false">
      <c r="A807" s="8" t="n">
        <v>43496</v>
      </c>
      <c r="B807" s="9" t="n">
        <v>18.7771089144</v>
      </c>
      <c r="C807" s="9" t="n">
        <v>147.610001</v>
      </c>
      <c r="D807" s="9" t="n">
        <v>149.300003</v>
      </c>
      <c r="E807" s="9" t="n">
        <v>147.529999</v>
      </c>
      <c r="F807" s="9" t="n">
        <v>149.059998</v>
      </c>
      <c r="G807" s="9" t="n">
        <v>145.468201</v>
      </c>
      <c r="H807" s="9" t="n">
        <v>145.468201</v>
      </c>
      <c r="I807" s="2" t="str">
        <f aca="false">IF(COUNT(C807:F807)&lt;4,"",IF(OR(D807&lt;MAX(C807,F807)-0.000001,E807&gt;MIN(C807,F807)+0.000001),"FAIL","OK"))</f>
        <v>OK</v>
      </c>
      <c r="J807" s="10" t="n">
        <f aca="false">IF(COUNT(F807,G807)&lt;2,"",G807/F807)</f>
        <v>0.975903682757328</v>
      </c>
      <c r="K807" s="10" t="n">
        <f aca="false">H807/H806-1</f>
        <v>0.00852497353152493</v>
      </c>
      <c r="L807" s="10" t="n">
        <f aca="false">H812/H807-1</f>
        <v>0.00422640134251751</v>
      </c>
      <c r="M807" s="10" t="str">
        <f aca="false">IF(COUNT(B748:B807)&lt;60,"",(B807-AVERAGE(B748:B807))/STDEV(B748:B807))</f>
        <v/>
      </c>
      <c r="N807" s="10" t="n">
        <f aca="false">(H807-AVERAGE(H748:H807))/STDEV(H748:H807)</f>
        <v>0.639117529754367</v>
      </c>
      <c r="O807" s="10" t="n">
        <f aca="false">IF(COUNT(B807)=0,"",B807-('Signal Analysis'!$C$6+'Signal Analysis'!$C$5*H807))</f>
        <v>0.675910487535671</v>
      </c>
    </row>
    <row r="808" customFormat="false" ht="15" hidden="false" customHeight="false" outlineLevel="0" collapsed="false">
      <c r="A808" s="8" t="n">
        <v>43497</v>
      </c>
      <c r="B808" s="9" t="n">
        <v>18.756790524</v>
      </c>
      <c r="C808" s="9" t="n">
        <v>149.350006</v>
      </c>
      <c r="D808" s="9" t="n">
        <v>149.679993</v>
      </c>
      <c r="E808" s="9" t="n">
        <v>148.580002</v>
      </c>
      <c r="F808" s="9" t="n">
        <v>149.179993</v>
      </c>
      <c r="G808" s="9" t="n">
        <v>145.585297</v>
      </c>
      <c r="H808" s="9" t="n">
        <v>145.585297</v>
      </c>
      <c r="I808" s="2" t="str">
        <f aca="false">IF(COUNT(C808:F808)&lt;4,"",IF(OR(D808&lt;MAX(C808,F808)-0.000001,E808&gt;MIN(C808,F808)+0.000001),"FAIL","OK"))</f>
        <v>OK</v>
      </c>
      <c r="J808" s="10" t="n">
        <f aca="false">IF(COUNT(F808,G808)&lt;2,"",G808/F808)</f>
        <v>0.97590363206412</v>
      </c>
      <c r="K808" s="10" t="n">
        <f aca="false">H808/H807-1</f>
        <v>0.000804959428899466</v>
      </c>
      <c r="L808" s="10" t="n">
        <f aca="false">H813/H808-1</f>
        <v>0.00449131205879949</v>
      </c>
      <c r="M808" s="10" t="str">
        <f aca="false">IF(COUNT(B749:B808)&lt;60,"",(B808-AVERAGE(B749:B808))/STDEV(B749:B808))</f>
        <v/>
      </c>
      <c r="N808" s="10" t="n">
        <f aca="false">(H808-AVERAGE(H749:H808))/STDEV(H749:H808)</f>
        <v>0.671863751603282</v>
      </c>
      <c r="O808" s="10" t="n">
        <f aca="false">IF(COUNT(B808)=0,"",B808-('Signal Analysis'!$C$6+'Signal Analysis'!$C$5*H808))</f>
        <v>0.639574251018935</v>
      </c>
    </row>
    <row r="809" customFormat="false" ht="15" hidden="false" customHeight="false" outlineLevel="0" collapsed="false">
      <c r="A809" s="8" t="n">
        <v>43500</v>
      </c>
      <c r="B809" s="9" t="n">
        <v>18.4539122292</v>
      </c>
      <c r="C809" s="9" t="n">
        <v>149.410004</v>
      </c>
      <c r="D809" s="9" t="n">
        <v>150.970001</v>
      </c>
      <c r="E809" s="9" t="n">
        <v>148.880005</v>
      </c>
      <c r="F809" s="9" t="n">
        <v>150.960007</v>
      </c>
      <c r="G809" s="9" t="n">
        <v>147.322433</v>
      </c>
      <c r="H809" s="9" t="n">
        <v>147.322433</v>
      </c>
      <c r="I809" s="2" t="str">
        <f aca="false">IF(COUNT(C809:F809)&lt;4,"",IF(OR(D809&lt;MAX(C809,F809)-0.000001,E809&gt;MIN(C809,F809)+0.000001),"FAIL","OK"))</f>
        <v>OK</v>
      </c>
      <c r="J809" s="10" t="n">
        <f aca="false">IF(COUNT(F809,G809)&lt;2,"",G809/F809)</f>
        <v>0.975903723957829</v>
      </c>
      <c r="K809" s="10" t="n">
        <f aca="false">H809/H808-1</f>
        <v>0.011932084048295</v>
      </c>
      <c r="L809" s="10" t="n">
        <f aca="false">H814/H809-1</f>
        <v>0.000927299374698931</v>
      </c>
      <c r="M809" s="10" t="str">
        <f aca="false">IF(COUNT(B750:B809)&lt;60,"",(B809-AVERAGE(B750:B809))/STDEV(B750:B809))</f>
        <v/>
      </c>
      <c r="N809" s="10" t="n">
        <f aca="false">(H809-AVERAGE(H750:H809))/STDEV(H750:H809)</f>
        <v>0.929550496122248</v>
      </c>
      <c r="O809" s="10" t="n">
        <f aca="false">IF(COUNT(B809)=0,"",B809-('Signal Analysis'!$C$6+'Signal Analysis'!$C$5*H809))</f>
        <v>0.0990689054926968</v>
      </c>
    </row>
    <row r="810" customFormat="false" ht="15" hidden="false" customHeight="false" outlineLevel="0" collapsed="false">
      <c r="A810" s="8" t="n">
        <v>43501</v>
      </c>
      <c r="B810" s="9" t="n">
        <v>18.5057787444</v>
      </c>
      <c r="C810" s="9" t="n">
        <v>151.009995</v>
      </c>
      <c r="D810" s="9" t="n">
        <v>151.600006</v>
      </c>
      <c r="E810" s="9" t="n">
        <v>150.240005</v>
      </c>
      <c r="F810" s="9" t="n">
        <v>151.119995</v>
      </c>
      <c r="G810" s="9" t="n">
        <v>147.478577</v>
      </c>
      <c r="H810" s="9" t="n">
        <v>147.478577</v>
      </c>
      <c r="I810" s="2" t="str">
        <f aca="false">IF(COUNT(C810:F810)&lt;4,"",IF(OR(D810&lt;MAX(C810,F810)-0.000001,E810&gt;MIN(C810,F810)+0.000001),"FAIL","OK"))</f>
        <v>OK</v>
      </c>
      <c r="J810" s="10" t="n">
        <f aca="false">IF(COUNT(F810,G810)&lt;2,"",G810/F810)</f>
        <v>0.975903797508728</v>
      </c>
      <c r="K810" s="10" t="n">
        <f aca="false">H810/H809-1</f>
        <v>0.00105987931926177</v>
      </c>
      <c r="L810" s="10" t="n">
        <f aca="false">H815/H810-1</f>
        <v>0.0123741362109833</v>
      </c>
      <c r="M810" s="10" t="str">
        <f aca="false">IF(COUNT(B751:B810)&lt;60,"",(B810-AVERAGE(B751:B810))/STDEV(B751:B810))</f>
        <v/>
      </c>
      <c r="N810" s="10" t="n">
        <f aca="false">(H810-AVERAGE(H751:H810))/STDEV(H751:H810)</f>
        <v>0.96682887961649</v>
      </c>
      <c r="O810" s="10" t="n">
        <f aca="false">IF(COUNT(B810)=0,"",B810-('Signal Analysis'!$C$6+'Signal Analysis'!$C$5*H810))</f>
        <v>0.129576103858206</v>
      </c>
    </row>
    <row r="811" customFormat="false" ht="15" hidden="false" customHeight="false" outlineLevel="0" collapsed="false">
      <c r="A811" s="8" t="n">
        <v>43502</v>
      </c>
      <c r="B811" s="9" t="n">
        <v>18.5479985268</v>
      </c>
      <c r="C811" s="9" t="n">
        <v>151.039993</v>
      </c>
      <c r="D811" s="9" t="n">
        <v>151.369995</v>
      </c>
      <c r="E811" s="9" t="n">
        <v>150.100006</v>
      </c>
      <c r="F811" s="9" t="n">
        <v>150.929993</v>
      </c>
      <c r="G811" s="9" t="n">
        <v>147.293121</v>
      </c>
      <c r="H811" s="9" t="n">
        <v>147.293121</v>
      </c>
      <c r="I811" s="2" t="str">
        <f aca="false">IF(COUNT(C811:F811)&lt;4,"",IF(OR(D811&lt;MAX(C811,F811)-0.000001,E811&gt;MIN(C811,F811)+0.000001),"FAIL","OK"))</f>
        <v>OK</v>
      </c>
      <c r="J811" s="10" t="n">
        <f aca="false">IF(COUNT(F811,G811)&lt;2,"",G811/F811)</f>
        <v>0.975903583325549</v>
      </c>
      <c r="K811" s="10" t="n">
        <f aca="false">H811/H810-1</f>
        <v>-0.00125751145537556</v>
      </c>
      <c r="L811" s="10" t="n">
        <f aca="false">H816/H811-1</f>
        <v>0.0164977697770419</v>
      </c>
      <c r="M811" s="10" t="str">
        <f aca="false">IF(COUNT(B752:B811)&lt;60,"",(B811-AVERAGE(B752:B811))/STDEV(B752:B811))</f>
        <v/>
      </c>
      <c r="N811" s="10" t="n">
        <f aca="false">(H811-AVERAGE(H752:H811))/STDEV(H752:H811)</f>
        <v>0.973097857160408</v>
      </c>
      <c r="O811" s="10" t="n">
        <f aca="false">IF(COUNT(B811)=0,"",B811-('Signal Analysis'!$C$6+'Signal Analysis'!$C$5*H811))</f>
        <v>0.19716486273413</v>
      </c>
    </row>
    <row r="812" customFormat="false" ht="15" hidden="false" customHeight="false" outlineLevel="0" collapsed="false">
      <c r="A812" s="8" t="n">
        <v>43503</v>
      </c>
      <c r="B812" s="9" t="n">
        <v>19.9412020284</v>
      </c>
      <c r="C812" s="9" t="n">
        <v>149.919998</v>
      </c>
      <c r="D812" s="9" t="n">
        <v>150.699997</v>
      </c>
      <c r="E812" s="9" t="n">
        <v>148.389999</v>
      </c>
      <c r="F812" s="9" t="n">
        <v>149.690002</v>
      </c>
      <c r="G812" s="9" t="n">
        <v>146.083008</v>
      </c>
      <c r="H812" s="9" t="n">
        <v>146.083008</v>
      </c>
      <c r="I812" s="2" t="str">
        <f aca="false">IF(COUNT(C812:F812)&lt;4,"",IF(OR(D812&lt;MAX(C812,F812)-0.000001,E812&gt;MIN(C812,F812)+0.000001),"FAIL","OK"))</f>
        <v>OK</v>
      </c>
      <c r="J812" s="10" t="n">
        <f aca="false">IF(COUNT(F812,G812)&lt;2,"",G812/F812)</f>
        <v>0.975903574374994</v>
      </c>
      <c r="K812" s="10" t="n">
        <f aca="false">H812/H811-1</f>
        <v>-0.00821567899291109</v>
      </c>
      <c r="L812" s="10" t="n">
        <f aca="false">H817/H812-1</f>
        <v>0.0272564554530532</v>
      </c>
      <c r="M812" s="10" t="str">
        <f aca="false">IF(COUNT(B753:B812)&lt;60,"",(B812-AVERAGE(B753:B812))/STDEV(B753:B812))</f>
        <v/>
      </c>
      <c r="N812" s="10" t="n">
        <f aca="false">(H812-AVERAGE(H753:H812))/STDEV(H753:H812)</f>
        <v>0.829425258353734</v>
      </c>
      <c r="O812" s="10" t="n">
        <f aca="false">IF(COUNT(B812)=0,"",B812-('Signal Analysis'!$C$6+'Signal Analysis'!$C$5*H812))</f>
        <v>1.75590265942414</v>
      </c>
    </row>
    <row r="813" customFormat="false" ht="15" hidden="false" customHeight="false" outlineLevel="0" collapsed="false">
      <c r="A813" s="8" t="n">
        <v>43504</v>
      </c>
      <c r="B813" s="9" t="n">
        <v>19.26228843</v>
      </c>
      <c r="C813" s="9" t="n">
        <v>149.059998</v>
      </c>
      <c r="D813" s="9" t="n">
        <v>149.899994</v>
      </c>
      <c r="E813" s="9" t="n">
        <v>148.5</v>
      </c>
      <c r="F813" s="9" t="n">
        <v>149.850006</v>
      </c>
      <c r="G813" s="9" t="n">
        <v>146.239166</v>
      </c>
      <c r="H813" s="9" t="n">
        <v>146.239166</v>
      </c>
      <c r="I813" s="2" t="str">
        <f aca="false">IF(COUNT(C813:F813)&lt;4,"",IF(OR(D813&lt;MAX(C813,F813)-0.000001,E813&gt;MIN(C813,F813)+0.000001),"FAIL","OK"))</f>
        <v>OK</v>
      </c>
      <c r="J813" s="10" t="n">
        <f aca="false">IF(COUNT(F813,G813)&lt;2,"",G813/F813)</f>
        <v>0.975903637935123</v>
      </c>
      <c r="K813" s="10" t="n">
        <f aca="false">H813/H812-1</f>
        <v>0.00106896758314301</v>
      </c>
      <c r="L813" s="10" t="n">
        <f aca="false">H818/H813-1</f>
        <v>0.0425091797911374</v>
      </c>
      <c r="M813" s="10" t="str">
        <f aca="false">IF(COUNT(B754:B813)&lt;60,"",(B813-AVERAGE(B754:B813))/STDEV(B754:B813))</f>
        <v/>
      </c>
      <c r="N813" s="10" t="n">
        <f aca="false">(H813-AVERAGE(H754:H813))/STDEV(H754:H813)</f>
        <v>0.871034134990574</v>
      </c>
      <c r="O813" s="10" t="n">
        <f aca="false">IF(COUNT(B813)=0,"",B813-('Signal Analysis'!$C$6+'Signal Analysis'!$C$5*H813))</f>
        <v>1.05562782909567</v>
      </c>
    </row>
    <row r="814" customFormat="false" ht="15" hidden="false" customHeight="false" outlineLevel="0" collapsed="false">
      <c r="A814" s="8" t="n">
        <v>43507</v>
      </c>
      <c r="B814" s="9" t="n">
        <v>18.6160137276</v>
      </c>
      <c r="C814" s="9" t="n">
        <v>150.289993</v>
      </c>
      <c r="D814" s="9" t="n">
        <v>151.149994</v>
      </c>
      <c r="E814" s="9" t="n">
        <v>149.630005</v>
      </c>
      <c r="F814" s="9" t="n">
        <v>151.100006</v>
      </c>
      <c r="G814" s="9" t="n">
        <v>147.459045</v>
      </c>
      <c r="H814" s="9" t="n">
        <v>147.459045</v>
      </c>
      <c r="I814" s="2" t="str">
        <f aca="false">IF(COUNT(C814:F814)&lt;4,"",IF(OR(D814&lt;MAX(C814,F814)-0.000001,E814&gt;MIN(C814,F814)+0.000001),"FAIL","OK"))</f>
        <v>OK</v>
      </c>
      <c r="J814" s="10" t="n">
        <f aca="false">IF(COUNT(F814,G814)&lt;2,"",G814/F814)</f>
        <v>0.975903634312232</v>
      </c>
      <c r="K814" s="10" t="n">
        <f aca="false">H814/H813-1</f>
        <v>0.008341670931028</v>
      </c>
      <c r="L814" s="10" t="n">
        <f aca="false">H819/H814-1</f>
        <v>0.0367306054369196</v>
      </c>
      <c r="M814" s="10" t="str">
        <f aca="false">IF(COUNT(B755:B814)&lt;60,"",(B814-AVERAGE(B755:B814))/STDEV(B755:B814))</f>
        <v/>
      </c>
      <c r="N814" s="10" t="n">
        <f aca="false">(H814-AVERAGE(H755:H814))/STDEV(H755:H814)</f>
        <v>1.06493357429787</v>
      </c>
      <c r="O814" s="10" t="n">
        <f aca="false">IF(COUNT(B814)=0,"",B814-('Signal Analysis'!$C$6+'Signal Analysis'!$C$5*H814))</f>
        <v>0.242482916756501</v>
      </c>
    </row>
    <row r="815" customFormat="false" ht="15" hidden="false" customHeight="false" outlineLevel="0" collapsed="false">
      <c r="A815" s="8" t="n">
        <v>43508</v>
      </c>
      <c r="B815" s="9" t="n">
        <v>19.4631177504</v>
      </c>
      <c r="C815" s="9" t="n">
        <v>151.919998</v>
      </c>
      <c r="D815" s="9" t="n">
        <v>153.190002</v>
      </c>
      <c r="E815" s="9" t="n">
        <v>151.880005</v>
      </c>
      <c r="F815" s="9" t="n">
        <v>152.990005</v>
      </c>
      <c r="G815" s="9" t="n">
        <v>149.303497</v>
      </c>
      <c r="H815" s="9" t="n">
        <v>149.303497</v>
      </c>
      <c r="I815" s="2" t="str">
        <f aca="false">IF(COUNT(C815:F815)&lt;4,"",IF(OR(D815&lt;MAX(C815,F815)-0.000001,E815&gt;MIN(C815,F815)+0.000001),"FAIL","OK"))</f>
        <v>OK</v>
      </c>
      <c r="J815" s="10" t="n">
        <f aca="false">IF(COUNT(F815,G815)&lt;2,"",G815/F815)</f>
        <v>0.9759036023301</v>
      </c>
      <c r="K815" s="10" t="n">
        <f aca="false">H815/H814-1</f>
        <v>0.0125082323705541</v>
      </c>
      <c r="L815" s="10" t="n">
        <f aca="false">H820/H815-1</f>
        <v>0.0287600497394915</v>
      </c>
      <c r="M815" s="10" t="str">
        <f aca="false">IF(COUNT(B756:B815)&lt;60,"",(B815-AVERAGE(B756:B815))/STDEV(B756:B815))</f>
        <v/>
      </c>
      <c r="N815" s="10" t="n">
        <f aca="false">(H815-AVERAGE(H756:H815))/STDEV(H756:H815)</f>
        <v>1.33809154633432</v>
      </c>
      <c r="O815" s="10" t="n">
        <f aca="false">IF(COUNT(B815)=0,"",B815-('Signal Analysis'!$C$6+'Signal Analysis'!$C$5*H815))</f>
        <v>0.837279872656662</v>
      </c>
    </row>
    <row r="816" customFormat="false" ht="15" hidden="false" customHeight="false" outlineLevel="0" collapsed="false">
      <c r="A816" s="8" t="n">
        <v>43509</v>
      </c>
      <c r="B816" s="9" t="n">
        <v>20.372768724</v>
      </c>
      <c r="C816" s="9" t="n">
        <v>153.419998</v>
      </c>
      <c r="D816" s="9" t="n">
        <v>153.759995</v>
      </c>
      <c r="E816" s="9" t="n">
        <v>152.699997</v>
      </c>
      <c r="F816" s="9" t="n">
        <v>153.419998</v>
      </c>
      <c r="G816" s="9" t="n">
        <v>149.723129</v>
      </c>
      <c r="H816" s="9" t="n">
        <v>149.723129</v>
      </c>
      <c r="I816" s="2" t="str">
        <f aca="false">IF(COUNT(C816:F816)&lt;4,"",IF(OR(D816&lt;MAX(C816,F816)-0.000001,E816&gt;MIN(C816,F816)+0.000001),"FAIL","OK"))</f>
        <v>OK</v>
      </c>
      <c r="J816" s="10" t="n">
        <f aca="false">IF(COUNT(F816,G816)&lt;2,"",G816/F816)</f>
        <v>0.975903604170299</v>
      </c>
      <c r="K816" s="10" t="n">
        <f aca="false">H816/H815-1</f>
        <v>0.00281059726283583</v>
      </c>
      <c r="L816" s="10" t="n">
        <f aca="false">H821/H816-1</f>
        <v>0.0219658981345494</v>
      </c>
      <c r="M816" s="10" t="str">
        <f aca="false">IF(COUNT(B757:B816)&lt;60,"",(B816-AVERAGE(B757:B816))/STDEV(B757:B816))</f>
        <v/>
      </c>
      <c r="N816" s="10" t="n">
        <f aca="false">(H816-AVERAGE(H757:H816))/STDEV(H757:H816)</f>
        <v>1.3853611818313</v>
      </c>
      <c r="O816" s="10" t="n">
        <f aca="false">IF(COUNT(B816)=0,"",B816-('Signal Analysis'!$C$6+'Signal Analysis'!$C$5*H816))</f>
        <v>1.68952836622611</v>
      </c>
    </row>
    <row r="817" customFormat="false" ht="15" hidden="false" customHeight="false" outlineLevel="0" collapsed="false">
      <c r="A817" s="8" t="n">
        <v>43510</v>
      </c>
      <c r="B817" s="9" t="n">
        <v>20.1926690832</v>
      </c>
      <c r="C817" s="9" t="n">
        <v>152.580002</v>
      </c>
      <c r="D817" s="9" t="n">
        <v>154.369995</v>
      </c>
      <c r="E817" s="9" t="n">
        <v>152.399994</v>
      </c>
      <c r="F817" s="9" t="n">
        <v>153.770004</v>
      </c>
      <c r="G817" s="9" t="n">
        <v>150.064713</v>
      </c>
      <c r="H817" s="9" t="n">
        <v>150.064713</v>
      </c>
      <c r="I817" s="2" t="str">
        <f aca="false">IF(COUNT(C817:F817)&lt;4,"",IF(OR(D817&lt;MAX(C817,F817)-0.000001,E817&gt;MIN(C817,F817)+0.000001),"FAIL","OK"))</f>
        <v>OK</v>
      </c>
      <c r="J817" s="10" t="n">
        <f aca="false">IF(COUNT(F817,G817)&lt;2,"",G817/F817)</f>
        <v>0.975903681448822</v>
      </c>
      <c r="K817" s="10" t="n">
        <f aca="false">H817/H816-1</f>
        <v>0.00228143775969314</v>
      </c>
      <c r="L817" s="10" t="n">
        <f aca="false">H822/H817-1</f>
        <v>0.028484004763998</v>
      </c>
      <c r="M817" s="10" t="str">
        <f aca="false">IF(COUNT(B758:B817)&lt;60,"",(B817-AVERAGE(B758:B817))/STDEV(B758:B817))</f>
        <v/>
      </c>
      <c r="N817" s="10" t="n">
        <f aca="false">(H817-AVERAGE(H758:H817))/STDEV(H758:H817)</f>
        <v>1.41286893715703</v>
      </c>
      <c r="O817" s="10" t="n">
        <f aca="false">IF(COUNT(B817)=0,"",B817-('Signal Analysis'!$C$6+'Signal Analysis'!$C$5*H817))</f>
        <v>1.46270262079453</v>
      </c>
    </row>
    <row r="818" customFormat="false" ht="15" hidden="false" customHeight="false" outlineLevel="0" collapsed="false">
      <c r="A818" s="8" t="n">
        <v>43511</v>
      </c>
      <c r="B818" s="9" t="n">
        <v>19.6855776912</v>
      </c>
      <c r="C818" s="9" t="n">
        <v>154.779999</v>
      </c>
      <c r="D818" s="9" t="n">
        <v>156.240005</v>
      </c>
      <c r="E818" s="9" t="n">
        <v>154.270004</v>
      </c>
      <c r="F818" s="9" t="n">
        <v>156.220001</v>
      </c>
      <c r="G818" s="9" t="n">
        <v>152.455673</v>
      </c>
      <c r="H818" s="9" t="n">
        <v>152.455673</v>
      </c>
      <c r="I818" s="2" t="str">
        <f aca="false">IF(COUNT(C818:F818)&lt;4,"",IF(OR(D818&lt;MAX(C818,F818)-0.000001,E818&gt;MIN(C818,F818)+0.000001),"FAIL","OK"))</f>
        <v>OK</v>
      </c>
      <c r="J818" s="10" t="n">
        <f aca="false">IF(COUNT(F818,G818)&lt;2,"",G818/F818)</f>
        <v>0.975903674459713</v>
      </c>
      <c r="K818" s="10" t="n">
        <f aca="false">H818/H817-1</f>
        <v>0.0159328595790536</v>
      </c>
      <c r="L818" s="10" t="n">
        <f aca="false">H823/H818-1</f>
        <v>0.0126104261138253</v>
      </c>
      <c r="M818" s="10" t="n">
        <f aca="false">IF(COUNT(B759:B818)&lt;60,"",(B818-AVERAGE(B759:B818))/STDEV(B759:B818))</f>
        <v>1.63715631118226</v>
      </c>
      <c r="N818" s="10" t="n">
        <f aca="false">(H818-AVERAGE(H759:H818))/STDEV(H759:H818)</f>
        <v>1.7156669890092</v>
      </c>
      <c r="O818" s="10" t="n">
        <f aca="false">IF(COUNT(B818)=0,"",B818-('Signal Analysis'!$C$6+'Signal Analysis'!$C$5*H818))</f>
        <v>0.628546005804274</v>
      </c>
    </row>
    <row r="819" customFormat="false" ht="15" hidden="false" customHeight="false" outlineLevel="0" collapsed="false">
      <c r="A819" s="8" t="n">
        <v>43515</v>
      </c>
      <c r="B819" s="9" t="n">
        <v>19.7131420896</v>
      </c>
      <c r="C819" s="9" t="n">
        <v>155.550003</v>
      </c>
      <c r="D819" s="9" t="n">
        <v>157.100006</v>
      </c>
      <c r="E819" s="9" t="n">
        <v>155.550003</v>
      </c>
      <c r="F819" s="9" t="n">
        <v>156.649994</v>
      </c>
      <c r="G819" s="9" t="n">
        <v>152.875305</v>
      </c>
      <c r="H819" s="9" t="n">
        <v>152.875305</v>
      </c>
      <c r="I819" s="2" t="str">
        <f aca="false">IF(COUNT(C819:F819)&lt;4,"",IF(OR(D819&lt;MAX(C819,F819)-0.000001,E819&gt;MIN(C819,F819)+0.000001),"FAIL","OK"))</f>
        <v>OK</v>
      </c>
      <c r="J819" s="10" t="n">
        <f aca="false">IF(COUNT(F819,G819)&lt;2,"",G819/F819)</f>
        <v>0.975903676063977</v>
      </c>
      <c r="K819" s="10" t="n">
        <f aca="false">H819/H818-1</f>
        <v>0.00275248530764749</v>
      </c>
      <c r="L819" s="10" t="n">
        <f aca="false">H824/H819-1</f>
        <v>0.00287268764565996</v>
      </c>
      <c r="M819" s="10" t="n">
        <f aca="false">IF(COUNT(B760:B819)&lt;60,"",(B819-AVERAGE(B760:B819))/STDEV(B760:B819))</f>
        <v>1.59665395750169</v>
      </c>
      <c r="N819" s="10" t="n">
        <f aca="false">(H819-AVERAGE(H760:H819))/STDEV(H760:H819)</f>
        <v>1.71727228017908</v>
      </c>
      <c r="O819" s="10" t="n">
        <f aca="false">IF(COUNT(B819)=0,"",B819-('Signal Analysis'!$C$6+'Signal Analysis'!$C$5*H819))</f>
        <v>0.598707924173723</v>
      </c>
    </row>
    <row r="820" customFormat="false" ht="15" hidden="false" customHeight="false" outlineLevel="0" collapsed="false">
      <c r="A820" s="8" t="n">
        <v>43516</v>
      </c>
      <c r="B820" s="9" t="n">
        <v>19.0946704416</v>
      </c>
      <c r="C820" s="9" t="n">
        <v>156.660004</v>
      </c>
      <c r="D820" s="9" t="n">
        <v>157.580002</v>
      </c>
      <c r="E820" s="9" t="n">
        <v>156.529999</v>
      </c>
      <c r="F820" s="9" t="n">
        <v>157.389999</v>
      </c>
      <c r="G820" s="9" t="n">
        <v>153.597473</v>
      </c>
      <c r="H820" s="9" t="n">
        <v>153.597473</v>
      </c>
      <c r="I820" s="2" t="str">
        <f aca="false">IF(COUNT(C820:F820)&lt;4,"",IF(OR(D820&lt;MAX(C820,F820)-0.000001,E820&gt;MIN(C820,F820)+0.000001),"FAIL","OK"))</f>
        <v>OK</v>
      </c>
      <c r="J820" s="10" t="n">
        <f aca="false">IF(COUNT(F820,G820)&lt;2,"",G820/F820)</f>
        <v>0.975903640484806</v>
      </c>
      <c r="K820" s="10" t="n">
        <f aca="false">H820/H819-1</f>
        <v>0.00472390226793018</v>
      </c>
      <c r="L820" s="10" t="n">
        <f aca="false">H825/H820-1</f>
        <v>-0.000444857579134816</v>
      </c>
      <c r="M820" s="10" t="n">
        <f aca="false">IF(COUNT(B761:B820)&lt;60,"",(B820-AVERAGE(B761:B820))/STDEV(B761:B820))</f>
        <v>1.01512970152505</v>
      </c>
      <c r="N820" s="10" t="n">
        <f aca="false">(H820-AVERAGE(H761:H820))/STDEV(H761:H820)</f>
        <v>1.74540428325545</v>
      </c>
      <c r="O820" s="10" t="n">
        <f aca="false">IF(COUNT(B820)=0,"",B820-('Signal Analysis'!$C$6+'Signal Analysis'!$C$5*H820))</f>
        <v>-0.118550837770652</v>
      </c>
    </row>
    <row r="821" customFormat="false" ht="15" hidden="false" customHeight="false" outlineLevel="0" collapsed="false">
      <c r="A821" s="8" t="n">
        <v>43517</v>
      </c>
      <c r="B821" s="9" t="n">
        <v>19.457802252</v>
      </c>
      <c r="C821" s="9" t="n">
        <v>157.130005</v>
      </c>
      <c r="D821" s="9" t="n">
        <v>157.369995</v>
      </c>
      <c r="E821" s="9" t="n">
        <v>156.059998</v>
      </c>
      <c r="F821" s="9" t="n">
        <v>156.789993</v>
      </c>
      <c r="G821" s="9" t="n">
        <v>153.011932</v>
      </c>
      <c r="H821" s="9" t="n">
        <v>153.011932</v>
      </c>
      <c r="I821" s="2" t="str">
        <f aca="false">IF(COUNT(C821:F821)&lt;4,"",IF(OR(D821&lt;MAX(C821,F821)-0.000001,E821&gt;MIN(C821,F821)+0.000001),"FAIL","OK"))</f>
        <v>OK</v>
      </c>
      <c r="J821" s="10" t="n">
        <f aca="false">IF(COUNT(F821,G821)&lt;2,"",G821/F821)</f>
        <v>0.975903685383799</v>
      </c>
      <c r="K821" s="10" t="n">
        <f aca="false">H821/H820-1</f>
        <v>-0.003812178602704</v>
      </c>
      <c r="L821" s="10" t="n">
        <f aca="false">H826/H821-1</f>
        <v>-6.38185523990087E-005</v>
      </c>
      <c r="M821" s="10" t="n">
        <f aca="false">IF(COUNT(B762:B821)&lt;60,"",(B821-AVERAGE(B762:B821))/STDEV(B762:B821))</f>
        <v>1.31334384130771</v>
      </c>
      <c r="N821" s="10" t="n">
        <f aca="false">(H821-AVERAGE(H762:H821))/STDEV(H762:H821)</f>
        <v>1.60847636231444</v>
      </c>
      <c r="O821" s="10" t="n">
        <f aca="false">IF(COUNT(B821)=0,"",B821-('Signal Analysis'!$C$6+'Signal Analysis'!$C$5*H821))</f>
        <v>0.324678547551113</v>
      </c>
    </row>
    <row r="822" customFormat="false" ht="15" hidden="false" customHeight="false" outlineLevel="0" collapsed="false">
      <c r="A822" s="8" t="n">
        <v>43518</v>
      </c>
      <c r="B822" s="9" t="n">
        <v>18.36377376</v>
      </c>
      <c r="C822" s="9" t="n">
        <v>157.270004</v>
      </c>
      <c r="D822" s="9" t="n">
        <v>158.270004</v>
      </c>
      <c r="E822" s="9" t="n">
        <v>157.100006</v>
      </c>
      <c r="F822" s="9" t="n">
        <v>158.149994</v>
      </c>
      <c r="G822" s="9" t="n">
        <v>154.339157</v>
      </c>
      <c r="H822" s="9" t="n">
        <v>154.339157</v>
      </c>
      <c r="I822" s="2" t="str">
        <f aca="false">IF(COUNT(C822:F822)&lt;4,"",IF(OR(D822&lt;MAX(C822,F822)-0.000001,E822&gt;MIN(C822,F822)+0.000001),"FAIL","OK"))</f>
        <v>OK</v>
      </c>
      <c r="J822" s="10" t="n">
        <f aca="false">IF(COUNT(F822,G822)&lt;2,"",G822/F822)</f>
        <v>0.975903653843958</v>
      </c>
      <c r="K822" s="10" t="n">
        <f aca="false">H822/H821-1</f>
        <v>0.00867399674425395</v>
      </c>
      <c r="L822" s="10" t="n">
        <f aca="false">H827/H822-1</f>
        <v>0.000569168587593039</v>
      </c>
      <c r="M822" s="10" t="n">
        <f aca="false">IF(COUNT(B763:B822)&lt;60,"",(B822-AVERAGE(B763:B822))/STDEV(B763:B822))</f>
        <v>0.35652382573703</v>
      </c>
      <c r="N822" s="10" t="n">
        <f aca="false">(H822-AVERAGE(H763:H822))/STDEV(H763:H822)</f>
        <v>1.72138534092014</v>
      </c>
      <c r="O822" s="10" t="n">
        <f aca="false">IF(COUNT(B822)=0,"",B822-('Signal Analysis'!$C$6+'Signal Analysis'!$C$5*H822))</f>
        <v>-0.950904274334476</v>
      </c>
    </row>
    <row r="823" customFormat="false" ht="15" hidden="false" customHeight="false" outlineLevel="0" collapsed="false">
      <c r="A823" s="8" t="n">
        <v>43521</v>
      </c>
      <c r="B823" s="9" t="n">
        <v>18.4610683752</v>
      </c>
      <c r="C823" s="9" t="n">
        <v>159.080002</v>
      </c>
      <c r="D823" s="9" t="n">
        <v>159.5</v>
      </c>
      <c r="E823" s="9" t="n">
        <v>158.089996</v>
      </c>
      <c r="F823" s="9" t="n">
        <v>158.190002</v>
      </c>
      <c r="G823" s="9" t="n">
        <v>154.378204</v>
      </c>
      <c r="H823" s="9" t="n">
        <v>154.378204</v>
      </c>
      <c r="I823" s="2" t="str">
        <f aca="false">IF(COUNT(C823:F823)&lt;4,"",IF(OR(D823&lt;MAX(C823,F823)-0.000001,E823&gt;MIN(C823,F823)+0.000001),"FAIL","OK"))</f>
        <v>OK</v>
      </c>
      <c r="J823" s="10" t="n">
        <f aca="false">IF(COUNT(F823,G823)&lt;2,"",G823/F823)</f>
        <v>0.975903673103184</v>
      </c>
      <c r="K823" s="10" t="n">
        <f aca="false">H823/H822-1</f>
        <v>0.000252994773063397</v>
      </c>
      <c r="L823" s="10" t="n">
        <f aca="false">H828/H823-1</f>
        <v>-0.00872374444775892</v>
      </c>
      <c r="M823" s="10" t="n">
        <f aca="false">IF(COUNT(B764:B823)&lt;60,"",(B823-AVERAGE(B764:B823))/STDEV(B764:B823))</f>
        <v>0.431548377257573</v>
      </c>
      <c r="N823" s="10" t="n">
        <f aca="false">(H823-AVERAGE(H764:H823))/STDEV(H764:H823)</f>
        <v>1.67065473470757</v>
      </c>
      <c r="O823" s="10" t="n">
        <f aca="false">IF(COUNT(B823)=0,"",B823-('Signal Analysis'!$C$6+'Signal Analysis'!$C$5*H823))</f>
        <v>-0.858950993059807</v>
      </c>
    </row>
    <row r="824" customFormat="false" ht="15" hidden="false" customHeight="false" outlineLevel="0" collapsed="false">
      <c r="A824" s="8" t="n">
        <v>43522</v>
      </c>
      <c r="B824" s="9" t="n">
        <v>18.4575314844</v>
      </c>
      <c r="C824" s="9" t="n">
        <v>158.009995</v>
      </c>
      <c r="D824" s="9" t="n">
        <v>158.190002</v>
      </c>
      <c r="E824" s="9" t="n">
        <v>156.889999</v>
      </c>
      <c r="F824" s="9" t="n">
        <v>157.100006</v>
      </c>
      <c r="G824" s="9" t="n">
        <v>153.314468</v>
      </c>
      <c r="H824" s="9" t="n">
        <v>153.314468</v>
      </c>
      <c r="I824" s="2" t="str">
        <f aca="false">IF(COUNT(C824:F824)&lt;4,"",IF(OR(D824&lt;MAX(C824,F824)-0.000001,E824&gt;MIN(C824,F824)+0.000001),"FAIL","OK"))</f>
        <v>OK</v>
      </c>
      <c r="J824" s="10" t="n">
        <f aca="false">IF(COUNT(F824,G824)&lt;2,"",G824/F824)</f>
        <v>0.975903641913292</v>
      </c>
      <c r="K824" s="10" t="n">
        <f aca="false">H824/H823-1</f>
        <v>-0.00689045456183701</v>
      </c>
      <c r="L824" s="10" t="n">
        <f aca="false">H829/H824-1</f>
        <v>-0.00649268143434456</v>
      </c>
      <c r="M824" s="10" t="n">
        <f aca="false">IF(COUNT(B765:B824)&lt;60,"",(B824-AVERAGE(B765:B824))/STDEV(B765:B824))</f>
        <v>0.427134669924687</v>
      </c>
      <c r="N824" s="10" t="n">
        <f aca="false">(H824-AVERAGE(H765:H824))/STDEV(H765:H824)</f>
        <v>1.48649483267699</v>
      </c>
      <c r="O824" s="10" t="n">
        <f aca="false">IF(COUNT(B824)=0,"",B824-('Signal Analysis'!$C$6+'Signal Analysis'!$C$5*H824))</f>
        <v>-0.716976853962706</v>
      </c>
    </row>
    <row r="825" customFormat="false" ht="15" hidden="false" customHeight="false" outlineLevel="0" collapsed="false">
      <c r="A825" s="8" t="n">
        <v>43523</v>
      </c>
      <c r="B825" s="9" t="n">
        <v>18.473526864</v>
      </c>
      <c r="C825" s="9" t="n">
        <v>156.490005</v>
      </c>
      <c r="D825" s="9" t="n">
        <v>157.440002</v>
      </c>
      <c r="E825" s="9" t="n">
        <v>156.119995</v>
      </c>
      <c r="F825" s="9" t="n">
        <v>157.320007</v>
      </c>
      <c r="G825" s="9" t="n">
        <v>153.529144</v>
      </c>
      <c r="H825" s="9" t="n">
        <v>153.529144</v>
      </c>
      <c r="I825" s="2" t="str">
        <f aca="false">IF(COUNT(C825:F825)&lt;4,"",IF(OR(D825&lt;MAX(C825,F825)-0.000001,E825&gt;MIN(C825,F825)+0.000001),"FAIL","OK"))</f>
        <v>OK</v>
      </c>
      <c r="J825" s="10" t="n">
        <f aca="false">IF(COUNT(F825,G825)&lt;2,"",G825/F825)</f>
        <v>0.975903490774699</v>
      </c>
      <c r="K825" s="10" t="n">
        <f aca="false">H825/H824-1</f>
        <v>0.00140023314694604</v>
      </c>
      <c r="L825" s="10" t="n">
        <f aca="false">H830/H825-1</f>
        <v>-0.0273326932637624</v>
      </c>
      <c r="M825" s="10" t="n">
        <f aca="false">IF(COUNT(B766:B825)&lt;60,"",(B825-AVERAGE(B766:B825))/STDEV(B766:B825))</f>
        <v>0.441603475723237</v>
      </c>
      <c r="N825" s="10" t="n">
        <f aca="false">(H825-AVERAGE(H766:H825))/STDEV(H766:H825)</f>
        <v>1.48214519469093</v>
      </c>
      <c r="O825" s="10" t="n">
        <f aca="false">IF(COUNT(B825)=0,"",B825-('Signal Analysis'!$C$6+'Signal Analysis'!$C$5*H825))</f>
        <v>-0.730347525576718</v>
      </c>
    </row>
    <row r="826" customFormat="false" ht="15" hidden="false" customHeight="false" outlineLevel="0" collapsed="false">
      <c r="A826" s="8" t="n">
        <v>43524</v>
      </c>
      <c r="B826" s="9" t="n">
        <v>17.9359059876</v>
      </c>
      <c r="C826" s="9" t="n">
        <v>157.089996</v>
      </c>
      <c r="D826" s="9" t="n">
        <v>157.479996</v>
      </c>
      <c r="E826" s="9" t="n">
        <v>156.369995</v>
      </c>
      <c r="F826" s="9" t="n">
        <v>156.779999</v>
      </c>
      <c r="G826" s="9" t="n">
        <v>153.002167</v>
      </c>
      <c r="H826" s="9" t="n">
        <v>153.002167</v>
      </c>
      <c r="I826" s="2" t="str">
        <f aca="false">IF(COUNT(C826:F826)&lt;4,"",IF(OR(D826&lt;MAX(C826,F826)-0.000001,E826&gt;MIN(C826,F826)+0.000001),"FAIL","OK"))</f>
        <v>OK</v>
      </c>
      <c r="J826" s="10" t="n">
        <f aca="false">IF(COUNT(F826,G826)&lt;2,"",G826/F826)</f>
        <v>0.975903610000661</v>
      </c>
      <c r="K826" s="10" t="n">
        <f aca="false">H826/H825-1</f>
        <v>-0.00343242322773596</v>
      </c>
      <c r="L826" s="10" t="n">
        <f aca="false">H831/H826-1</f>
        <v>-0.0325296830599789</v>
      </c>
      <c r="M826" s="10" t="n">
        <f aca="false">IF(COUNT(B767:B826)&lt;60,"",(B826-AVERAGE(B767:B826))/STDEV(B767:B826))</f>
        <v>-0.0524129271953637</v>
      </c>
      <c r="N826" s="10" t="n">
        <f aca="false">(H826-AVERAGE(H767:H826))/STDEV(H767:H826)</f>
        <v>1.38793531017161</v>
      </c>
      <c r="O826" s="10" t="n">
        <f aca="false">IF(COUNT(B826)=0,"",B826-('Signal Analysis'!$C$6+'Signal Analysis'!$C$5*H826))</f>
        <v>-1.19588193879216</v>
      </c>
    </row>
    <row r="827" customFormat="false" ht="15" hidden="false" customHeight="false" outlineLevel="0" collapsed="false">
      <c r="A827" s="8" t="n">
        <v>43525</v>
      </c>
      <c r="B827" s="9" t="n">
        <v>18.06865728</v>
      </c>
      <c r="C827" s="9" t="n">
        <v>157.949997</v>
      </c>
      <c r="D827" s="9" t="n">
        <v>158.339996</v>
      </c>
      <c r="E827" s="9" t="n">
        <v>156.75</v>
      </c>
      <c r="F827" s="9" t="n">
        <v>158.240005</v>
      </c>
      <c r="G827" s="9" t="n">
        <v>154.427002</v>
      </c>
      <c r="H827" s="9" t="n">
        <v>154.427002</v>
      </c>
      <c r="I827" s="2" t="str">
        <f aca="false">IF(COUNT(C827:F827)&lt;4,"",IF(OR(D827&lt;MAX(C827,F827)-0.000001,E827&gt;MIN(C827,F827)+0.000001),"FAIL","OK"))</f>
        <v>OK</v>
      </c>
      <c r="J827" s="10" t="n">
        <f aca="false">IF(COUNT(F827,G827)&lt;2,"",G827/F827)</f>
        <v>0.975903672399404</v>
      </c>
      <c r="K827" s="10" t="n">
        <f aca="false">H827/H826-1</f>
        <v>0.00931251516195841</v>
      </c>
      <c r="L827" s="10" t="n">
        <f aca="false">H832/H827-1</f>
        <v>-0.0417088910396641</v>
      </c>
      <c r="M827" s="10" t="n">
        <f aca="false">IF(COUNT(B768:B827)&lt;60,"",(B827-AVERAGE(B768:B827))/STDEV(B768:B827))</f>
        <v>0.0591326881487871</v>
      </c>
      <c r="N827" s="10" t="n">
        <f aca="false">(H827-AVERAGE(H768:H827))/STDEV(H768:H827)</f>
        <v>1.52977418039082</v>
      </c>
      <c r="O827" s="10" t="n">
        <f aca="false">IF(COUNT(B827)=0,"",B827-('Signal Analysis'!$C$6+'Signal Analysis'!$C$5*H827))</f>
        <v>-1.25803728514786</v>
      </c>
    </row>
    <row r="828" customFormat="false" ht="15" hidden="false" customHeight="false" outlineLevel="0" collapsed="false">
      <c r="A828" s="8" t="n">
        <v>43528</v>
      </c>
      <c r="B828" s="9" t="n">
        <v>19.5242708448</v>
      </c>
      <c r="C828" s="9" t="n">
        <v>158.539993</v>
      </c>
      <c r="D828" s="9" t="n">
        <v>158.779999</v>
      </c>
      <c r="E828" s="9" t="n">
        <v>155.589996</v>
      </c>
      <c r="F828" s="9" t="n">
        <v>156.809998</v>
      </c>
      <c r="G828" s="9" t="n">
        <v>153.031448</v>
      </c>
      <c r="H828" s="9" t="n">
        <v>153.031448</v>
      </c>
      <c r="I828" s="2" t="str">
        <f aca="false">IF(COUNT(C828:F828)&lt;4,"",IF(OR(D828&lt;MAX(C828,F828)-0.000001,E828&gt;MIN(C828,F828)+0.000001),"FAIL","OK"))</f>
        <v>OK</v>
      </c>
      <c r="J828" s="10" t="n">
        <f aca="false">IF(COUNT(F828,G828)&lt;2,"",G828/F828)</f>
        <v>0.975903641042072</v>
      </c>
      <c r="K828" s="10" t="n">
        <f aca="false">H828/H827-1</f>
        <v>-0.00903698175789214</v>
      </c>
      <c r="L828" s="10" t="n">
        <f aca="false">H833/H828-1</f>
        <v>-0.0160705791661855</v>
      </c>
      <c r="M828" s="10" t="n">
        <f aca="false">IF(COUNT(B769:B828)&lt;60,"",(B828-AVERAGE(B769:B828))/STDEV(B769:B828))</f>
        <v>1.33137173682036</v>
      </c>
      <c r="N828" s="10" t="n">
        <f aca="false">(H828-AVERAGE(H769:H828))/STDEV(H769:H828)</f>
        <v>1.3423734151934</v>
      </c>
      <c r="O828" s="10" t="n">
        <f aca="false">IF(COUNT(B828)=0,"",B828-('Signal Analysis'!$C$6+'Signal Analysis'!$C$5*H828))</f>
        <v>0.388477499331657</v>
      </c>
    </row>
    <row r="829" customFormat="false" ht="15" hidden="false" customHeight="false" outlineLevel="0" collapsed="false">
      <c r="A829" s="8" t="n">
        <v>43529</v>
      </c>
      <c r="B829" s="9" t="n">
        <v>19.601424576</v>
      </c>
      <c r="C829" s="9" t="n">
        <v>156.940002</v>
      </c>
      <c r="D829" s="9" t="n">
        <v>156.949997</v>
      </c>
      <c r="E829" s="9" t="n">
        <v>155.960007</v>
      </c>
      <c r="F829" s="9" t="n">
        <v>156.080002</v>
      </c>
      <c r="G829" s="9" t="n">
        <v>152.319046</v>
      </c>
      <c r="H829" s="9" t="n">
        <v>152.319046</v>
      </c>
      <c r="I829" s="2" t="str">
        <f aca="false">IF(COUNT(C829:F829)&lt;4,"",IF(OR(D829&lt;MAX(C829,F829)-0.000001,E829&gt;MIN(C829,F829)+0.000001),"FAIL","OK"))</f>
        <v>OK</v>
      </c>
      <c r="J829" s="10" t="n">
        <f aca="false">IF(COUNT(F829,G829)&lt;2,"",G829/F829)</f>
        <v>0.975903665096057</v>
      </c>
      <c r="K829" s="10" t="n">
        <f aca="false">H829/H828-1</f>
        <v>-0.00465526536741667</v>
      </c>
      <c r="L829" s="10" t="n">
        <f aca="false">H834/H829-1</f>
        <v>-0.0109560034928264</v>
      </c>
      <c r="M829" s="10" t="n">
        <f aca="false">IF(COUNT(B770:B829)&lt;60,"",(B829-AVERAGE(B770:B829))/STDEV(B770:B829))</f>
        <v>1.35157030475995</v>
      </c>
      <c r="N829" s="10" t="n">
        <f aca="false">(H829-AVERAGE(H770:H829))/STDEV(H770:H829)</f>
        <v>1.22230204123264</v>
      </c>
      <c r="O829" s="10" t="n">
        <f aca="false">IF(COUNT(B829)=0,"",B829-('Signal Analysis'!$C$6+'Signal Analysis'!$C$5*H829))</f>
        <v>0.563082429626881</v>
      </c>
    </row>
    <row r="830" customFormat="false" ht="15" hidden="false" customHeight="false" outlineLevel="0" collapsed="false">
      <c r="A830" s="8" t="n">
        <v>43530</v>
      </c>
      <c r="B830" s="9" t="n">
        <v>18.2564453244</v>
      </c>
      <c r="C830" s="9" t="n">
        <v>156.020004</v>
      </c>
      <c r="D830" s="9" t="n">
        <v>156.080002</v>
      </c>
      <c r="E830" s="9" t="n">
        <v>152.880005</v>
      </c>
      <c r="F830" s="9" t="n">
        <v>153.020004</v>
      </c>
      <c r="G830" s="9" t="n">
        <v>149.332779</v>
      </c>
      <c r="H830" s="9" t="n">
        <v>149.332779</v>
      </c>
      <c r="I830" s="2" t="str">
        <f aca="false">IF(COUNT(C830:F830)&lt;4,"",IF(OR(D830&lt;MAX(C830,F830)-0.000001,E830&gt;MIN(C830,F830)+0.000001),"FAIL","OK"))</f>
        <v>OK</v>
      </c>
      <c r="J830" s="10" t="n">
        <f aca="false">IF(COUNT(F830,G830)&lt;2,"",G830/F830)</f>
        <v>0.975903640676941</v>
      </c>
      <c r="K830" s="10" t="n">
        <f aca="false">H830/H829-1</f>
        <v>-0.019605342066021</v>
      </c>
      <c r="L830" s="10" t="n">
        <f aca="false">H835/H830-1</f>
        <v>0.0128088488864191</v>
      </c>
      <c r="M830" s="10" t="n">
        <f aca="false">IF(COUNT(B771:B830)&lt;60,"",(B830-AVERAGE(B771:B830))/STDEV(B771:B830))</f>
        <v>0.148249749329878</v>
      </c>
      <c r="N830" s="10" t="n">
        <f aca="false">(H830-AVERAGE(H771:H830))/STDEV(H771:H830)</f>
        <v>0.846818718444736</v>
      </c>
      <c r="O830" s="10" t="n">
        <f aca="false">IF(COUNT(B830)=0,"",B830-('Signal Analysis'!$C$6+'Signal Analysis'!$C$5*H830))</f>
        <v>-0.373398109211937</v>
      </c>
    </row>
    <row r="831" customFormat="false" ht="15" hidden="false" customHeight="false" outlineLevel="0" collapsed="false">
      <c r="A831" s="8" t="n">
        <v>43531</v>
      </c>
      <c r="B831" s="9" t="n">
        <v>19.7548355724</v>
      </c>
      <c r="C831" s="9" t="n">
        <v>153.020004</v>
      </c>
      <c r="D831" s="9" t="n">
        <v>153.139999</v>
      </c>
      <c r="E831" s="9" t="n">
        <v>151.369995</v>
      </c>
      <c r="F831" s="9" t="n">
        <v>151.679993</v>
      </c>
      <c r="G831" s="9" t="n">
        <v>148.025055</v>
      </c>
      <c r="H831" s="9" t="n">
        <v>148.025055</v>
      </c>
      <c r="I831" s="2" t="str">
        <f aca="false">IF(COUNT(C831:F831)&lt;4,"",IF(OR(D831&lt;MAX(C831,F831)-0.000001,E831&gt;MIN(C831,F831)+0.000001),"FAIL","OK"))</f>
        <v>OK</v>
      </c>
      <c r="J831" s="10" t="n">
        <f aca="false">IF(COUNT(F831,G831)&lt;2,"",G831/F831)</f>
        <v>0.97590362494281</v>
      </c>
      <c r="K831" s="10" t="n">
        <f aca="false">H831/H830-1</f>
        <v>-0.00875711286401482</v>
      </c>
      <c r="L831" s="10" t="n">
        <f aca="false">H836/H831-1</f>
        <v>0.0176029794415546</v>
      </c>
      <c r="M831" s="10" t="n">
        <f aca="false">IF(COUNT(B772:B831)&lt;60,"",(B831-AVERAGE(B772:B831))/STDEV(B772:B831))</f>
        <v>1.42514137455959</v>
      </c>
      <c r="N831" s="10" t="n">
        <f aca="false">(H831-AVERAGE(H772:H831))/STDEV(H772:H831)</f>
        <v>0.672953318091274</v>
      </c>
      <c r="O831" s="10" t="n">
        <f aca="false">IF(COUNT(B831)=0,"",B831-('Signal Analysis'!$C$6+'Signal Analysis'!$C$5*H831))</f>
        <v>1.30387887954061</v>
      </c>
    </row>
    <row r="832" customFormat="false" ht="15" hidden="false" customHeight="false" outlineLevel="0" collapsed="false">
      <c r="A832" s="8" t="n">
        <v>43532</v>
      </c>
      <c r="B832" s="9" t="n">
        <v>19.8812068152</v>
      </c>
      <c r="C832" s="9" t="n">
        <v>150.839996</v>
      </c>
      <c r="D832" s="9" t="n">
        <v>151.759995</v>
      </c>
      <c r="E832" s="9" t="n">
        <v>150.610001</v>
      </c>
      <c r="F832" s="9" t="n">
        <v>151.639999</v>
      </c>
      <c r="G832" s="9" t="n">
        <v>147.986023</v>
      </c>
      <c r="H832" s="9" t="n">
        <v>147.986023</v>
      </c>
      <c r="I832" s="2" t="str">
        <f aca="false">IF(COUNT(C832:F832)&lt;4,"",IF(OR(D832&lt;MAX(C832,F832)-0.000001,E832&gt;MIN(C832,F832)+0.000001),"FAIL","OK"))</f>
        <v>OK</v>
      </c>
      <c r="J832" s="10" t="n">
        <f aca="false">IF(COUNT(F832,G832)&lt;2,"",G832/F832)</f>
        <v>0.975903613663305</v>
      </c>
      <c r="K832" s="10" t="n">
        <f aca="false">H832/H831-1</f>
        <v>-0.000263685090338361</v>
      </c>
      <c r="L832" s="10" t="n">
        <f aca="false">H837/H832-1</f>
        <v>0.0205751187732102</v>
      </c>
      <c r="M832" s="10" t="n">
        <f aca="false">IF(COUNT(B773:B832)&lt;60,"",(B832-AVERAGE(B773:B832))/STDEV(B773:B832))</f>
        <v>1.4766847274338</v>
      </c>
      <c r="N832" s="10" t="n">
        <f aca="false">(H832-AVERAGE(H773:H832))/STDEV(H773:H832)</f>
        <v>0.650054443893379</v>
      </c>
      <c r="O832" s="10" t="n">
        <f aca="false">IF(COUNT(B832)=0,"",B832-('Signal Analysis'!$C$6+'Signal Analysis'!$C$5*H832))</f>
        <v>1.43558940437952</v>
      </c>
    </row>
    <row r="833" customFormat="false" ht="15" hidden="false" customHeight="false" outlineLevel="0" collapsed="false">
      <c r="A833" s="8" t="n">
        <v>43535</v>
      </c>
      <c r="B833" s="9" t="n">
        <v>18.5100677856</v>
      </c>
      <c r="C833" s="9" t="n">
        <v>152.110001</v>
      </c>
      <c r="D833" s="9" t="n">
        <v>154.309998</v>
      </c>
      <c r="E833" s="9" t="n">
        <v>151.899994</v>
      </c>
      <c r="F833" s="9" t="n">
        <v>154.289993</v>
      </c>
      <c r="G833" s="9" t="n">
        <v>150.572144</v>
      </c>
      <c r="H833" s="9" t="n">
        <v>150.572144</v>
      </c>
      <c r="I833" s="2" t="str">
        <f aca="false">IF(COUNT(C833:F833)&lt;4,"",IF(OR(D833&lt;MAX(C833,F833)-0.000001,E833&gt;MIN(C833,F833)+0.000001),"FAIL","OK"))</f>
        <v>OK</v>
      </c>
      <c r="J833" s="10" t="n">
        <f aca="false">IF(COUNT(F833,G833)&lt;2,"",G833/F833)</f>
        <v>0.975903498809544</v>
      </c>
      <c r="K833" s="10" t="n">
        <f aca="false">H833/H832-1</f>
        <v>0.0174754409070106</v>
      </c>
      <c r="L833" s="10" t="n">
        <f aca="false">H838/H833-1</f>
        <v>0.00946290570186736</v>
      </c>
      <c r="M833" s="10" t="n">
        <f aca="false">IF(COUNT(B774:B833)&lt;60,"",(B833-AVERAGE(B774:B833))/STDEV(B774:B833))</f>
        <v>0.278869701870217</v>
      </c>
      <c r="N833" s="10" t="n">
        <f aca="false">(H833-AVERAGE(H774:H833))/STDEV(H774:H833)</f>
        <v>0.928548441994338</v>
      </c>
      <c r="O833" s="10" t="n">
        <f aca="false">IF(COUNT(B833)=0,"",B833-('Signal Analysis'!$C$6+'Signal Analysis'!$C$5*H833))</f>
        <v>-0.289311395197728</v>
      </c>
    </row>
    <row r="834" customFormat="false" ht="15" hidden="false" customHeight="false" outlineLevel="0" collapsed="false">
      <c r="A834" s="8" t="n">
        <v>43536</v>
      </c>
      <c r="B834" s="9" t="n">
        <v>19.2555976776</v>
      </c>
      <c r="C834" s="9" t="n">
        <v>154.399994</v>
      </c>
      <c r="D834" s="9" t="n">
        <v>154.979996</v>
      </c>
      <c r="E834" s="9" t="n">
        <v>153.800003</v>
      </c>
      <c r="F834" s="9" t="n">
        <v>154.369995</v>
      </c>
      <c r="G834" s="9" t="n">
        <v>150.650238</v>
      </c>
      <c r="H834" s="9" t="n">
        <v>150.650238</v>
      </c>
      <c r="I834" s="2" t="str">
        <f aca="false">IF(COUNT(C834:F834)&lt;4,"",IF(OR(D834&lt;MAX(C834,F834)-0.000001,E834&gt;MIN(C834,F834)+0.000001),"FAIL","OK"))</f>
        <v>OK</v>
      </c>
      <c r="J834" s="10" t="n">
        <f aca="false">IF(COUNT(F834,G834)&lt;2,"",G834/F834)</f>
        <v>0.975903626867385</v>
      </c>
      <c r="K834" s="10" t="n">
        <f aca="false">H834/H833-1</f>
        <v>0.00051864838957183</v>
      </c>
      <c r="L834" s="10" t="n">
        <f aca="false">H839/H834-1</f>
        <v>0.00382213800418962</v>
      </c>
      <c r="M834" s="10" t="n">
        <f aca="false">IF(COUNT(B775:B834)&lt;60,"",(B834-AVERAGE(B775:B834))/STDEV(B775:B834))</f>
        <v>0.894949413505432</v>
      </c>
      <c r="N834" s="10" t="n">
        <f aca="false">(H834-AVERAGE(H775:H834))/STDEV(H775:H834)</f>
        <v>0.912284697706345</v>
      </c>
      <c r="O834" s="10" t="n">
        <f aca="false">IF(COUNT(B834)=0,"",B834-('Signal Analysis'!$C$6+'Signal Analysis'!$C$5*H834))</f>
        <v>0.445535828951616</v>
      </c>
    </row>
    <row r="835" customFormat="false" ht="15" hidden="false" customHeight="false" outlineLevel="0" collapsed="false">
      <c r="A835" s="8" t="n">
        <v>43537</v>
      </c>
      <c r="B835" s="9" t="n">
        <v>19.14349437</v>
      </c>
      <c r="C835" s="9" t="n">
        <v>154.919998</v>
      </c>
      <c r="D835" s="9" t="n">
        <v>155.729996</v>
      </c>
      <c r="E835" s="9" t="n">
        <v>154.75</v>
      </c>
      <c r="F835" s="9" t="n">
        <v>154.979996</v>
      </c>
      <c r="G835" s="9" t="n">
        <v>151.24556</v>
      </c>
      <c r="H835" s="9" t="n">
        <v>151.24556</v>
      </c>
      <c r="I835" s="2" t="str">
        <f aca="false">IF(COUNT(C835:F835)&lt;4,"",IF(OR(D835&lt;MAX(C835,F835)-0.000001,E835&gt;MIN(C835,F835)+0.000001),"FAIL","OK"))</f>
        <v>OK</v>
      </c>
      <c r="J835" s="10" t="n">
        <f aca="false">IF(COUNT(F835,G835)&lt;2,"",G835/F835)</f>
        <v>0.975903754701349</v>
      </c>
      <c r="K835" s="10" t="n">
        <f aca="false">H835/H834-1</f>
        <v>0.00395168310321559</v>
      </c>
      <c r="L835" s="10" t="n">
        <f aca="false">H840/H835-1</f>
        <v>-0.00846204014187268</v>
      </c>
      <c r="M835" s="10" t="n">
        <f aca="false">IF(COUNT(B776:B835)&lt;60,"",(B835-AVERAGE(B776:B835))/STDEV(B776:B835))</f>
        <v>0.775358413356413</v>
      </c>
      <c r="N835" s="10" t="n">
        <f aca="false">(H835-AVERAGE(H776:H835))/STDEV(H776:H835)</f>
        <v>0.95201152562633</v>
      </c>
      <c r="O835" s="10" t="n">
        <f aca="false">IF(COUNT(B835)=0,"",B835-('Signal Analysis'!$C$6+'Signal Analysis'!$C$5*H835))</f>
        <v>0.251996979694283</v>
      </c>
    </row>
    <row r="836" customFormat="false" ht="15" hidden="false" customHeight="false" outlineLevel="0" collapsed="false">
      <c r="A836" s="8" t="n">
        <v>43538</v>
      </c>
      <c r="B836" s="9" t="n">
        <v>18.446897196</v>
      </c>
      <c r="C836" s="9" t="n">
        <v>154.899994</v>
      </c>
      <c r="D836" s="9" t="n">
        <v>155.020004</v>
      </c>
      <c r="E836" s="9" t="n">
        <v>154.199997</v>
      </c>
      <c r="F836" s="9" t="n">
        <v>154.350006</v>
      </c>
      <c r="G836" s="9" t="n">
        <v>150.630737</v>
      </c>
      <c r="H836" s="9" t="n">
        <v>150.630737</v>
      </c>
      <c r="I836" s="2" t="str">
        <f aca="false">IF(COUNT(C836:F836)&lt;4,"",IF(OR(D836&lt;MAX(C836,F836)-0.000001,E836&gt;MIN(C836,F836)+0.000001),"FAIL","OK"))</f>
        <v>OK</v>
      </c>
      <c r="J836" s="10" t="n">
        <f aca="false">IF(COUNT(F836,G836)&lt;2,"",G836/F836)</f>
        <v>0.975903667927295</v>
      </c>
      <c r="K836" s="10" t="n">
        <f aca="false">H836/H835-1</f>
        <v>-0.00406506478603408</v>
      </c>
      <c r="L836" s="10" t="n">
        <f aca="false">H841/H836-1</f>
        <v>0.00864204760546294</v>
      </c>
      <c r="M836" s="10" t="n">
        <f aca="false">IF(COUNT(B777:B836)&lt;60,"",(B836-AVERAGE(B777:B836))/STDEV(B777:B836))</f>
        <v>0.110803030427756</v>
      </c>
      <c r="N836" s="10" t="n">
        <f aca="false">(H836-AVERAGE(H777:H836))/STDEV(H777:H836)</f>
        <v>0.852302805657231</v>
      </c>
      <c r="O836" s="10" t="n">
        <f aca="false">IF(COUNT(B836)=0,"",B836-('Signal Analysis'!$C$6+'Signal Analysis'!$C$5*H836))</f>
        <v>-0.360497063515346</v>
      </c>
    </row>
    <row r="837" customFormat="false" ht="15" hidden="false" customHeight="false" outlineLevel="0" collapsed="false">
      <c r="A837" s="8" t="n">
        <v>43539</v>
      </c>
      <c r="B837" s="9" t="n">
        <v>18.3518117952</v>
      </c>
      <c r="C837" s="9" t="n">
        <v>154.529999</v>
      </c>
      <c r="D837" s="9" t="n">
        <v>155.869995</v>
      </c>
      <c r="E837" s="9" t="n">
        <v>154.330002</v>
      </c>
      <c r="F837" s="9" t="n">
        <v>154.759995</v>
      </c>
      <c r="G837" s="9" t="n">
        <v>151.030853</v>
      </c>
      <c r="H837" s="9" t="n">
        <v>151.030853</v>
      </c>
      <c r="I837" s="2" t="str">
        <f aca="false">IF(COUNT(C837:F837)&lt;4,"",IF(OR(D837&lt;MAX(C837,F837)-0.000001,E837&gt;MIN(C837,F837)+0.000001),"FAIL","OK"))</f>
        <v>OK</v>
      </c>
      <c r="J837" s="10" t="n">
        <f aca="false">IF(COUNT(F837,G837)&lt;2,"",G837/F837)</f>
        <v>0.975903708190221</v>
      </c>
      <c r="K837" s="10" t="n">
        <f aca="false">H837/H836-1</f>
        <v>0.00265627061228546</v>
      </c>
      <c r="L837" s="10" t="n">
        <f aca="false">H842/H837-1</f>
        <v>-0.0306355086268367</v>
      </c>
      <c r="M837" s="10" t="n">
        <f aca="false">IF(COUNT(B778:B837)&lt;60,"",(B837-AVERAGE(B778:B837))/STDEV(B778:B837))</f>
        <v>-0.0181095791546386</v>
      </c>
      <c r="N837" s="10" t="n">
        <f aca="false">(H837-AVERAGE(H778:H837))/STDEV(H778:H837)</f>
        <v>0.868856303014835</v>
      </c>
      <c r="O837" s="10" t="n">
        <f aca="false">IF(COUNT(B837)=0,"",B837-('Signal Analysis'!$C$6+'Signal Analysis'!$C$5*H837))</f>
        <v>-0.510315303326443</v>
      </c>
    </row>
    <row r="838" customFormat="false" ht="15" hidden="false" customHeight="false" outlineLevel="0" collapsed="false">
      <c r="A838" s="8" t="n">
        <v>43542</v>
      </c>
      <c r="B838" s="9" t="n">
        <v>18.72307206</v>
      </c>
      <c r="C838" s="9" t="n">
        <v>155.059998</v>
      </c>
      <c r="D838" s="9" t="n">
        <v>156.449997</v>
      </c>
      <c r="E838" s="9" t="n">
        <v>154.479996</v>
      </c>
      <c r="F838" s="9" t="n">
        <v>155.75</v>
      </c>
      <c r="G838" s="9" t="n">
        <v>151.996994</v>
      </c>
      <c r="H838" s="9" t="n">
        <v>151.996994</v>
      </c>
      <c r="I838" s="2" t="str">
        <f aca="false">IF(COUNT(C838:F838)&lt;4,"",IF(OR(D838&lt;MAX(C838,F838)-0.000001,E838&gt;MIN(C838,F838)+0.000001),"FAIL","OK"))</f>
        <v>OK</v>
      </c>
      <c r="J838" s="10" t="n">
        <f aca="false">IF(COUNT(F838,G838)&lt;2,"",G838/F838)</f>
        <v>0.97590365329053</v>
      </c>
      <c r="K838" s="10" t="n">
        <f aca="false">H838/H837-1</f>
        <v>0.00639697770891878</v>
      </c>
      <c r="L838" s="10" t="n">
        <f aca="false">H843/H838-1</f>
        <v>-0.0325481436823677</v>
      </c>
      <c r="M838" s="10" t="n">
        <f aca="false">IF(COUNT(B779:B838)&lt;60,"",(B838-AVERAGE(B779:B838))/STDEV(B779:B838))</f>
        <v>0.319925283658268</v>
      </c>
      <c r="N838" s="10" t="n">
        <f aca="false">(H838-AVERAGE(H779:H838))/STDEV(H779:H838)</f>
        <v>0.949402696203498</v>
      </c>
      <c r="O838" s="10" t="n">
        <f aca="false">IF(COUNT(B838)=0,"",B838-('Signal Analysis'!$C$6+'Signal Analysis'!$C$5*H838))</f>
        <v>-0.271215811439848</v>
      </c>
    </row>
    <row r="839" customFormat="false" ht="15" hidden="false" customHeight="false" outlineLevel="0" collapsed="false">
      <c r="A839" s="8" t="n">
        <v>43543</v>
      </c>
      <c r="B839" s="9" t="n">
        <v>17.76221928</v>
      </c>
      <c r="C839" s="9" t="n">
        <v>156.479996</v>
      </c>
      <c r="D839" s="9" t="n">
        <v>156.529999</v>
      </c>
      <c r="E839" s="9" t="n">
        <v>154.570007</v>
      </c>
      <c r="F839" s="9" t="n">
        <v>154.960007</v>
      </c>
      <c r="G839" s="9" t="n">
        <v>151.226044</v>
      </c>
      <c r="H839" s="9" t="n">
        <v>151.226044</v>
      </c>
      <c r="I839" s="2" t="str">
        <f aca="false">IF(COUNT(C839:F839)&lt;4,"",IF(OR(D839&lt;MAX(C839,F839)-0.000001,E839&gt;MIN(C839,F839)+0.000001),"FAIL","OK"))</f>
        <v>OK</v>
      </c>
      <c r="J839" s="10" t="n">
        <f aca="false">IF(COUNT(F839,G839)&lt;2,"",G839/F839)</f>
        <v>0.975903698816947</v>
      </c>
      <c r="K839" s="10" t="n">
        <f aca="false">H839/H838-1</f>
        <v>-0.00507213978192223</v>
      </c>
      <c r="L839" s="10" t="n">
        <f aca="false">H844/H839-1</f>
        <v>-0.0173927316382091</v>
      </c>
      <c r="M839" s="10" t="n">
        <f aca="false">IF(COUNT(B780:B839)&lt;60,"",(B839-AVERAGE(B780:B839))/STDEV(B780:B839))</f>
        <v>-0.709046433824197</v>
      </c>
      <c r="N839" s="10" t="n">
        <f aca="false">(H839-AVERAGE(H780:H839))/STDEV(H780:H839)</f>
        <v>0.831497872250439</v>
      </c>
      <c r="O839" s="10" t="n">
        <f aca="false">IF(COUNT(B839)=0,"",B839-('Signal Analysis'!$C$6+'Signal Analysis'!$C$5*H839))</f>
        <v>-1.12660846928626</v>
      </c>
    </row>
    <row r="840" customFormat="false" ht="15" hidden="false" customHeight="false" outlineLevel="0" collapsed="false">
      <c r="A840" s="8" t="n">
        <v>43544</v>
      </c>
      <c r="B840" s="9" t="n">
        <v>18.9959816016</v>
      </c>
      <c r="C840" s="9" t="n">
        <v>154.539993</v>
      </c>
      <c r="D840" s="9" t="n">
        <v>155.419998</v>
      </c>
      <c r="E840" s="9" t="n">
        <v>152.410004</v>
      </c>
      <c r="F840" s="9" t="n">
        <v>153.259995</v>
      </c>
      <c r="G840" s="9" t="n">
        <v>149.965714</v>
      </c>
      <c r="H840" s="9" t="n">
        <v>149.965714</v>
      </c>
      <c r="I840" s="2" t="str">
        <f aca="false">IF(COUNT(C840:F840)&lt;4,"",IF(OR(D840&lt;MAX(C840,F840)-0.000001,E840&gt;MIN(C840,F840)+0.000001),"FAIL","OK"))</f>
        <v>OK</v>
      </c>
      <c r="J840" s="10" t="n">
        <f aca="false">IF(COUNT(F840,G840)&lt;2,"",G840/F840)</f>
        <v>0.97850527791026</v>
      </c>
      <c r="K840" s="10" t="n">
        <f aca="false">H840/H839-1</f>
        <v>-0.00833408033870153</v>
      </c>
      <c r="L840" s="10" t="n">
        <f aca="false">H845/H840-1</f>
        <v>-0.0129844345621559</v>
      </c>
      <c r="M840" s="10" t="n">
        <f aca="false">IF(COUNT(B781:B840)&lt;60,"",(B840-AVERAGE(B781:B840))/STDEV(B781:B840))</f>
        <v>0.572210156231982</v>
      </c>
      <c r="N840" s="10" t="n">
        <f aca="false">(H840-AVERAGE(H781:H840))/STDEV(H781:H840)</f>
        <v>0.657044729666965</v>
      </c>
      <c r="O840" s="10" t="n">
        <f aca="false">IF(COUNT(B840)=0,"",B840-('Signal Analysis'!$C$6+'Signal Analysis'!$C$5*H840))</f>
        <v>0.279557452746758</v>
      </c>
    </row>
    <row r="841" customFormat="false" ht="15" hidden="false" customHeight="false" outlineLevel="0" collapsed="false">
      <c r="A841" s="8" t="n">
        <v>43545</v>
      </c>
      <c r="B841" s="9" t="n">
        <v>19.2342400068</v>
      </c>
      <c r="C841" s="9" t="n">
        <v>152.729996</v>
      </c>
      <c r="D841" s="9" t="n">
        <v>156.059998</v>
      </c>
      <c r="E841" s="9" t="n">
        <v>152.729996</v>
      </c>
      <c r="F841" s="9" t="n">
        <v>155.270004</v>
      </c>
      <c r="G841" s="9" t="n">
        <v>151.932495</v>
      </c>
      <c r="H841" s="9" t="n">
        <v>151.932495</v>
      </c>
      <c r="I841" s="2" t="str">
        <f aca="false">IF(COUNT(C841:F841)&lt;4,"",IF(OR(D841&lt;MAX(C841,F841)-0.000001,E841&gt;MIN(C841,F841)+0.000001),"FAIL","OK"))</f>
        <v>OK</v>
      </c>
      <c r="J841" s="10" t="n">
        <f aca="false">IF(COUNT(F841,G841)&lt;2,"",G841/F841)</f>
        <v>0.978505127107487</v>
      </c>
      <c r="K841" s="10" t="n">
        <f aca="false">H841/H840-1</f>
        <v>0.0131148710431239</v>
      </c>
      <c r="L841" s="10" t="n">
        <f aca="false">H846/H841-1</f>
        <v>-0.017066901981699</v>
      </c>
      <c r="M841" s="10" t="n">
        <f aca="false">IF(COUNT(B782:B841)&lt;60,"",(B841-AVERAGE(B782:B841))/STDEV(B782:B841))</f>
        <v>0.800062941646514</v>
      </c>
      <c r="N841" s="10" t="n">
        <f aca="false">(H841-AVERAGE(H782:H841))/STDEV(H782:H841)</f>
        <v>0.879959523075171</v>
      </c>
      <c r="O841" s="10" t="n">
        <f aca="false">IF(COUNT(B841)=0,"",B841-('Signal Analysis'!$C$6+'Signal Analysis'!$C$5*H841))</f>
        <v>0.248775110155908</v>
      </c>
    </row>
    <row r="842" customFormat="false" ht="15" hidden="false" customHeight="false" outlineLevel="0" collapsed="false">
      <c r="A842" s="8" t="n">
        <v>43546</v>
      </c>
      <c r="B842" s="9" t="n">
        <v>19.6257779712</v>
      </c>
      <c r="C842" s="9" t="n">
        <v>154.199997</v>
      </c>
      <c r="D842" s="9" t="n">
        <v>154.539993</v>
      </c>
      <c r="E842" s="9" t="n">
        <v>149.570007</v>
      </c>
      <c r="F842" s="9" t="n">
        <v>149.619995</v>
      </c>
      <c r="G842" s="9" t="n">
        <v>146.403946</v>
      </c>
      <c r="H842" s="9" t="n">
        <v>146.403946</v>
      </c>
      <c r="I842" s="2" t="str">
        <f aca="false">IF(COUNT(C842:F842)&lt;4,"",IF(OR(D842&lt;MAX(C842,F842)-0.000001,E842&gt;MIN(C842,F842)+0.000001),"FAIL","OK"))</f>
        <v>OK</v>
      </c>
      <c r="J842" s="10" t="n">
        <f aca="false">IF(COUNT(F842,G842)&lt;2,"",G842/F842)</f>
        <v>0.978505219172077</v>
      </c>
      <c r="K842" s="10" t="n">
        <f aca="false">H842/H841-1</f>
        <v>-0.036388193322304</v>
      </c>
      <c r="L842" s="10" t="n">
        <f aca="false">H847/H842-1</f>
        <v>0.0231922095870285</v>
      </c>
      <c r="M842" s="10" t="n">
        <f aca="false">IF(COUNT(B783:B842)&lt;60,"",(B842-AVERAGE(B783:B842))/STDEV(B783:B842))</f>
        <v>1.25374082471188</v>
      </c>
      <c r="N842" s="10" t="n">
        <f aca="false">(H842-AVERAGE(H783:H842))/STDEV(H783:H842)</f>
        <v>0.135979855370182</v>
      </c>
      <c r="O842" s="10" t="n">
        <f aca="false">IF(COUNT(B842)=0,"",B842-('Signal Analysis'!$C$6+'Signal Analysis'!$C$5*H842))</f>
        <v>1.39657671405536</v>
      </c>
    </row>
    <row r="843" customFormat="false" ht="15" hidden="false" customHeight="false" outlineLevel="0" collapsed="false">
      <c r="A843" s="8" t="n">
        <v>43549</v>
      </c>
      <c r="B843" s="9" t="n">
        <v>19.7563024944</v>
      </c>
      <c r="C843" s="9" t="n">
        <v>149.479996</v>
      </c>
      <c r="D843" s="9" t="n">
        <v>151.320007</v>
      </c>
      <c r="E843" s="9" t="n">
        <v>148.410004</v>
      </c>
      <c r="F843" s="9" t="n">
        <v>150.279999</v>
      </c>
      <c r="G843" s="9" t="n">
        <v>147.049774</v>
      </c>
      <c r="H843" s="9" t="n">
        <v>147.049774</v>
      </c>
      <c r="I843" s="2" t="str">
        <f aca="false">IF(COUNT(C843:F843)&lt;4,"",IF(OR(D843&lt;MAX(C843,F843)-0.000001,E843&gt;MIN(C843,F843)+0.000001),"FAIL","OK"))</f>
        <v>OK</v>
      </c>
      <c r="J843" s="10" t="n">
        <f aca="false">IF(COUNT(F843,G843)&lt;2,"",G843/F843)</f>
        <v>0.978505289982069</v>
      </c>
      <c r="K843" s="10" t="n">
        <f aca="false">H843/H842-1</f>
        <v>0.00441127454310575</v>
      </c>
      <c r="L843" s="10" t="n">
        <f aca="false">H848/H843-1</f>
        <v>0.0298109808723677</v>
      </c>
      <c r="M843" s="10" t="n">
        <f aca="false">IF(COUNT(B784:B843)&lt;60,"",(B843-AVERAGE(B784:B843))/STDEV(B784:B843))</f>
        <v>1.42273169252204</v>
      </c>
      <c r="N843" s="10" t="n">
        <f aca="false">(H843-AVERAGE(H784:H843))/STDEV(H784:H843)</f>
        <v>0.191418876954237</v>
      </c>
      <c r="O843" s="10" t="n">
        <f aca="false">IF(COUNT(B843)=0,"",B843-('Signal Analysis'!$C$6+'Signal Analysis'!$C$5*H843))</f>
        <v>1.43875685724341</v>
      </c>
    </row>
    <row r="844" customFormat="false" ht="15" hidden="false" customHeight="false" outlineLevel="0" collapsed="false">
      <c r="A844" s="8" t="n">
        <v>43550</v>
      </c>
      <c r="B844" s="9" t="n">
        <v>18.9477444</v>
      </c>
      <c r="C844" s="9" t="n">
        <v>151.470001</v>
      </c>
      <c r="D844" s="9" t="n">
        <v>152.820007</v>
      </c>
      <c r="E844" s="9" t="n">
        <v>150.789993</v>
      </c>
      <c r="F844" s="9" t="n">
        <v>151.860001</v>
      </c>
      <c r="G844" s="9" t="n">
        <v>148.59581</v>
      </c>
      <c r="H844" s="9" t="n">
        <v>148.59581</v>
      </c>
      <c r="I844" s="2" t="str">
        <f aca="false">IF(COUNT(C844:F844)&lt;4,"",IF(OR(D844&lt;MAX(C844,F844)-0.000001,E844&gt;MIN(C844,F844)+0.000001),"FAIL","OK"))</f>
        <v>OK</v>
      </c>
      <c r="J844" s="10" t="n">
        <f aca="false">IF(COUNT(F844,G844)&lt;2,"",G844/F844)</f>
        <v>0.97850526156654</v>
      </c>
      <c r="K844" s="10" t="n">
        <f aca="false">H844/H843-1</f>
        <v>0.0105136917789481</v>
      </c>
      <c r="L844" s="10" t="n">
        <f aca="false">H849/H844-1</f>
        <v>0.0164624964862738</v>
      </c>
      <c r="M844" s="10" t="n">
        <f aca="false">IF(COUNT(B785:B844)&lt;60,"",(B844-AVERAGE(B785:B844))/STDEV(B785:B844))</f>
        <v>0.386891806425543</v>
      </c>
      <c r="N844" s="10" t="n">
        <f aca="false">(H844-AVERAGE(H785:H844))/STDEV(H785:H844)</f>
        <v>0.385658130633986</v>
      </c>
      <c r="O844" s="10" t="n">
        <f aca="false">IF(COUNT(B844)=0,"",B844-('Signal Analysis'!$C$6+'Signal Analysis'!$C$5*H844))</f>
        <v>0.418712745055171</v>
      </c>
    </row>
    <row r="845" customFormat="false" ht="15" hidden="false" customHeight="false" outlineLevel="0" collapsed="false">
      <c r="A845" s="8" t="n">
        <v>43551</v>
      </c>
      <c r="B845" s="9" t="n">
        <v>19.5898028472</v>
      </c>
      <c r="C845" s="9" t="n">
        <v>151.710007</v>
      </c>
      <c r="D845" s="9" t="n">
        <v>152.210007</v>
      </c>
      <c r="E845" s="9" t="n">
        <v>149.479996</v>
      </c>
      <c r="F845" s="9" t="n">
        <v>151.270004</v>
      </c>
      <c r="G845" s="9" t="n">
        <v>148.018494</v>
      </c>
      <c r="H845" s="9" t="n">
        <v>148.018494</v>
      </c>
      <c r="I845" s="2" t="str">
        <f aca="false">IF(COUNT(C845:F845)&lt;4,"",IF(OR(D845&lt;MAX(C845,F845)-0.000001,E845&gt;MIN(C845,F845)+0.000001),"FAIL","OK"))</f>
        <v>OK</v>
      </c>
      <c r="J845" s="10" t="n">
        <f aca="false">IF(COUNT(F845,G845)&lt;2,"",G845/F845)</f>
        <v>0.978505256071785</v>
      </c>
      <c r="K845" s="10" t="n">
        <f aca="false">H845/H844-1</f>
        <v>-0.00388514319481814</v>
      </c>
      <c r="L845" s="10" t="n">
        <f aca="false">H850/H845-1</f>
        <v>0.0257155771359219</v>
      </c>
      <c r="M845" s="10" t="n">
        <f aca="false">IF(COUNT(B786:B845)&lt;60,"",(B845-AVERAGE(B786:B845))/STDEV(B786:B845))</f>
        <v>1.15796354767373</v>
      </c>
      <c r="N845" s="10" t="n">
        <f aca="false">(H845-AVERAGE(H786:H845))/STDEV(H786:H845)</f>
        <v>0.266719784699406</v>
      </c>
      <c r="O845" s="10" t="n">
        <f aca="false">IF(COUNT(B845)=0,"",B845-('Signal Analysis'!$C$6+'Signal Analysis'!$C$5*H845))</f>
        <v>1.13974364945891</v>
      </c>
    </row>
    <row r="846" customFormat="false" ht="15" hidden="false" customHeight="false" outlineLevel="0" collapsed="false">
      <c r="A846" s="8" t="n">
        <v>43552</v>
      </c>
      <c r="B846" s="9" t="n">
        <v>18.47965764</v>
      </c>
      <c r="C846" s="9" t="n">
        <v>151.789993</v>
      </c>
      <c r="D846" s="9" t="n">
        <v>152.929993</v>
      </c>
      <c r="E846" s="9" t="n">
        <v>150.929993</v>
      </c>
      <c r="F846" s="9" t="n">
        <v>152.619995</v>
      </c>
      <c r="G846" s="9" t="n">
        <v>149.339478</v>
      </c>
      <c r="H846" s="9" t="n">
        <v>149.339478</v>
      </c>
      <c r="I846" s="2" t="str">
        <f aca="false">IF(COUNT(C846:F846)&lt;4,"",IF(OR(D846&lt;MAX(C846,F846)-0.000001,E846&gt;MIN(C846,F846)+0.000001),"FAIL","OK"))</f>
        <v>OK</v>
      </c>
      <c r="J846" s="10" t="n">
        <f aca="false">IF(COUNT(F846,G846)&lt;2,"",G846/F846)</f>
        <v>0.978505326251649</v>
      </c>
      <c r="K846" s="10" t="n">
        <f aca="false">H846/H845-1</f>
        <v>0.00892445237282313</v>
      </c>
      <c r="L846" s="10" t="n">
        <f aca="false">H851/H846-1</f>
        <v>0.0216224138670149</v>
      </c>
      <c r="M846" s="10" t="n">
        <f aca="false">IF(COUNT(B787:B846)&lt;60,"",(B846-AVERAGE(B787:B846))/STDEV(B787:B846))</f>
        <v>-0.248216484140316</v>
      </c>
      <c r="N846" s="10" t="n">
        <f aca="false">(H846-AVERAGE(H787:H846))/STDEV(H787:H846)</f>
        <v>0.451803643246226</v>
      </c>
      <c r="O846" s="10" t="n">
        <f aca="false">IF(COUNT(B846)=0,"",B846-('Signal Analysis'!$C$6+'Signal Analysis'!$C$5*H846))</f>
        <v>-0.151102166085266</v>
      </c>
    </row>
    <row r="847" customFormat="false" ht="15" hidden="false" customHeight="false" outlineLevel="0" collapsed="false">
      <c r="A847" s="8" t="n">
        <v>43553</v>
      </c>
      <c r="B847" s="9" t="n">
        <v>18.6336179064</v>
      </c>
      <c r="C847" s="9" t="n">
        <v>153.679993</v>
      </c>
      <c r="D847" s="9" t="n">
        <v>153.970001</v>
      </c>
      <c r="E847" s="9" t="n">
        <v>152.100006</v>
      </c>
      <c r="F847" s="9" t="n">
        <v>153.089996</v>
      </c>
      <c r="G847" s="9" t="n">
        <v>149.799377</v>
      </c>
      <c r="H847" s="9" t="n">
        <v>149.799377</v>
      </c>
      <c r="I847" s="2" t="str">
        <f aca="false">IF(COUNT(C847:F847)&lt;4,"",IF(OR(D847&lt;MAX(C847,F847)-0.000001,E847&gt;MIN(C847,F847)+0.000001),"FAIL","OK"))</f>
        <v>OK</v>
      </c>
      <c r="J847" s="10" t="n">
        <f aca="false">IF(COUNT(F847,G847)&lt;2,"",G847/F847)</f>
        <v>0.978505329636301</v>
      </c>
      <c r="K847" s="10" t="n">
        <f aca="false">H847/H846-1</f>
        <v>0.0030795540881694</v>
      </c>
      <c r="L847" s="10" t="n">
        <f aca="false">H852/H847-1</f>
        <v>0.0280226132048602</v>
      </c>
      <c r="M847" s="10" t="n">
        <f aca="false">IF(COUNT(B788:B847)&lt;60,"",(B847-AVERAGE(B788:B847))/STDEV(B788:B847))</f>
        <v>-0.0712962429344854</v>
      </c>
      <c r="N847" s="10" t="n">
        <f aca="false">(H847-AVERAGE(H788:H847))/STDEV(H788:H847)</f>
        <v>0.506154099432987</v>
      </c>
      <c r="O847" s="10" t="n">
        <f aca="false">IF(COUNT(B847)=0,"",B847-('Signal Analysis'!$C$6+'Signal Analysis'!$C$5*H847))</f>
        <v>-0.0600526004029618</v>
      </c>
    </row>
    <row r="848" customFormat="false" ht="15" hidden="false" customHeight="false" outlineLevel="0" collapsed="false">
      <c r="A848" s="8" t="n">
        <v>43556</v>
      </c>
      <c r="B848" s="9" t="n">
        <v>19.134865764</v>
      </c>
      <c r="C848" s="9" t="n">
        <v>154.289993</v>
      </c>
      <c r="D848" s="9" t="n">
        <v>154.919998</v>
      </c>
      <c r="E848" s="9" t="n">
        <v>153.720001</v>
      </c>
      <c r="F848" s="9" t="n">
        <v>154.759995</v>
      </c>
      <c r="G848" s="9" t="n">
        <v>151.433472</v>
      </c>
      <c r="H848" s="9" t="n">
        <v>151.433472</v>
      </c>
      <c r="I848" s="2" t="str">
        <f aca="false">IF(COUNT(C848:F848)&lt;4,"",IF(OR(D848&lt;MAX(C848,F848)-0.000001,E848&gt;MIN(C848,F848)+0.000001),"FAIL","OK"))</f>
        <v>OK</v>
      </c>
      <c r="J848" s="10" t="n">
        <f aca="false">IF(COUNT(F848,G848)&lt;2,"",G848/F848)</f>
        <v>0.978505278447444</v>
      </c>
      <c r="K848" s="10" t="n">
        <f aca="false">H848/H847-1</f>
        <v>0.0109085567158267</v>
      </c>
      <c r="L848" s="10" t="n">
        <f aca="false">H853/H848-1</f>
        <v>0.0152492706500185</v>
      </c>
      <c r="M848" s="10" t="n">
        <f aca="false">IF(COUNT(B789:B848)&lt;60,"",(B848-AVERAGE(B789:B848))/STDEV(B789:B848))</f>
        <v>0.546484434687708</v>
      </c>
      <c r="N848" s="10" t="n">
        <f aca="false">(H848-AVERAGE(H789:H848))/STDEV(H789:H848)</f>
        <v>0.800814507157719</v>
      </c>
      <c r="O848" s="10" t="n">
        <f aca="false">IF(COUNT(B848)=0,"",B848-('Signal Analysis'!$C$6+'Signal Analysis'!$C$5*H848))</f>
        <v>0.217663435015872</v>
      </c>
    </row>
    <row r="849" customFormat="false" ht="15" hidden="false" customHeight="false" outlineLevel="0" collapsed="false">
      <c r="A849" s="8" t="n">
        <v>43557</v>
      </c>
      <c r="B849" s="9" t="n">
        <v>20.133869382</v>
      </c>
      <c r="C849" s="9" t="n">
        <v>154.869995</v>
      </c>
      <c r="D849" s="9" t="n">
        <v>154.880005</v>
      </c>
      <c r="E849" s="9" t="n">
        <v>153.509995</v>
      </c>
      <c r="F849" s="9" t="n">
        <v>154.360001</v>
      </c>
      <c r="G849" s="9" t="n">
        <v>151.042068</v>
      </c>
      <c r="H849" s="9" t="n">
        <v>151.042068</v>
      </c>
      <c r="I849" s="2" t="str">
        <f aca="false">IF(COUNT(C849:F849)&lt;4,"",IF(OR(D849&lt;MAX(C849,F849)-0.000001,E849&gt;MIN(C849,F849)+0.000001),"FAIL","OK"))</f>
        <v>OK</v>
      </c>
      <c r="J849" s="10" t="n">
        <f aca="false">IF(COUNT(F849,G849)&lt;2,"",G849/F849)</f>
        <v>0.978505228177603</v>
      </c>
      <c r="K849" s="10" t="n">
        <f aca="false">H849/H848-1</f>
        <v>-0.00258465975078481</v>
      </c>
      <c r="L849" s="10" t="n">
        <f aca="false">H854/H849-1</f>
        <v>0.005441834919792</v>
      </c>
      <c r="M849" s="10" t="n">
        <f aca="false">IF(COUNT(B790:B849)&lt;60,"",(B849-AVERAGE(B790:B849))/STDEV(B790:B849))</f>
        <v>1.7757457200577</v>
      </c>
      <c r="N849" s="10" t="n">
        <f aca="false">(H849-AVERAGE(H790:H849))/STDEV(H790:H849)</f>
        <v>0.709109720639007</v>
      </c>
      <c r="O849" s="10" t="n">
        <f aca="false">IF(COUNT(B849)=0,"",B849-('Signal Analysis'!$C$6+'Signal Analysis'!$C$5*H849))</f>
        <v>1.27020815639664</v>
      </c>
    </row>
    <row r="850" customFormat="false" ht="15" hidden="false" customHeight="false" outlineLevel="0" collapsed="false">
      <c r="A850" s="8" t="n">
        <v>43558</v>
      </c>
      <c r="B850" s="9" t="n">
        <v>19.9237930416</v>
      </c>
      <c r="C850" s="9" t="n">
        <v>155.740005</v>
      </c>
      <c r="D850" s="9" t="n">
        <v>156.149994</v>
      </c>
      <c r="E850" s="9" t="n">
        <v>154.729996</v>
      </c>
      <c r="F850" s="9" t="n">
        <v>155.160004</v>
      </c>
      <c r="G850" s="9" t="n">
        <v>151.824875</v>
      </c>
      <c r="H850" s="9" t="n">
        <v>151.824875</v>
      </c>
      <c r="I850" s="2" t="str">
        <f aca="false">IF(COUNT(C850:F850)&lt;4,"",IF(OR(D850&lt;MAX(C850,F850)-0.000001,E850&gt;MIN(C850,F850)+0.000001),"FAIL","OK"))</f>
        <v>OK</v>
      </c>
      <c r="J850" s="10" t="n">
        <f aca="false">IF(COUNT(F850,G850)&lt;2,"",G850/F850)</f>
        <v>0.978505227416725</v>
      </c>
      <c r="K850" s="10" t="n">
        <f aca="false">H850/H849-1</f>
        <v>0.00518270843590396</v>
      </c>
      <c r="L850" s="10" t="n">
        <f aca="false">H855/H850-1</f>
        <v>0.0138566885037779</v>
      </c>
      <c r="M850" s="10" t="n">
        <f aca="false">IF(COUNT(B791:B850)&lt;60,"",(B850-AVERAGE(B791:B850))/STDEV(B791:B850))</f>
        <v>1.45506328001848</v>
      </c>
      <c r="N850" s="10" t="n">
        <f aca="false">(H850-AVERAGE(H791:H850))/STDEV(H791:H850)</f>
        <v>0.854405426300439</v>
      </c>
      <c r="O850" s="10" t="n">
        <f aca="false">IF(COUNT(B850)=0,"",B850-('Signal Analysis'!$C$6+'Signal Analysis'!$C$5*H850))</f>
        <v>0.953049746027531</v>
      </c>
    </row>
    <row r="851" customFormat="false" ht="15" hidden="false" customHeight="false" outlineLevel="0" collapsed="false">
      <c r="A851" s="8" t="n">
        <v>43559</v>
      </c>
      <c r="B851" s="9" t="n">
        <v>19.810923312</v>
      </c>
      <c r="C851" s="9" t="n">
        <v>155.279999</v>
      </c>
      <c r="D851" s="9" t="n">
        <v>156.009995</v>
      </c>
      <c r="E851" s="9" t="n">
        <v>154.839996</v>
      </c>
      <c r="F851" s="9" t="n">
        <v>155.919998</v>
      </c>
      <c r="G851" s="9" t="n">
        <v>152.568558</v>
      </c>
      <c r="H851" s="9" t="n">
        <v>152.568558</v>
      </c>
      <c r="I851" s="2" t="str">
        <f aca="false">IF(COUNT(C851:F851)&lt;4,"",IF(OR(D851&lt;MAX(C851,F851)-0.000001,E851&gt;MIN(C851,F851)+0.000001),"FAIL","OK"))</f>
        <v>OK</v>
      </c>
      <c r="J851" s="10" t="n">
        <f aca="false">IF(COUNT(F851,G851)&lt;2,"",G851/F851)</f>
        <v>0.978505387102429</v>
      </c>
      <c r="K851" s="10" t="n">
        <f aca="false">H851/H850-1</f>
        <v>0.00489829482816973</v>
      </c>
      <c r="L851" s="10" t="n">
        <f aca="false">H856/H851-1</f>
        <v>0.00763206400626793</v>
      </c>
      <c r="M851" s="10" t="n">
        <f aca="false">IF(COUNT(B792:B851)&lt;60,"",(B851-AVERAGE(B792:B851))/STDEV(B792:B851))</f>
        <v>1.26456327653486</v>
      </c>
      <c r="N851" s="10" t="n">
        <f aca="false">(H851-AVERAGE(H792:H851))/STDEV(H792:H851)</f>
        <v>0.993265653244249</v>
      </c>
      <c r="O851" s="10" t="n">
        <f aca="false">IF(COUNT(B851)=0,"",B851-('Signal Analysis'!$C$6+'Signal Analysis'!$C$5*H851))</f>
        <v>0.738449813400685</v>
      </c>
    </row>
    <row r="852" customFormat="false" ht="15" hidden="false" customHeight="false" outlineLevel="0" collapsed="false">
      <c r="A852" s="8" t="n">
        <v>43560</v>
      </c>
      <c r="B852" s="9" t="n">
        <v>19.377752562</v>
      </c>
      <c r="C852" s="9" t="n">
        <v>156.300003</v>
      </c>
      <c r="D852" s="9" t="n">
        <v>157.470001</v>
      </c>
      <c r="E852" s="9" t="n">
        <v>156.190002</v>
      </c>
      <c r="F852" s="9" t="n">
        <v>157.380005</v>
      </c>
      <c r="G852" s="9" t="n">
        <v>153.997147</v>
      </c>
      <c r="H852" s="9" t="n">
        <v>153.997147</v>
      </c>
      <c r="I852" s="2" t="str">
        <f aca="false">IF(COUNT(C852:F852)&lt;4,"",IF(OR(D852&lt;MAX(C852,F852)-0.000001,E852&gt;MIN(C852,F852)+0.000001),"FAIL","OK"))</f>
        <v>OK</v>
      </c>
      <c r="J852" s="10" t="n">
        <f aca="false">IF(COUNT(F852,G852)&lt;2,"",G852/F852)</f>
        <v>0.978505160169489</v>
      </c>
      <c r="K852" s="10" t="n">
        <f aca="false">H852/H851-1</f>
        <v>0.00936358722090058</v>
      </c>
      <c r="L852" s="10" t="n">
        <f aca="false">H857/H852-1</f>
        <v>0.0019060937538018</v>
      </c>
      <c r="M852" s="10" t="n">
        <f aca="false">IF(COUNT(B793:B852)&lt;60,"",(B852-AVERAGE(B793:B852))/STDEV(B793:B852))</f>
        <v>0.690853226173163</v>
      </c>
      <c r="N852" s="10" t="n">
        <f aca="false">(H852-AVERAGE(H793:H852))/STDEV(H793:H852)</f>
        <v>1.28204064525007</v>
      </c>
      <c r="O852" s="10" t="n">
        <f aca="false">IF(COUNT(B852)=0,"",B852-('Signal Analysis'!$C$6+'Signal Analysis'!$C$5*H852))</f>
        <v>0.109858905871306</v>
      </c>
    </row>
    <row r="853" customFormat="false" ht="15" hidden="false" customHeight="false" outlineLevel="0" collapsed="false">
      <c r="A853" s="8" t="n">
        <v>43563</v>
      </c>
      <c r="B853" s="9" t="n">
        <v>19.9783197792</v>
      </c>
      <c r="C853" s="9" t="n">
        <v>156.850006</v>
      </c>
      <c r="D853" s="9" t="n">
        <v>157.5</v>
      </c>
      <c r="E853" s="9" t="n">
        <v>156.070007</v>
      </c>
      <c r="F853" s="9" t="n">
        <v>157.119995</v>
      </c>
      <c r="G853" s="9" t="n">
        <v>153.742722</v>
      </c>
      <c r="H853" s="9" t="n">
        <v>153.742722</v>
      </c>
      <c r="I853" s="2" t="str">
        <f aca="false">IF(COUNT(C853:F853)&lt;4,"",IF(OR(D853&lt;MAX(C853,F853)-0.000001,E853&gt;MIN(C853,F853)+0.000001),"FAIL","OK"))</f>
        <v>OK</v>
      </c>
      <c r="J853" s="10" t="n">
        <f aca="false">IF(COUNT(F853,G853)&lt;2,"",G853/F853)</f>
        <v>0.978505135517602</v>
      </c>
      <c r="K853" s="10" t="n">
        <f aca="false">H853/H852-1</f>
        <v>-0.00165214099713173</v>
      </c>
      <c r="L853" s="10" t="n">
        <f aca="false">H858/H853-1</f>
        <v>0.000318486620784597</v>
      </c>
      <c r="M853" s="10" t="n">
        <f aca="false">IF(COUNT(B794:B853)&lt;60,"",(B853-AVERAGE(B794:B853))/STDEV(B794:B853))</f>
        <v>1.43266337278256</v>
      </c>
      <c r="N853" s="10" t="n">
        <f aca="false">(H853-AVERAGE(H794:H853))/STDEV(H794:H853)</f>
        <v>1.19444067537587</v>
      </c>
      <c r="O853" s="10" t="n">
        <f aca="false">IF(COUNT(B853)=0,"",B853-('Signal Analysis'!$C$6+'Signal Analysis'!$C$5*H853))</f>
        <v>0.745229536494911</v>
      </c>
    </row>
    <row r="854" customFormat="false" ht="15" hidden="false" customHeight="false" outlineLevel="0" collapsed="false">
      <c r="A854" s="8" t="n">
        <v>43564</v>
      </c>
      <c r="B854" s="9" t="n">
        <v>18.69594822</v>
      </c>
      <c r="C854" s="9" t="n">
        <v>156.460007</v>
      </c>
      <c r="D854" s="9" t="n">
        <v>156.699997</v>
      </c>
      <c r="E854" s="9" t="n">
        <v>154.910004</v>
      </c>
      <c r="F854" s="9" t="n">
        <v>155.199997</v>
      </c>
      <c r="G854" s="9" t="n">
        <v>151.864014</v>
      </c>
      <c r="H854" s="9" t="n">
        <v>151.864014</v>
      </c>
      <c r="I854" s="2" t="str">
        <f aca="false">IF(COUNT(C854:F854)&lt;4,"",IF(OR(D854&lt;MAX(C854,F854)-0.000001,E854&gt;MIN(C854,F854)+0.000001),"FAIL","OK"))</f>
        <v>OK</v>
      </c>
      <c r="J854" s="10" t="n">
        <f aca="false">IF(COUNT(F854,G854)&lt;2,"",G854/F854)</f>
        <v>0.978505263759767</v>
      </c>
      <c r="K854" s="10" t="n">
        <f aca="false">H854/H853-1</f>
        <v>-0.0122198174688229</v>
      </c>
      <c r="L854" s="10" t="n">
        <f aca="false">H859/H854-1</f>
        <v>0.015077225602637</v>
      </c>
      <c r="M854" s="10" t="n">
        <f aca="false">IF(COUNT(B795:B854)&lt;60,"",(B854-AVERAGE(B795:B854))/STDEV(B795:B854))</f>
        <v>-0.252895164280455</v>
      </c>
      <c r="N854" s="10" t="n">
        <f aca="false">(H854-AVERAGE(H795:H854))/STDEV(H795:H854)</f>
        <v>0.735149251957918</v>
      </c>
      <c r="O854" s="10" t="n">
        <f aca="false">IF(COUNT(B854)=0,"",B854-('Signal Analysis'!$C$6+'Signal Analysis'!$C$5*H854))</f>
        <v>-0.280148994401149</v>
      </c>
    </row>
    <row r="855" customFormat="false" ht="15" hidden="false" customHeight="false" outlineLevel="0" collapsed="false">
      <c r="A855" s="8" t="n">
        <v>43565</v>
      </c>
      <c r="B855" s="9" t="n">
        <v>18.6408536544</v>
      </c>
      <c r="C855" s="9" t="n">
        <v>155.479996</v>
      </c>
      <c r="D855" s="9" t="n">
        <v>157.360001</v>
      </c>
      <c r="E855" s="9" t="n">
        <v>155.330002</v>
      </c>
      <c r="F855" s="9" t="n">
        <v>157.309998</v>
      </c>
      <c r="G855" s="9" t="n">
        <v>153.928665</v>
      </c>
      <c r="H855" s="9" t="n">
        <v>153.928665</v>
      </c>
      <c r="I855" s="2" t="str">
        <f aca="false">IF(COUNT(C855:F855)&lt;4,"",IF(OR(D855&lt;MAX(C855,F855)-0.000001,E855&gt;MIN(C855,F855)+0.000001),"FAIL","OK"))</f>
        <v>OK</v>
      </c>
      <c r="J855" s="10" t="n">
        <f aca="false">IF(COUNT(F855,G855)&lt;2,"",G855/F855)</f>
        <v>0.978505288646689</v>
      </c>
      <c r="K855" s="10" t="n">
        <f aca="false">H855/H854-1</f>
        <v>0.0135953933102282</v>
      </c>
      <c r="L855" s="10" t="n">
        <f aca="false">H860/H855-1</f>
        <v>-0.0076918097093871</v>
      </c>
      <c r="M855" s="10" t="n">
        <f aca="false">IF(COUNT(B796:B855)&lt;60,"",(B855-AVERAGE(B796:B855))/STDEV(B796:B855))</f>
        <v>-0.329910803676291</v>
      </c>
      <c r="N855" s="10" t="n">
        <f aca="false">(H855-AVERAGE(H796:H855))/STDEV(H796:H855)</f>
        <v>1.21290917103503</v>
      </c>
      <c r="O855" s="10" t="n">
        <f aca="false">IF(COUNT(B855)=0,"",B855-('Signal Analysis'!$C$6+'Signal Analysis'!$C$5*H855))</f>
        <v>-0.617672182693319</v>
      </c>
    </row>
    <row r="856" customFormat="false" ht="15" hidden="false" customHeight="false" outlineLevel="0" collapsed="false">
      <c r="A856" s="8" t="n">
        <v>43566</v>
      </c>
      <c r="B856" s="9" t="n">
        <v>19.6853769936</v>
      </c>
      <c r="C856" s="9" t="n">
        <v>157.520004</v>
      </c>
      <c r="D856" s="9" t="n">
        <v>157.679993</v>
      </c>
      <c r="E856" s="9" t="n">
        <v>156.809998</v>
      </c>
      <c r="F856" s="9" t="n">
        <v>157.110001</v>
      </c>
      <c r="G856" s="9" t="n">
        <v>153.732971</v>
      </c>
      <c r="H856" s="9" t="n">
        <v>153.732971</v>
      </c>
      <c r="I856" s="2" t="str">
        <f aca="false">IF(COUNT(C856:F856)&lt;4,"",IF(OR(D856&lt;MAX(C856,F856)-0.000001,E856&gt;MIN(C856,F856)+0.000001),"FAIL","OK"))</f>
        <v>OK</v>
      </c>
      <c r="J856" s="10" t="n">
        <f aca="false">IF(COUNT(F856,G856)&lt;2,"",G856/F856)</f>
        <v>0.978505314884442</v>
      </c>
      <c r="K856" s="10" t="n">
        <f aca="false">H856/H855-1</f>
        <v>-0.00127132915756789</v>
      </c>
      <c r="L856" s="10" t="n">
        <f aca="false">H861/H856-1</f>
        <v>-0.00935658102906234</v>
      </c>
      <c r="M856" s="10" t="n">
        <f aca="false">IF(COUNT(B797:B856)&lt;60,"",(B856-AVERAGE(B797:B856))/STDEV(B797:B856))</f>
        <v>1.02133244992816</v>
      </c>
      <c r="N856" s="10" t="n">
        <f aca="false">(H856-AVERAGE(H797:H856))/STDEV(H797:H856)</f>
        <v>1.14572717472337</v>
      </c>
      <c r="O856" s="10" t="n">
        <f aca="false">IF(COUNT(B856)=0,"",B856-('Signal Analysis'!$C$6+'Signal Analysis'!$C$5*H856))</f>
        <v>0.453620613857641</v>
      </c>
    </row>
    <row r="857" customFormat="false" ht="15" hidden="false" customHeight="false" outlineLevel="0" collapsed="false">
      <c r="A857" s="8" t="n">
        <v>43567</v>
      </c>
      <c r="B857" s="9" t="n">
        <v>18.87200838</v>
      </c>
      <c r="C857" s="9" t="n">
        <v>158.130005</v>
      </c>
      <c r="D857" s="9" t="n">
        <v>158.160004</v>
      </c>
      <c r="E857" s="9" t="n">
        <v>157.110001</v>
      </c>
      <c r="F857" s="9" t="n">
        <v>157.679993</v>
      </c>
      <c r="G857" s="9" t="n">
        <v>154.29068</v>
      </c>
      <c r="H857" s="9" t="n">
        <v>154.29068</v>
      </c>
      <c r="I857" s="2" t="str">
        <f aca="false">IF(COUNT(C857:F857)&lt;4,"",IF(OR(D857&lt;MAX(C857,F857)-0.000001,E857&gt;MIN(C857,F857)+0.000001),"FAIL","OK"))</f>
        <v>OK</v>
      </c>
      <c r="J857" s="10" t="n">
        <f aca="false">IF(COUNT(F857,G857)&lt;2,"",G857/F857)</f>
        <v>0.978505117006189</v>
      </c>
      <c r="K857" s="10" t="n">
        <f aca="false">H857/H856-1</f>
        <v>0.00362777741412423</v>
      </c>
      <c r="L857" s="10" t="n">
        <f aca="false">H862/H857-1</f>
        <v>-0.0155378082460976</v>
      </c>
      <c r="M857" s="10" t="n">
        <f aca="false">IF(COUNT(B798:B857)&lt;60,"",(B857-AVERAGE(B798:B857))/STDEV(B798:B857))</f>
        <v>-0.114978562391113</v>
      </c>
      <c r="N857" s="10" t="n">
        <f aca="false">(H857-AVERAGE(H798:H857))/STDEV(H798:H857)</f>
        <v>1.26427788358978</v>
      </c>
      <c r="O857" s="10" t="n">
        <f aca="false">IF(COUNT(B857)=0,"",B857-('Signal Analysis'!$C$6+'Signal Analysis'!$C$5*H857))</f>
        <v>-0.436038367815716</v>
      </c>
    </row>
    <row r="858" customFormat="false" ht="15" hidden="false" customHeight="false" outlineLevel="0" collapsed="false">
      <c r="A858" s="8" t="n">
        <v>43570</v>
      </c>
      <c r="B858" s="9" t="n">
        <v>19.6730747064</v>
      </c>
      <c r="C858" s="9" t="n">
        <v>157.949997</v>
      </c>
      <c r="D858" s="9" t="n">
        <v>158.100006</v>
      </c>
      <c r="E858" s="9" t="n">
        <v>156.5</v>
      </c>
      <c r="F858" s="9" t="n">
        <v>157.169998</v>
      </c>
      <c r="G858" s="9" t="n">
        <v>153.791687</v>
      </c>
      <c r="H858" s="9" t="n">
        <v>153.791687</v>
      </c>
      <c r="I858" s="2" t="str">
        <f aca="false">IF(COUNT(C858:F858)&lt;4,"",IF(OR(D858&lt;MAX(C858,F858)-0.000001,E858&gt;MIN(C858,F858)+0.000001),"FAIL","OK"))</f>
        <v>OK</v>
      </c>
      <c r="J858" s="10" t="n">
        <f aca="false">IF(COUNT(F858,G858)&lt;2,"",G858/F858)</f>
        <v>0.978505369708028</v>
      </c>
      <c r="K858" s="10" t="n">
        <f aca="false">H858/H857-1</f>
        <v>-0.00323410979846617</v>
      </c>
      <c r="L858" s="10" t="n">
        <f aca="false">H863/H858-1</f>
        <v>0.00254492299053855</v>
      </c>
      <c r="M858" s="10" t="n">
        <f aca="false">IF(COUNT(B799:B858)&lt;60,"",(B858-AVERAGE(B799:B858))/STDEV(B799:B858))</f>
        <v>0.981405232743249</v>
      </c>
      <c r="N858" s="10" t="n">
        <f aca="false">(H858-AVERAGE(H799:H858))/STDEV(H799:H858)</f>
        <v>1.10568522279859</v>
      </c>
      <c r="O858" s="10" t="n">
        <f aca="false">IF(COUNT(B858)=0,"",B858-('Signal Analysis'!$C$6+'Signal Analysis'!$C$5*H858))</f>
        <v>0.433286422471419</v>
      </c>
    </row>
    <row r="859" customFormat="false" ht="15" hidden="false" customHeight="false" outlineLevel="0" collapsed="false">
      <c r="A859" s="8" t="n">
        <v>43571</v>
      </c>
      <c r="B859" s="9" t="n">
        <v>19.6940827788</v>
      </c>
      <c r="C859" s="9" t="n">
        <v>157.710007</v>
      </c>
      <c r="D859" s="9" t="n">
        <v>157.899994</v>
      </c>
      <c r="E859" s="9" t="n">
        <v>156.979996</v>
      </c>
      <c r="F859" s="9" t="n">
        <v>157.539993</v>
      </c>
      <c r="G859" s="9" t="n">
        <v>154.153702</v>
      </c>
      <c r="H859" s="9" t="n">
        <v>154.153702</v>
      </c>
      <c r="I859" s="2" t="str">
        <f aca="false">IF(COUNT(C859:F859)&lt;4,"",IF(OR(D859&lt;MAX(C859,F859)-0.000001,E859&gt;MIN(C859,F859)+0.000001),"FAIL","OK"))</f>
        <v>OK</v>
      </c>
      <c r="J859" s="10" t="n">
        <f aca="false">IF(COUNT(F859,G859)&lt;2,"",G859/F859)</f>
        <v>0.978505197724618</v>
      </c>
      <c r="K859" s="10" t="n">
        <f aca="false">H859/H858-1</f>
        <v>0.00235393087273961</v>
      </c>
      <c r="L859" s="10" t="n">
        <f aca="false">H864/H859-1</f>
        <v>0.00330082893500649</v>
      </c>
      <c r="M859" s="10" t="n">
        <f aca="false">IF(COUNT(B800:B859)&lt;60,"",(B859-AVERAGE(B800:B859))/STDEV(B800:B859))</f>
        <v>0.991607157986214</v>
      </c>
      <c r="N859" s="10" t="n">
        <f aca="false">(H859-AVERAGE(H800:H859))/STDEV(H800:H859)</f>
        <v>1.16826530501798</v>
      </c>
      <c r="O859" s="10" t="n">
        <f aca="false">IF(COUNT(B859)=0,"",B859-('Signal Analysis'!$C$6+'Signal Analysis'!$C$5*H859))</f>
        <v>0.404773584149019</v>
      </c>
    </row>
    <row r="860" customFormat="false" ht="15" hidden="false" customHeight="false" outlineLevel="0" collapsed="false">
      <c r="A860" s="8" t="n">
        <v>43572</v>
      </c>
      <c r="B860" s="9" t="n">
        <v>19.1416881372</v>
      </c>
      <c r="C860" s="9" t="n">
        <v>158.089996</v>
      </c>
      <c r="D860" s="9" t="n">
        <v>158.110001</v>
      </c>
      <c r="E860" s="9" t="n">
        <v>155.199997</v>
      </c>
      <c r="F860" s="9" t="n">
        <v>156.100006</v>
      </c>
      <c r="G860" s="9" t="n">
        <v>152.744675</v>
      </c>
      <c r="H860" s="9" t="n">
        <v>152.744675</v>
      </c>
      <c r="I860" s="2" t="str">
        <f aca="false">IF(COUNT(C860:F860)&lt;4,"",IF(OR(D860&lt;MAX(C860,F860)-0.000001,E860&gt;MIN(C860,F860)+0.000001),"FAIL","OK"))</f>
        <v>OK</v>
      </c>
      <c r="J860" s="10" t="n">
        <f aca="false">IF(COUNT(F860,G860)&lt;2,"",G860/F860)</f>
        <v>0.978505247462963</v>
      </c>
      <c r="K860" s="10" t="n">
        <f aca="false">H860/H859-1</f>
        <v>-0.00914040325804177</v>
      </c>
      <c r="L860" s="10" t="n">
        <f aca="false">H865/H860-1</f>
        <v>0.00416402077519229</v>
      </c>
      <c r="M860" s="10" t="n">
        <f aca="false">IF(COUNT(B801:B860)&lt;60,"",(B860-AVERAGE(B801:B860))/STDEV(B801:B860))</f>
        <v>0.148426672561257</v>
      </c>
      <c r="N860" s="10" t="n">
        <f aca="false">(H860-AVERAGE(H801:H860))/STDEV(H801:H860)</f>
        <v>0.766131603781779</v>
      </c>
      <c r="O860" s="10" t="n">
        <f aca="false">IF(COUNT(B860)=0,"",B860-('Signal Analysis'!$C$6+'Signal Analysis'!$C$5*H860))</f>
        <v>0.0451231666072651</v>
      </c>
    </row>
    <row r="861" customFormat="false" ht="15" hidden="false" customHeight="false" outlineLevel="0" collapsed="false">
      <c r="A861" s="8" t="n">
        <v>43573</v>
      </c>
      <c r="B861" s="9" t="n">
        <v>19.607071554</v>
      </c>
      <c r="C861" s="9" t="n">
        <v>156.110001</v>
      </c>
      <c r="D861" s="9" t="n">
        <v>156.279999</v>
      </c>
      <c r="E861" s="9" t="n">
        <v>154.660004</v>
      </c>
      <c r="F861" s="9" t="n">
        <v>155.639999</v>
      </c>
      <c r="G861" s="9" t="n">
        <v>152.294556</v>
      </c>
      <c r="H861" s="9" t="n">
        <v>152.294556</v>
      </c>
      <c r="I861" s="2" t="str">
        <f aca="false">IF(COUNT(C861:F861)&lt;4,"",IF(OR(D861&lt;MAX(C861,F861)-0.000001,E861&gt;MIN(C861,F861)+0.000001),"FAIL","OK"))</f>
        <v>OK</v>
      </c>
      <c r="J861" s="10" t="n">
        <f aca="false">IF(COUNT(F861,G861)&lt;2,"",G861/F861)</f>
        <v>0.978505249155135</v>
      </c>
      <c r="K861" s="10" t="n">
        <f aca="false">H861/H860-1</f>
        <v>-0.00294687196133026</v>
      </c>
      <c r="L861" s="10" t="n">
        <f aca="false">H866/H861-1</f>
        <v>0.0168979841932104</v>
      </c>
      <c r="M861" s="10" t="n">
        <f aca="false">IF(COUNT(B802:B861)&lt;60,"",(B861-AVERAGE(B802:B861))/STDEV(B802:B861))</f>
        <v>0.831876189943522</v>
      </c>
      <c r="N861" s="10" t="n">
        <f aca="false">(H861-AVERAGE(H802:H861))/STDEV(H802:H861)</f>
        <v>0.619210790676264</v>
      </c>
      <c r="O861" s="10" t="n">
        <f aca="false">IF(COUNT(B861)=0,"",B861-('Signal Analysis'!$C$6+'Signal Analysis'!$C$5*H861))</f>
        <v>0.572079454181832</v>
      </c>
    </row>
    <row r="862" customFormat="false" ht="15" hidden="false" customHeight="false" outlineLevel="0" collapsed="false">
      <c r="A862" s="8" t="n">
        <v>43577</v>
      </c>
      <c r="B862" s="9" t="n">
        <v>19.515834198</v>
      </c>
      <c r="C862" s="9" t="n">
        <v>155.309998</v>
      </c>
      <c r="D862" s="9" t="n">
        <v>155.809998</v>
      </c>
      <c r="E862" s="9" t="n">
        <v>154.520004</v>
      </c>
      <c r="F862" s="9" t="n">
        <v>155.229996</v>
      </c>
      <c r="G862" s="9" t="n">
        <v>151.893341</v>
      </c>
      <c r="H862" s="9" t="n">
        <v>151.893341</v>
      </c>
      <c r="I862" s="2" t="str">
        <f aca="false">IF(COUNT(C862:F862)&lt;4,"",IF(OR(D862&lt;MAX(C862,F862)-0.000001,E862&gt;MIN(C862,F862)+0.000001),"FAIL","OK"))</f>
        <v>OK</v>
      </c>
      <c r="J862" s="10" t="n">
        <f aca="false">IF(COUNT(F862,G862)&lt;2,"",G862/F862)</f>
        <v>0.978505088668559</v>
      </c>
      <c r="K862" s="10" t="n">
        <f aca="false">H862/H861-1</f>
        <v>-0.00263446711778725</v>
      </c>
      <c r="L862" s="10" t="n">
        <f aca="false">H867/H862-1</f>
        <v>0.0244799276618717</v>
      </c>
      <c r="M862" s="10" t="n">
        <f aca="false">IF(COUNT(B803:B862)&lt;60,"",(B862-AVERAGE(B803:B862))/STDEV(B803:B862))</f>
        <v>0.668844791201805</v>
      </c>
      <c r="N862" s="10" t="n">
        <f aca="false">(H862-AVERAGE(H803:H862))/STDEV(H803:H862)</f>
        <v>0.474714996038515</v>
      </c>
      <c r="O862" s="10" t="n">
        <f aca="false">IF(COUNT(B862)=0,"",B862-('Signal Analysis'!$C$6+'Signal Analysis'!$C$5*H862))</f>
        <v>0.535725272070998</v>
      </c>
    </row>
    <row r="863" customFormat="false" ht="15" hidden="false" customHeight="false" outlineLevel="0" collapsed="false">
      <c r="A863" s="8" t="n">
        <v>43578</v>
      </c>
      <c r="B863" s="9" t="n">
        <v>19.883209968</v>
      </c>
      <c r="C863" s="9" t="n">
        <v>155.369995</v>
      </c>
      <c r="D863" s="9" t="n">
        <v>158.050003</v>
      </c>
      <c r="E863" s="9" t="n">
        <v>155.360001</v>
      </c>
      <c r="F863" s="9" t="n">
        <v>157.570007</v>
      </c>
      <c r="G863" s="9" t="n">
        <v>154.183075</v>
      </c>
      <c r="H863" s="9" t="n">
        <v>154.183075</v>
      </c>
      <c r="I863" s="2" t="str">
        <f aca="false">IF(COUNT(C863:F863)&lt;4,"",IF(OR(D863&lt;MAX(C863,F863)-0.000001,E863&gt;MIN(C863,F863)+0.000001),"FAIL","OK"))</f>
        <v>OK</v>
      </c>
      <c r="J863" s="10" t="n">
        <f aca="false">IF(COUNT(F863,G863)&lt;2,"",G863/F863)</f>
        <v>0.978505224030357</v>
      </c>
      <c r="K863" s="10" t="n">
        <f aca="false">H863/H862-1</f>
        <v>0.0150746173922134</v>
      </c>
      <c r="L863" s="10" t="n">
        <f aca="false">H868/H863-1</f>
        <v>0.0045692304424465</v>
      </c>
      <c r="M863" s="10" t="n">
        <f aca="false">IF(COUNT(B804:B863)&lt;60,"",(B863-AVERAGE(B804:B863))/STDEV(B804:B863))</f>
        <v>1.18792090389613</v>
      </c>
      <c r="N863" s="10" t="n">
        <f aca="false">(H863-AVERAGE(H804:H863))/STDEV(H804:H863)</f>
        <v>1.17186221373679</v>
      </c>
      <c r="O863" s="10" t="n">
        <f aca="false">IF(COUNT(B863)=0,"",B863-('Signal Analysis'!$C$6+'Signal Analysis'!$C$5*H863))</f>
        <v>0.589882769369492</v>
      </c>
    </row>
    <row r="864" customFormat="false" ht="15" hidden="false" customHeight="false" outlineLevel="0" collapsed="false">
      <c r="A864" s="8" t="n">
        <v>43579</v>
      </c>
      <c r="B864" s="9" t="n">
        <v>20.34570648</v>
      </c>
      <c r="C864" s="9" t="n">
        <v>157.619995</v>
      </c>
      <c r="D864" s="9" t="n">
        <v>158.690002</v>
      </c>
      <c r="E864" s="9" t="n">
        <v>157.369995</v>
      </c>
      <c r="F864" s="9" t="n">
        <v>158.059998</v>
      </c>
      <c r="G864" s="9" t="n">
        <v>154.662537</v>
      </c>
      <c r="H864" s="9" t="n">
        <v>154.662537</v>
      </c>
      <c r="I864" s="2" t="str">
        <f aca="false">IF(COUNT(C864:F864)&lt;4,"",IF(OR(D864&lt;MAX(C864,F864)-0.000001,E864&gt;MIN(C864,F864)+0.000001),"FAIL","OK"))</f>
        <v>OK</v>
      </c>
      <c r="J864" s="10" t="n">
        <f aca="false">IF(COUNT(F864,G864)&lt;2,"",G864/F864)</f>
        <v>0.978505244571748</v>
      </c>
      <c r="K864" s="10" t="n">
        <f aca="false">H864/H863-1</f>
        <v>0.00310969281161366</v>
      </c>
      <c r="L864" s="10" t="n">
        <f aca="false">H869/H864-1</f>
        <v>-0.00803495807132659</v>
      </c>
      <c r="M864" s="10" t="n">
        <f aca="false">IF(COUNT(B805:B864)&lt;60,"",(B864-AVERAGE(B805:B864))/STDEV(B805:B864))</f>
        <v>1.84536015911524</v>
      </c>
      <c r="N864" s="10" t="n">
        <f aca="false">(H864-AVERAGE(H805:H864))/STDEV(H805:H864)</f>
        <v>1.31431856562851</v>
      </c>
      <c r="O864" s="10" t="n">
        <f aca="false">IF(COUNT(B864)=0,"",B864-('Signal Analysis'!$C$6+'Signal Analysis'!$C$5*H864))</f>
        <v>0.986792510388234</v>
      </c>
    </row>
    <row r="865" customFormat="false" ht="15" hidden="false" customHeight="false" outlineLevel="0" collapsed="false">
      <c r="A865" s="8" t="n">
        <v>43580</v>
      </c>
      <c r="B865" s="9" t="n">
        <v>18.84953244</v>
      </c>
      <c r="C865" s="9" t="n">
        <v>157.330002</v>
      </c>
      <c r="D865" s="9" t="n">
        <v>157.470001</v>
      </c>
      <c r="E865" s="9" t="n">
        <v>155.470001</v>
      </c>
      <c r="F865" s="9" t="n">
        <v>156.75</v>
      </c>
      <c r="G865" s="9" t="n">
        <v>153.380707</v>
      </c>
      <c r="H865" s="9" t="n">
        <v>153.380707</v>
      </c>
      <c r="I865" s="2" t="str">
        <f aca="false">IF(COUNT(C865:F865)&lt;4,"",IF(OR(D865&lt;MAX(C865,F865)-0.000001,E865&gt;MIN(C865,F865)+0.000001),"FAIL","OK"))</f>
        <v>OK</v>
      </c>
      <c r="J865" s="10" t="n">
        <f aca="false">IF(COUNT(F865,G865)&lt;2,"",G865/F865)</f>
        <v>0.978505307814992</v>
      </c>
      <c r="K865" s="10" t="n">
        <f aca="false">H865/H864-1</f>
        <v>-0.00828791525642691</v>
      </c>
      <c r="L865" s="10" t="n">
        <f aca="false">H870/H865-1</f>
        <v>0.00491217581882708</v>
      </c>
      <c r="M865" s="10" t="n">
        <f aca="false">IF(COUNT(B806:B865)&lt;60,"",(B865-AVERAGE(B806:B865))/STDEV(B806:B865))</f>
        <v>-0.475881138667175</v>
      </c>
      <c r="N865" s="10" t="n">
        <f aca="false">(H865-AVERAGE(H806:H865))/STDEV(H806:H865)</f>
        <v>0.875480723784494</v>
      </c>
      <c r="O865" s="10" t="n">
        <f aca="false">IF(COUNT(B865)=0,"",B865-('Signal Analysis'!$C$6+'Signal Analysis'!$C$5*H865))</f>
        <v>-0.334036891982695</v>
      </c>
    </row>
    <row r="866" customFormat="false" ht="15" hidden="false" customHeight="false" outlineLevel="0" collapsed="false">
      <c r="A866" s="8" t="n">
        <v>43581</v>
      </c>
      <c r="B866" s="9" t="n">
        <v>19.62549888</v>
      </c>
      <c r="C866" s="9" t="n">
        <v>156.960007</v>
      </c>
      <c r="D866" s="9" t="n">
        <v>158.490005</v>
      </c>
      <c r="E866" s="9" t="n">
        <v>156.399994</v>
      </c>
      <c r="F866" s="9" t="n">
        <v>158.270004</v>
      </c>
      <c r="G866" s="9" t="n">
        <v>154.868027</v>
      </c>
      <c r="H866" s="9" t="n">
        <v>154.868027</v>
      </c>
      <c r="I866" s="2" t="str">
        <f aca="false">IF(COUNT(C866:F866)&lt;4,"",IF(OR(D866&lt;MAX(C866,F866)-0.000001,E866&gt;MIN(C866,F866)+0.000001),"FAIL","OK"))</f>
        <v>OK</v>
      </c>
      <c r="J866" s="10" t="n">
        <f aca="false">IF(COUNT(F866,G866)&lt;2,"",G866/F866)</f>
        <v>0.978505232109554</v>
      </c>
      <c r="K866" s="10" t="n">
        <f aca="false">H866/H865-1</f>
        <v>0.00969691709662035</v>
      </c>
      <c r="L866" s="10" t="n">
        <f aca="false">H871/H866-1</f>
        <v>0.0142793192554846</v>
      </c>
      <c r="M866" s="10" t="n">
        <f aca="false">IF(COUNT(B807:B866)&lt;60,"",(B866-AVERAGE(B807:B866))/STDEV(B807:B866))</f>
        <v>0.719617513962965</v>
      </c>
      <c r="N866" s="10" t="n">
        <f aca="false">(H866-AVERAGE(H807:H866))/STDEV(H807:H866)</f>
        <v>1.39152576188983</v>
      </c>
      <c r="O866" s="10" t="n">
        <f aca="false">IF(COUNT(B866)=0,"",B866-('Signal Analysis'!$C$6+'Signal Analysis'!$C$5*H866))</f>
        <v>0.238475434415285</v>
      </c>
    </row>
    <row r="867" customFormat="false" ht="15" hidden="false" customHeight="false" outlineLevel="0" collapsed="false">
      <c r="A867" s="8" t="n">
        <v>43584</v>
      </c>
      <c r="B867" s="9" t="n">
        <v>19.422135936</v>
      </c>
      <c r="C867" s="9" t="n">
        <v>158.619995</v>
      </c>
      <c r="D867" s="9" t="n">
        <v>159.610001</v>
      </c>
      <c r="E867" s="9" t="n">
        <v>158.490005</v>
      </c>
      <c r="F867" s="9" t="n">
        <v>159.029999</v>
      </c>
      <c r="G867" s="9" t="n">
        <v>155.611679</v>
      </c>
      <c r="H867" s="9" t="n">
        <v>155.611679</v>
      </c>
      <c r="I867" s="2" t="str">
        <f aca="false">IF(COUNT(C867:F867)&lt;4,"",IF(OR(D867&lt;MAX(C867,F867)-0.000001,E867&gt;MIN(C867,F867)+0.000001),"FAIL","OK"))</f>
        <v>OK</v>
      </c>
      <c r="J867" s="10" t="n">
        <f aca="false">IF(COUNT(F867,G867)&lt;2,"",G867/F867)</f>
        <v>0.978505187565272</v>
      </c>
      <c r="K867" s="10" t="n">
        <f aca="false">H867/H866-1</f>
        <v>0.00480184331398492</v>
      </c>
      <c r="L867" s="10" t="n">
        <f aca="false">H872/H867-1</f>
        <v>0.0105642520571991</v>
      </c>
      <c r="M867" s="10" t="n">
        <f aca="false">IF(COUNT(B808:B867)&lt;60,"",(B867-AVERAGE(B808:B867))/STDEV(B808:B867))</f>
        <v>0.388526301258289</v>
      </c>
      <c r="N867" s="10" t="n">
        <f aca="false">(H867-AVERAGE(H808:H867))/STDEV(H808:H867)</f>
        <v>1.62944480053388</v>
      </c>
      <c r="O867" s="10" t="n">
        <f aca="false">IF(COUNT(B867)=0,"",B867-('Signal Analysis'!$C$6+'Signal Analysis'!$C$5*H867))</f>
        <v>-0.0666134720463028</v>
      </c>
    </row>
    <row r="868" customFormat="false" ht="15" hidden="false" customHeight="false" outlineLevel="0" collapsed="false">
      <c r="A868" s="8" t="n">
        <v>43585</v>
      </c>
      <c r="B868" s="9" t="n">
        <v>19.6953366048</v>
      </c>
      <c r="C868" s="9" t="n">
        <v>159.149994</v>
      </c>
      <c r="D868" s="9" t="n">
        <v>159.190002</v>
      </c>
      <c r="E868" s="9" t="n">
        <v>156.960007</v>
      </c>
      <c r="F868" s="9" t="n">
        <v>158.289993</v>
      </c>
      <c r="G868" s="9" t="n">
        <v>154.887573</v>
      </c>
      <c r="H868" s="9" t="n">
        <v>154.887573</v>
      </c>
      <c r="I868" s="2" t="str">
        <f aca="false">IF(COUNT(C868:F868)&lt;4,"",IF(OR(D868&lt;MAX(C868,F868)-0.000001,E868&gt;MIN(C868,F868)+0.000001),"FAIL","OK"))</f>
        <v>OK</v>
      </c>
      <c r="J868" s="10" t="n">
        <f aca="false">IF(COUNT(F868,G868)&lt;2,"",G868/F868)</f>
        <v>0.978505147827001</v>
      </c>
      <c r="K868" s="10" t="n">
        <f aca="false">H868/H867-1</f>
        <v>-0.00465328826636469</v>
      </c>
      <c r="L868" s="10" t="n">
        <f aca="false">H873/H868-1</f>
        <v>-0.00480114050208536</v>
      </c>
      <c r="M868" s="10" t="n">
        <f aca="false">IF(COUNT(B809:B868)&lt;60,"",(B868-AVERAGE(B809:B868))/STDEV(B809:B868))</f>
        <v>0.786922151708005</v>
      </c>
      <c r="N868" s="10" t="n">
        <f aca="false">(H868-AVERAGE(H809:H868))/STDEV(H809:H868)</f>
        <v>1.33257356215173</v>
      </c>
      <c r="O868" s="10" t="n">
        <f aca="false">IF(COUNT(B868)=0,"",B868-('Signal Analysis'!$C$6+'Signal Analysis'!$C$5*H868))</f>
        <v>0.305639414423002</v>
      </c>
    </row>
    <row r="869" customFormat="false" ht="15" hidden="false" customHeight="false" outlineLevel="0" collapsed="false">
      <c r="A869" s="8" t="n">
        <v>43586</v>
      </c>
      <c r="B869" s="9" t="n">
        <v>19.8071221968</v>
      </c>
      <c r="C869" s="9" t="n">
        <v>158.669998</v>
      </c>
      <c r="D869" s="9" t="n">
        <v>158.729996</v>
      </c>
      <c r="E869" s="9" t="n">
        <v>156.710007</v>
      </c>
      <c r="F869" s="9" t="n">
        <v>156.789993</v>
      </c>
      <c r="G869" s="9" t="n">
        <v>153.41983</v>
      </c>
      <c r="H869" s="9" t="n">
        <v>153.41983</v>
      </c>
      <c r="I869" s="2" t="str">
        <f aca="false">IF(COUNT(C869:F869)&lt;4,"",IF(OR(D869&lt;MAX(C869,F869)-0.000001,E869&gt;MIN(C869,F869)+0.000001),"FAIL","OK"))</f>
        <v>OK</v>
      </c>
      <c r="J869" s="10" t="n">
        <f aca="false">IF(COUNT(F869,G869)&lt;2,"",G869/F869)</f>
        <v>0.978505241721645</v>
      </c>
      <c r="K869" s="10" t="n">
        <f aca="false">H869/H868-1</f>
        <v>-0.00947618308926579</v>
      </c>
      <c r="L869" s="10" t="n">
        <f aca="false">H874/H869-1</f>
        <v>-0.000191357271090764</v>
      </c>
      <c r="M869" s="10" t="n">
        <f aca="false">IF(COUNT(B810:B869)&lt;60,"",(B869-AVERAGE(B810:B869))/STDEV(B810:B869))</f>
        <v>0.928683105003533</v>
      </c>
      <c r="N869" s="10" t="n">
        <f aca="false">(H869-AVERAGE(H810:H869))/STDEV(H810:H869)</f>
        <v>0.740064765145283</v>
      </c>
      <c r="O869" s="10" t="n">
        <f aca="false">IF(COUNT(B869)=0,"",B869-('Signal Analysis'!$C$6+'Signal Analysis'!$C$5*H869))</f>
        <v>0.618201134667473</v>
      </c>
    </row>
    <row r="870" customFormat="false" ht="15" hidden="false" customHeight="false" outlineLevel="0" collapsed="false">
      <c r="A870" s="8" t="n">
        <v>43587</v>
      </c>
      <c r="B870" s="9" t="n">
        <v>20.0455550532</v>
      </c>
      <c r="C870" s="9" t="n">
        <v>156.639999</v>
      </c>
      <c r="D870" s="9" t="n">
        <v>158.149994</v>
      </c>
      <c r="E870" s="9" t="n">
        <v>155.679993</v>
      </c>
      <c r="F870" s="9" t="n">
        <v>157.520004</v>
      </c>
      <c r="G870" s="9" t="n">
        <v>154.13414</v>
      </c>
      <c r="H870" s="9" t="n">
        <v>154.13414</v>
      </c>
      <c r="I870" s="2" t="str">
        <f aca="false">IF(COUNT(C870:F870)&lt;4,"",IF(OR(D870&lt;MAX(C870,F870)-0.000001,E870&gt;MIN(C870,F870)+0.000001),"FAIL","OK"))</f>
        <v>OK</v>
      </c>
      <c r="J870" s="10" t="n">
        <f aca="false">IF(COUNT(F870,G870)&lt;2,"",G870/F870)</f>
        <v>0.978505180840397</v>
      </c>
      <c r="K870" s="10" t="n">
        <f aca="false">H870/H869-1</f>
        <v>0.00465591703497537</v>
      </c>
      <c r="L870" s="10" t="n">
        <f aca="false">H875/H870-1</f>
        <v>-0.00844334032680894</v>
      </c>
      <c r="M870" s="10" t="n">
        <f aca="false">IF(COUNT(B811:B870)&lt;60,"",(B870-AVERAGE(B811:B870))/STDEV(B811:B870))</f>
        <v>1.25543661001982</v>
      </c>
      <c r="N870" s="10" t="n">
        <f aca="false">(H870-AVERAGE(H811:H870))/STDEV(H811:H870)</f>
        <v>0.990429603407687</v>
      </c>
      <c r="O870" s="10" t="n">
        <f aca="false">IF(COUNT(B870)=0,"",B870-('Signal Analysis'!$C$6+'Signal Analysis'!$C$5*H870))</f>
        <v>0.758921792020153</v>
      </c>
    </row>
    <row r="871" customFormat="false" ht="15" hidden="false" customHeight="false" outlineLevel="0" collapsed="false">
      <c r="A871" s="8" t="n">
        <v>43588</v>
      </c>
      <c r="B871" s="9" t="n">
        <v>18.1605771072</v>
      </c>
      <c r="C871" s="9" t="n">
        <v>158.309998</v>
      </c>
      <c r="D871" s="9" t="n">
        <v>160.639999</v>
      </c>
      <c r="E871" s="9" t="n">
        <v>158.190002</v>
      </c>
      <c r="F871" s="9" t="n">
        <v>160.529999</v>
      </c>
      <c r="G871" s="9" t="n">
        <v>157.079437</v>
      </c>
      <c r="H871" s="9" t="n">
        <v>157.079437</v>
      </c>
      <c r="I871" s="2" t="str">
        <f aca="false">IF(COUNT(C871:F871)&lt;4,"",IF(OR(D871&lt;MAX(C871,F871)-0.000001,E871&gt;MIN(C871,F871)+0.000001),"FAIL","OK"))</f>
        <v>OK</v>
      </c>
      <c r="J871" s="10" t="n">
        <f aca="false">IF(COUNT(F871,G871)&lt;2,"",G871/F871)</f>
        <v>0.978505188927336</v>
      </c>
      <c r="K871" s="10" t="n">
        <f aca="false">H871/H870-1</f>
        <v>0.0191086608067492</v>
      </c>
      <c r="L871" s="10" t="n">
        <f aca="false">H876/H871-1</f>
        <v>-0.0243568354526252</v>
      </c>
      <c r="M871" s="10" t="n">
        <f aca="false">IF(COUNT(B812:B871)&lt;60,"",(B871-AVERAGE(B812:B871))/STDEV(B812:B871))</f>
        <v>-1.63413915764753</v>
      </c>
      <c r="N871" s="10" t="n">
        <f aca="false">(H871-AVERAGE(H812:H871))/STDEV(H812:H871)</f>
        <v>2.0725828783882</v>
      </c>
      <c r="O871" s="10" t="n">
        <f aca="false">IF(COUNT(B871)=0,"",B871-('Signal Analysis'!$C$6+'Signal Analysis'!$C$5*H871))</f>
        <v>-1.52895048097719</v>
      </c>
    </row>
    <row r="872" customFormat="false" ht="15" hidden="false" customHeight="false" outlineLevel="0" collapsed="false">
      <c r="A872" s="8" t="n">
        <v>43591</v>
      </c>
      <c r="B872" s="9" t="n">
        <v>18.0287622</v>
      </c>
      <c r="C872" s="9" t="n">
        <v>158.179993</v>
      </c>
      <c r="D872" s="9" t="n">
        <v>161.110001</v>
      </c>
      <c r="E872" s="9" t="n">
        <v>158.009995</v>
      </c>
      <c r="F872" s="9" t="n">
        <v>160.710007</v>
      </c>
      <c r="G872" s="9" t="n">
        <v>157.2556</v>
      </c>
      <c r="H872" s="9" t="n">
        <v>157.2556</v>
      </c>
      <c r="I872" s="2" t="str">
        <f aca="false">IF(COUNT(C872:F872)&lt;4,"",IF(OR(D872&lt;MAX(C872,F872)-0.000001,E872&gt;MIN(C872,F872)+0.000001),"FAIL","OK"))</f>
        <v>OK</v>
      </c>
      <c r="J872" s="10" t="n">
        <f aca="false">IF(COUNT(F872,G872)&lt;2,"",G872/F872)</f>
        <v>0.978505339745272</v>
      </c>
      <c r="K872" s="10" t="n">
        <f aca="false">H872/H871-1</f>
        <v>0.00112148988667427</v>
      </c>
      <c r="L872" s="10" t="n">
        <f aca="false">H877/H872-1</f>
        <v>-0.056499558680263</v>
      </c>
      <c r="M872" s="10" t="n">
        <f aca="false">IF(COUNT(B813:B872)&lt;60,"",(B872-AVERAGE(B813:B872))/STDEV(B813:B872))</f>
        <v>-1.75681984519938</v>
      </c>
      <c r="N872" s="10" t="n">
        <f aca="false">(H872-AVERAGE(H813:H872))/STDEV(H813:H872)</f>
        <v>2.08281977038075</v>
      </c>
      <c r="O872" s="10" t="n">
        <f aca="false">IF(COUNT(B872)=0,"",B872-('Signal Analysis'!$C$6+'Signal Analysis'!$C$5*H872))</f>
        <v>-1.68486315262228</v>
      </c>
    </row>
    <row r="873" customFormat="false" ht="15" hidden="false" customHeight="false" outlineLevel="0" collapsed="false">
      <c r="A873" s="8" t="n">
        <v>43592</v>
      </c>
      <c r="B873" s="9" t="n">
        <v>19.1727215496</v>
      </c>
      <c r="C873" s="9" t="n">
        <v>159.309998</v>
      </c>
      <c r="D873" s="9" t="n">
        <v>159.869995</v>
      </c>
      <c r="E873" s="9" t="n">
        <v>156.25</v>
      </c>
      <c r="F873" s="9" t="n">
        <v>157.529999</v>
      </c>
      <c r="G873" s="9" t="n">
        <v>154.143936</v>
      </c>
      <c r="H873" s="9" t="n">
        <v>154.143936</v>
      </c>
      <c r="I873" s="2" t="str">
        <f aca="false">IF(COUNT(C873:F873)&lt;4,"",IF(OR(D873&lt;MAX(C873,F873)-0.000001,E873&gt;MIN(C873,F873)+0.000001),"FAIL","OK"))</f>
        <v>OK</v>
      </c>
      <c r="J873" s="10" t="n">
        <f aca="false">IF(COUNT(F873,G873)&lt;2,"",G873/F873)</f>
        <v>0.978505281397228</v>
      </c>
      <c r="K873" s="10" t="n">
        <f aca="false">H873/H872-1</f>
        <v>-0.0197873016922767</v>
      </c>
      <c r="L873" s="10" t="n">
        <f aca="false">H878/H873-1</f>
        <v>-0.0253286058557632</v>
      </c>
      <c r="M873" s="10" t="n">
        <f aca="false">IF(COUNT(B814:B873)&lt;60,"",(B873-AVERAGE(B814:B873))/STDEV(B814:B873))</f>
        <v>-0.0348056130514416</v>
      </c>
      <c r="N873" s="10" t="n">
        <f aca="false">(H873-AVERAGE(H814:H873))/STDEV(H814:H873)</f>
        <v>0.832150310947166</v>
      </c>
      <c r="O873" s="10" t="n">
        <f aca="false">IF(COUNT(B873)=0,"",B873-('Signal Analysis'!$C$6+'Signal Analysis'!$C$5*H873))</f>
        <v>-0.11525173020183</v>
      </c>
    </row>
    <row r="874" customFormat="false" ht="15" hidden="false" customHeight="false" outlineLevel="0" collapsed="false">
      <c r="A874" s="8" t="n">
        <v>43593</v>
      </c>
      <c r="B874" s="9" t="n">
        <v>19.292210304</v>
      </c>
      <c r="C874" s="9" t="n">
        <v>157.259995</v>
      </c>
      <c r="D874" s="9" t="n">
        <v>158.089996</v>
      </c>
      <c r="E874" s="9" t="n">
        <v>156.649994</v>
      </c>
      <c r="F874" s="9" t="n">
        <v>156.759995</v>
      </c>
      <c r="G874" s="9" t="n">
        <v>153.390472</v>
      </c>
      <c r="H874" s="9" t="n">
        <v>153.390472</v>
      </c>
      <c r="I874" s="2" t="str">
        <f aca="false">IF(COUNT(C874:F874)&lt;4,"",IF(OR(D874&lt;MAX(C874,F874)-0.000001,E874&gt;MIN(C874,F874)+0.000001),"FAIL","OK"))</f>
        <v>OK</v>
      </c>
      <c r="J874" s="10" t="n">
        <f aca="false">IF(COUNT(F874,G874)&lt;2,"",G874/F874)</f>
        <v>0.978505211103126</v>
      </c>
      <c r="K874" s="10" t="n">
        <f aca="false">H874/H873-1</f>
        <v>-0.00488805475941656</v>
      </c>
      <c r="L874" s="10" t="n">
        <f aca="false">H879/H874-1</f>
        <v>-0.017351331965391</v>
      </c>
      <c r="M874" s="10" t="n">
        <f aca="false">IF(COUNT(B815:B874)&lt;60,"",(B874-AVERAGE(B815:B874))/STDEV(B815:B874))</f>
        <v>0.128724581778554</v>
      </c>
      <c r="N874" s="10" t="n">
        <f aca="false">(H874-AVERAGE(H815:H874))/STDEV(H815:H874)</f>
        <v>0.495732211698077</v>
      </c>
      <c r="O874" s="10" t="n">
        <f aca="false">IF(COUNT(B874)=0,"",B874-('Signal Analysis'!$C$6+'Signal Analysis'!$C$5*H874))</f>
        <v>0.107305193960585</v>
      </c>
    </row>
    <row r="875" customFormat="false" ht="15" hidden="false" customHeight="false" outlineLevel="0" collapsed="false">
      <c r="A875" s="8" t="n">
        <v>43594</v>
      </c>
      <c r="B875" s="9" t="n">
        <v>18.6644306784</v>
      </c>
      <c r="C875" s="9" t="n">
        <v>155.520004</v>
      </c>
      <c r="D875" s="9" t="n">
        <v>156.649994</v>
      </c>
      <c r="E875" s="9" t="n">
        <v>153.740005</v>
      </c>
      <c r="F875" s="9" t="n">
        <v>156.190002</v>
      </c>
      <c r="G875" s="9" t="n">
        <v>152.832733</v>
      </c>
      <c r="H875" s="9" t="n">
        <v>152.832733</v>
      </c>
      <c r="I875" s="2" t="str">
        <f aca="false">IF(COUNT(C875:F875)&lt;4,"",IF(OR(D875&lt;MAX(C875,F875)-0.000001,E875&gt;MIN(C875,F875)+0.000001),"FAIL","OK"))</f>
        <v>OK</v>
      </c>
      <c r="J875" s="10" t="n">
        <f aca="false">IF(COUNT(F875,G875)&lt;2,"",G875/F875)</f>
        <v>0.978505224681411</v>
      </c>
      <c r="K875" s="10" t="n">
        <f aca="false">H875/H874-1</f>
        <v>-0.0036360733018671</v>
      </c>
      <c r="L875" s="10" t="n">
        <f aca="false">H880/H875-1</f>
        <v>-0.0076188718028094</v>
      </c>
      <c r="M875" s="10" t="n">
        <f aca="false">IF(COUNT(B816:B875)&lt;60,"",(B875-AVERAGE(B816:B875))/STDEV(B816:B875))</f>
        <v>-0.797708227300249</v>
      </c>
      <c r="N875" s="10" t="n">
        <f aca="false">(H875-AVERAGE(H816:H875))/STDEV(H816:H875)</f>
        <v>0.236557699774562</v>
      </c>
      <c r="O875" s="10" t="n">
        <f aca="false">IF(COUNT(B875)=0,"",B875-('Signal Analysis'!$C$6+'Signal Analysis'!$C$5*H875))</f>
        <v>-0.444179959793228</v>
      </c>
    </row>
    <row r="876" customFormat="false" ht="15" hidden="false" customHeight="false" outlineLevel="0" collapsed="false">
      <c r="A876" s="8" t="n">
        <v>43595</v>
      </c>
      <c r="B876" s="9" t="n">
        <v>19.604312244</v>
      </c>
      <c r="C876" s="9" t="n">
        <v>155.589996</v>
      </c>
      <c r="D876" s="9" t="n">
        <v>156.830002</v>
      </c>
      <c r="E876" s="9" t="n">
        <v>153.669998</v>
      </c>
      <c r="F876" s="9" t="n">
        <v>156.619995</v>
      </c>
      <c r="G876" s="9" t="n">
        <v>153.253479</v>
      </c>
      <c r="H876" s="9" t="n">
        <v>153.253479</v>
      </c>
      <c r="I876" s="2" t="str">
        <f aca="false">IF(COUNT(C876:F876)&lt;4,"",IF(OR(D876&lt;MAX(C876,F876)-0.000001,E876&gt;MIN(C876,F876)+0.000001),"FAIL","OK"))</f>
        <v>OK</v>
      </c>
      <c r="J876" s="10" t="n">
        <f aca="false">IF(COUNT(F876,G876)&lt;2,"",G876/F876)</f>
        <v>0.978505196606602</v>
      </c>
      <c r="K876" s="10" t="n">
        <f aca="false">H876/H875-1</f>
        <v>0.00275298355097808</v>
      </c>
      <c r="L876" s="10" t="n">
        <f aca="false">H881/H876-1</f>
        <v>-0.0241348256766164</v>
      </c>
      <c r="M876" s="10" t="n">
        <f aca="false">IF(COUNT(B817:B876)&lt;60,"",(B876-AVERAGE(B817:B876))/STDEV(B817:B876))</f>
        <v>0.65348915872798</v>
      </c>
      <c r="N876" s="10" t="n">
        <f aca="false">(H876-AVERAGE(H817:H876))/STDEV(H817:H876)</f>
        <v>0.396142393284512</v>
      </c>
      <c r="O876" s="10" t="n">
        <f aca="false">IF(COUNT(B876)=0,"",B876-('Signal Analysis'!$C$6+'Signal Analysis'!$C$5*H876))</f>
        <v>0.438146739011735</v>
      </c>
    </row>
    <row r="877" customFormat="false" ht="15" hidden="false" customHeight="false" outlineLevel="0" collapsed="false">
      <c r="A877" s="8" t="n">
        <v>43598</v>
      </c>
      <c r="B877" s="9" t="n">
        <v>18.7841062656</v>
      </c>
      <c r="C877" s="9" t="n">
        <v>153.690002</v>
      </c>
      <c r="D877" s="9" t="n">
        <v>154.020004</v>
      </c>
      <c r="E877" s="9" t="n">
        <v>151.160004</v>
      </c>
      <c r="F877" s="9" t="n">
        <v>151.630005</v>
      </c>
      <c r="G877" s="9" t="n">
        <v>148.370728</v>
      </c>
      <c r="H877" s="9" t="n">
        <v>148.370728</v>
      </c>
      <c r="I877" s="2" t="str">
        <f aca="false">IF(COUNT(C877:F877)&lt;4,"",IF(OR(D877&lt;MAX(C877,F877)-0.000001,E877&gt;MIN(C877,F877)+0.000001),"FAIL","OK"))</f>
        <v>OK</v>
      </c>
      <c r="J877" s="10" t="n">
        <f aca="false">IF(COUNT(F877,G877)&lt;2,"",G877/F877)</f>
        <v>0.978505065669555</v>
      </c>
      <c r="K877" s="10" t="n">
        <f aca="false">H877/H876-1</f>
        <v>-0.0318606209259366</v>
      </c>
      <c r="L877" s="10" t="n">
        <f aca="false">H882/H877-1</f>
        <v>0.000989339352705621</v>
      </c>
      <c r="M877" s="10" t="n">
        <f aca="false">IF(COUNT(B818:B877)&lt;60,"",(B877-AVERAGE(B818:B877))/STDEV(B818:B877))</f>
        <v>-0.587292967244735</v>
      </c>
      <c r="N877" s="10" t="n">
        <f aca="false">(H877-AVERAGE(H818:H877))/STDEV(H818:H877)</f>
        <v>-1.68674625595503</v>
      </c>
      <c r="O877" s="10" t="n">
        <f aca="false">IF(COUNT(B877)=0,"",B877-('Signal Analysis'!$C$6+'Signal Analysis'!$C$5*H877))</f>
        <v>0.28586412387207</v>
      </c>
    </row>
    <row r="878" customFormat="false" ht="15" hidden="false" customHeight="false" outlineLevel="0" collapsed="false">
      <c r="A878" s="8" t="n">
        <v>43599</v>
      </c>
      <c r="B878" s="9" t="n">
        <v>18.805676904</v>
      </c>
      <c r="C878" s="9" t="n">
        <v>151.960007</v>
      </c>
      <c r="D878" s="9" t="n">
        <v>154.169998</v>
      </c>
      <c r="E878" s="9" t="n">
        <v>151.699997</v>
      </c>
      <c r="F878" s="9" t="n">
        <v>153.539993</v>
      </c>
      <c r="G878" s="9" t="n">
        <v>150.239685</v>
      </c>
      <c r="H878" s="9" t="n">
        <v>150.239685</v>
      </c>
      <c r="I878" s="2" t="str">
        <f aca="false">IF(COUNT(C878:F878)&lt;4,"",IF(OR(D878&lt;MAX(C878,F878)-0.000001,E878&gt;MIN(C878,F878)+0.000001),"FAIL","OK"))</f>
        <v>OK</v>
      </c>
      <c r="J878" s="10" t="n">
        <f aca="false">IF(COUNT(F878,G878)&lt;2,"",G878/F878)</f>
        <v>0.978505222414593</v>
      </c>
      <c r="K878" s="10" t="n">
        <f aca="false">H878/H877-1</f>
        <v>0.0125965345401553</v>
      </c>
      <c r="L878" s="10" t="n">
        <f aca="false">H883/H878-1</f>
        <v>0.00182366596415595</v>
      </c>
      <c r="M878" s="10" t="n">
        <f aca="false">IF(COUNT(B819:B878)&lt;60,"",(B878-AVERAGE(B819:B878))/STDEV(B819:B878))</f>
        <v>-0.532183014796122</v>
      </c>
      <c r="N878" s="10" t="n">
        <f aca="false">(H878-AVERAGE(H819:H878))/STDEV(H819:H878)</f>
        <v>-0.865940291408074</v>
      </c>
      <c r="O878" s="10" t="n">
        <f aca="false">IF(COUNT(B878)=0,"",B878-('Signal Analysis'!$C$6+'Signal Analysis'!$C$5*H878))</f>
        <v>0.0517755969308631</v>
      </c>
    </row>
    <row r="879" customFormat="false" ht="15" hidden="false" customHeight="false" outlineLevel="0" collapsed="false">
      <c r="A879" s="8" t="n">
        <v>43600</v>
      </c>
      <c r="B879" s="9" t="n">
        <v>17.8922966256</v>
      </c>
      <c r="C879" s="9" t="n">
        <v>152.399994</v>
      </c>
      <c r="D879" s="9" t="n">
        <v>154.410004</v>
      </c>
      <c r="E879" s="9" t="n">
        <v>152.070007</v>
      </c>
      <c r="F879" s="9" t="n">
        <v>154.039993</v>
      </c>
      <c r="G879" s="9" t="n">
        <v>150.728943</v>
      </c>
      <c r="H879" s="9" t="n">
        <v>150.728943</v>
      </c>
      <c r="I879" s="2" t="str">
        <f aca="false">IF(COUNT(C879:F879)&lt;4,"",IF(OR(D879&lt;MAX(C879,F879)-0.000001,E879&gt;MIN(C879,F879)+0.000001),"FAIL","OK"))</f>
        <v>OK</v>
      </c>
      <c r="J879" s="10" t="n">
        <f aca="false">IF(COUNT(F879,G879)&lt;2,"",G879/F879)</f>
        <v>0.978505257397668</v>
      </c>
      <c r="K879" s="10" t="n">
        <f aca="false">H879/H878-1</f>
        <v>0.00325651641242453</v>
      </c>
      <c r="L879" s="10" t="n">
        <f aca="false">H884/H879-1</f>
        <v>-0.00980262297732681</v>
      </c>
      <c r="M879" s="10" t="n">
        <f aca="false">IF(COUNT(B820:B879)&lt;60,"",(B879-AVERAGE(B820:B879))/STDEV(B820:B879))</f>
        <v>-1.87942298939673</v>
      </c>
      <c r="N879" s="10" t="n">
        <f aca="false">(H879-AVERAGE(H820:H879))/STDEV(H820:H879)</f>
        <v>-0.640901467142681</v>
      </c>
      <c r="O879" s="10" t="n">
        <f aca="false">IF(COUNT(B879)=0,"",B879-('Signal Analysis'!$C$6+'Signal Analysis'!$C$5*H879))</f>
        <v>-0.928531471072375</v>
      </c>
    </row>
    <row r="880" customFormat="false" ht="15" hidden="false" customHeight="false" outlineLevel="0" collapsed="false">
      <c r="A880" s="8" t="n">
        <v>43601</v>
      </c>
      <c r="B880" s="9" t="n">
        <v>17.8829123784</v>
      </c>
      <c r="C880" s="9" t="n">
        <v>154.509995</v>
      </c>
      <c r="D880" s="9" t="n">
        <v>156.179993</v>
      </c>
      <c r="E880" s="9" t="n">
        <v>154.440002</v>
      </c>
      <c r="F880" s="9" t="n">
        <v>155</v>
      </c>
      <c r="G880" s="9" t="n">
        <v>151.66832</v>
      </c>
      <c r="H880" s="9" t="n">
        <v>151.66832</v>
      </c>
      <c r="I880" s="2" t="str">
        <f aca="false">IF(COUNT(C880:F880)&lt;4,"",IF(OR(D880&lt;MAX(C880,F880)-0.000001,E880&gt;MIN(C880,F880)+0.000001),"FAIL","OK"))</f>
        <v>OK</v>
      </c>
      <c r="J880" s="10" t="n">
        <f aca="false">IF(COUNT(F880,G880)&lt;2,"",G880/F880)</f>
        <v>0.978505290322581</v>
      </c>
      <c r="K880" s="10" t="n">
        <f aca="false">H880/H879-1</f>
        <v>0.00623222707798066</v>
      </c>
      <c r="L880" s="10" t="n">
        <f aca="false">H885/H880-1</f>
        <v>-0.0361936230321532</v>
      </c>
      <c r="M880" s="10" t="n">
        <f aca="false">IF(COUNT(B821:B880)&lt;60,"",(B880-AVERAGE(B821:B880))/STDEV(B821:B880))</f>
        <v>-1.80945704000838</v>
      </c>
      <c r="N880" s="10" t="n">
        <f aca="false">(H880-AVERAGE(H821:H880))/STDEV(H821:H880)</f>
        <v>-0.229827585346419</v>
      </c>
      <c r="O880" s="10" t="n">
        <f aca="false">IF(COUNT(B880)=0,"",B880-('Signal Analysis'!$C$6+'Signal Analysis'!$C$5*H880))</f>
        <v>-1.06641537865018</v>
      </c>
    </row>
    <row r="881" customFormat="false" ht="15" hidden="false" customHeight="false" outlineLevel="0" collapsed="false">
      <c r="A881" s="8" t="n">
        <v>43602</v>
      </c>
      <c r="B881" s="9" t="n">
        <v>18.0918990768</v>
      </c>
      <c r="C881" s="9" t="n">
        <v>153.820007</v>
      </c>
      <c r="D881" s="9" t="n">
        <v>155.270004</v>
      </c>
      <c r="E881" s="9" t="n">
        <v>152.660004</v>
      </c>
      <c r="F881" s="9" t="n">
        <v>152.839996</v>
      </c>
      <c r="G881" s="9" t="n">
        <v>149.554733</v>
      </c>
      <c r="H881" s="9" t="n">
        <v>149.554733</v>
      </c>
      <c r="I881" s="2" t="str">
        <f aca="false">IF(COUNT(C881:F881)&lt;4,"",IF(OR(D881&lt;MAX(C881,F881)-0.000001,E881&gt;MIN(C881,F881)+0.000001),"FAIL","OK"))</f>
        <v>OK</v>
      </c>
      <c r="J881" s="10" t="n">
        <f aca="false">IF(COUNT(F881,G881)&lt;2,"",G881/F881)</f>
        <v>0.978505214040963</v>
      </c>
      <c r="K881" s="10" t="n">
        <f aca="false">H881/H880-1</f>
        <v>-0.0139355865483313</v>
      </c>
      <c r="L881" s="10" t="n">
        <f aca="false">H886/H881-1</f>
        <v>-0.0134128219131655</v>
      </c>
      <c r="M881" s="10" t="n">
        <f aca="false">IF(COUNT(B822:B881)&lt;60,"",(B881-AVERAGE(B822:B881))/STDEV(B822:B881))</f>
        <v>-1.44006168924977</v>
      </c>
      <c r="N881" s="10" t="n">
        <f aca="false">(H881-AVERAGE(H822:H881))/STDEV(H822:H881)</f>
        <v>-1.09268905662694</v>
      </c>
      <c r="O881" s="10" t="n">
        <f aca="false">IF(COUNT(B881)=0,"",B881-('Signal Analysis'!$C$6+'Signal Analysis'!$C$5*H881))</f>
        <v>-0.568305983314929</v>
      </c>
    </row>
    <row r="882" customFormat="false" ht="15" hidden="false" customHeight="false" outlineLevel="0" collapsed="false">
      <c r="A882" s="8" t="n">
        <v>43605</v>
      </c>
      <c r="B882" s="9" t="n">
        <v>18.1149000864</v>
      </c>
      <c r="C882" s="9" t="n">
        <v>151.929993</v>
      </c>
      <c r="D882" s="9" t="n">
        <v>152.820007</v>
      </c>
      <c r="E882" s="9" t="n">
        <v>151.410004</v>
      </c>
      <c r="F882" s="9" t="n">
        <v>151.779999</v>
      </c>
      <c r="G882" s="9" t="n">
        <v>148.517517</v>
      </c>
      <c r="H882" s="9" t="n">
        <v>148.517517</v>
      </c>
      <c r="I882" s="2" t="str">
        <f aca="false">IF(COUNT(C882:F882)&lt;4,"",IF(OR(D882&lt;MAX(C882,F882)-0.000001,E882&gt;MIN(C882,F882)+0.000001),"FAIL","OK"))</f>
        <v>OK</v>
      </c>
      <c r="J882" s="10" t="n">
        <f aca="false">IF(COUNT(F882,G882)&lt;2,"",G882/F882)</f>
        <v>0.978505191583247</v>
      </c>
      <c r="K882" s="10" t="n">
        <f aca="false">H882/H881-1</f>
        <v>-0.00693536058133315</v>
      </c>
      <c r="L882" s="10" t="n">
        <f aca="false">H887/H882-1</f>
        <v>-0.0144287963015165</v>
      </c>
      <c r="M882" s="10" t="n">
        <f aca="false">IF(COUNT(B823:B882)&lt;60,"",(B882-AVERAGE(B823:B882))/STDEV(B823:B882))</f>
        <v>-1.38958068049635</v>
      </c>
      <c r="N882" s="10" t="n">
        <f aca="false">(H882-AVERAGE(H823:H882))/STDEV(H823:H882)</f>
        <v>-1.47101438105945</v>
      </c>
      <c r="O882" s="10" t="n">
        <f aca="false">IF(COUNT(B882)=0,"",B882-('Signal Analysis'!$C$6+'Signal Analysis'!$C$5*H882))</f>
        <v>-0.40342167900106</v>
      </c>
    </row>
    <row r="883" customFormat="false" ht="15" hidden="false" customHeight="false" outlineLevel="0" collapsed="false">
      <c r="A883" s="8" t="n">
        <v>43606</v>
      </c>
      <c r="B883" s="9" t="n">
        <v>18.06483432</v>
      </c>
      <c r="C883" s="9" t="n">
        <v>152.630005</v>
      </c>
      <c r="D883" s="9" t="n">
        <v>154.039993</v>
      </c>
      <c r="E883" s="9" t="n">
        <v>152.580002</v>
      </c>
      <c r="F883" s="9" t="n">
        <v>153.820007</v>
      </c>
      <c r="G883" s="9" t="n">
        <v>150.513672</v>
      </c>
      <c r="H883" s="9" t="n">
        <v>150.513672</v>
      </c>
      <c r="I883" s="2" t="str">
        <f aca="false">IF(COUNT(C883:F883)&lt;4,"",IF(OR(D883&lt;MAX(C883,F883)-0.000001,E883&gt;MIN(C883,F883)+0.000001),"FAIL","OK"))</f>
        <v>OK</v>
      </c>
      <c r="J883" s="10" t="n">
        <f aca="false">IF(COUNT(F883,G883)&lt;2,"",G883/F883)</f>
        <v>0.978505169356806</v>
      </c>
      <c r="K883" s="10" t="n">
        <f aca="false">H883/H882-1</f>
        <v>0.0134405357719523</v>
      </c>
      <c r="L883" s="10" t="n">
        <f aca="false">H888/H883-1</f>
        <v>-0.0356261921508367</v>
      </c>
      <c r="M883" s="10" t="n">
        <f aca="false">IF(COUNT(B824:B883)&lt;60,"",(B883-AVERAGE(B824:B883))/STDEV(B824:B883))</f>
        <v>-1.43673143377722</v>
      </c>
      <c r="N883" s="10" t="n">
        <f aca="false">(H883-AVERAGE(H824:H883))/STDEV(H824:H883)</f>
        <v>-0.617079654897657</v>
      </c>
      <c r="O883" s="10" t="n">
        <f aca="false">IF(COUNT(B883)=0,"",B883-('Signal Analysis'!$C$6+'Signal Analysis'!$C$5*H883))</f>
        <v>-0.726546333963871</v>
      </c>
    </row>
    <row r="884" customFormat="false" ht="15" hidden="false" customHeight="false" outlineLevel="0" collapsed="false">
      <c r="A884" s="8" t="n">
        <v>43607</v>
      </c>
      <c r="B884" s="9" t="n">
        <v>18.1545897264</v>
      </c>
      <c r="C884" s="9" t="n">
        <v>153.220001</v>
      </c>
      <c r="D884" s="9" t="n">
        <v>153.589996</v>
      </c>
      <c r="E884" s="9" t="n">
        <v>152</v>
      </c>
      <c r="F884" s="9" t="n">
        <v>152.529999</v>
      </c>
      <c r="G884" s="9" t="n">
        <v>149.251404</v>
      </c>
      <c r="H884" s="9" t="n">
        <v>149.251404</v>
      </c>
      <c r="I884" s="2" t="str">
        <f aca="false">IF(COUNT(C884:F884)&lt;4,"",IF(OR(D884&lt;MAX(C884,F884)-0.000001,E884&gt;MIN(C884,F884)+0.000001),"FAIL","OK"))</f>
        <v>OK</v>
      </c>
      <c r="J884" s="10" t="n">
        <f aca="false">IF(COUNT(F884,G884)&lt;2,"",G884/F884)</f>
        <v>0.97850524472894</v>
      </c>
      <c r="K884" s="10" t="n">
        <f aca="false">H884/H883-1</f>
        <v>-0.00838640093771681</v>
      </c>
      <c r="L884" s="10" t="n">
        <f aca="false">H889/H884-1</f>
        <v>-0.0301580345602647</v>
      </c>
      <c r="M884" s="10" t="n">
        <f aca="false">IF(COUNT(B825:B884)&lt;60,"",(B884-AVERAGE(B825:B884))/STDEV(B825:B884))</f>
        <v>-1.28936343129924</v>
      </c>
      <c r="N884" s="10" t="n">
        <f aca="false">(H884-AVERAGE(H825:H884))/STDEV(H825:H884)</f>
        <v>-1.10730837740826</v>
      </c>
      <c r="O884" s="10" t="n">
        <f aca="false">IF(COUNT(B884)=0,"",B884-('Signal Analysis'!$C$6+'Signal Analysis'!$C$5*H884))</f>
        <v>-0.464122223405926</v>
      </c>
    </row>
    <row r="885" customFormat="false" ht="15" hidden="false" customHeight="false" outlineLevel="0" collapsed="false">
      <c r="A885" s="8" t="n">
        <v>43608</v>
      </c>
      <c r="B885" s="9" t="n">
        <v>18.2180674872</v>
      </c>
      <c r="C885" s="9" t="n">
        <v>151.059998</v>
      </c>
      <c r="D885" s="9" t="n">
        <v>151.059998</v>
      </c>
      <c r="E885" s="9" t="n">
        <v>148.580002</v>
      </c>
      <c r="F885" s="9" t="n">
        <v>149.389999</v>
      </c>
      <c r="G885" s="9" t="n">
        <v>146.178894</v>
      </c>
      <c r="H885" s="9" t="n">
        <v>146.178894</v>
      </c>
      <c r="I885" s="2" t="str">
        <f aca="false">IF(COUNT(C885:F885)&lt;4,"",IF(OR(D885&lt;MAX(C885,F885)-0.000001,E885&gt;MIN(C885,F885)+0.000001),"FAIL","OK"))</f>
        <v>OK</v>
      </c>
      <c r="J885" s="10" t="n">
        <f aca="false">IF(COUNT(F885,G885)&lt;2,"",G885/F885)</f>
        <v>0.978505221089131</v>
      </c>
      <c r="K885" s="10" t="n">
        <f aca="false">H885/H884-1</f>
        <v>-0.0205861380037671</v>
      </c>
      <c r="L885" s="10" t="n">
        <f aca="false">H890/H885-1</f>
        <v>-0.0236294851156831</v>
      </c>
      <c r="M885" s="10" t="n">
        <f aca="false">IF(COUNT(B826:B885)&lt;60,"",(B885-AVERAGE(B826:B885))/STDEV(B826:B885))</f>
        <v>-1.18481361179273</v>
      </c>
      <c r="N885" s="10" t="n">
        <f aca="false">(H885-AVERAGE(H826:H885))/STDEV(H826:H885)</f>
        <v>-2.23604364529422</v>
      </c>
      <c r="O885" s="10" t="n">
        <f aca="false">IF(COUNT(B885)=0,"",B885-('Signal Analysis'!$C$6+'Signal Analysis'!$C$5*H885))</f>
        <v>0.0196516394994255</v>
      </c>
    </row>
    <row r="886" customFormat="false" ht="15" hidden="false" customHeight="false" outlineLevel="0" collapsed="false">
      <c r="A886" s="8" t="n">
        <v>43609</v>
      </c>
      <c r="B886" s="9" t="n">
        <v>17.8082017896</v>
      </c>
      <c r="C886" s="9" t="n">
        <v>150.380005</v>
      </c>
      <c r="D886" s="9" t="n">
        <v>151.089996</v>
      </c>
      <c r="E886" s="9" t="n">
        <v>149.789993</v>
      </c>
      <c r="F886" s="9" t="n">
        <v>150.789993</v>
      </c>
      <c r="G886" s="9" t="n">
        <v>147.548782</v>
      </c>
      <c r="H886" s="9" t="n">
        <v>147.548782</v>
      </c>
      <c r="I886" s="2" t="str">
        <f aca="false">IF(COUNT(C886:F886)&lt;4,"",IF(OR(D886&lt;MAX(C886,F886)-0.000001,E886&gt;MIN(C886,F886)+0.000001),"FAIL","OK"))</f>
        <v>OK</v>
      </c>
      <c r="J886" s="10" t="n">
        <f aca="false">IF(COUNT(F886,G886)&lt;2,"",G886/F886)</f>
        <v>0.978505131968538</v>
      </c>
      <c r="K886" s="10" t="n">
        <f aca="false">H886/H885-1</f>
        <v>0.00937131183931372</v>
      </c>
      <c r="L886" s="10" t="n">
        <f aca="false">H891/H886-1</f>
        <v>-0.0293122107914112</v>
      </c>
      <c r="M886" s="10" t="n">
        <f aca="false">IF(COUNT(B827:B886)&lt;60,"",(B886-AVERAGE(B827:B886))/STDEV(B827:B886))</f>
        <v>-1.756779664125</v>
      </c>
      <c r="N886" s="10" t="n">
        <f aca="false">(H886-AVERAGE(H827:H886))/STDEV(H827:H886)</f>
        <v>-1.62029115617085</v>
      </c>
      <c r="O886" s="10" t="n">
        <f aca="false">IF(COUNT(B886)=0,"",B886-('Signal Analysis'!$C$6+'Signal Analysis'!$C$5*H886))</f>
        <v>-0.577604363330135</v>
      </c>
    </row>
    <row r="887" customFormat="false" ht="15" hidden="false" customHeight="false" outlineLevel="0" collapsed="false">
      <c r="A887" s="8" t="n">
        <v>43613</v>
      </c>
      <c r="B887" s="9" t="n">
        <v>17.6354022</v>
      </c>
      <c r="C887" s="9" t="n">
        <v>151.009995</v>
      </c>
      <c r="D887" s="9" t="n">
        <v>151.649994</v>
      </c>
      <c r="E887" s="9" t="n">
        <v>149.580002</v>
      </c>
      <c r="F887" s="9" t="n">
        <v>149.589996</v>
      </c>
      <c r="G887" s="9" t="n">
        <v>146.374588</v>
      </c>
      <c r="H887" s="9" t="n">
        <v>146.374588</v>
      </c>
      <c r="I887" s="2" t="str">
        <f aca="false">IF(COUNT(C887:F887)&lt;4,"",IF(OR(D887&lt;MAX(C887,F887)-0.000001,E887&gt;MIN(C887,F887)+0.000001),"FAIL","OK"))</f>
        <v>OK</v>
      </c>
      <c r="J887" s="10" t="n">
        <f aca="false">IF(COUNT(F887,G887)&lt;2,"",G887/F887)</f>
        <v>0.978505193622707</v>
      </c>
      <c r="K887" s="10" t="n">
        <f aca="false">H887/H886-1</f>
        <v>-0.00795800537343638</v>
      </c>
      <c r="L887" s="10" t="n">
        <f aca="false">H892/H887-1</f>
        <v>0.00381056580668226</v>
      </c>
      <c r="M887" s="10" t="n">
        <f aca="false">IF(COUNT(B828:B887)&lt;60,"",(B887-AVERAGE(B828:B887))/STDEV(B828:B887))</f>
        <v>-1.95738820950496</v>
      </c>
      <c r="N887" s="10" t="n">
        <f aca="false">(H887-AVERAGE(H828:H887))/STDEV(H828:H887)</f>
        <v>-1.97518842856849</v>
      </c>
      <c r="O887" s="10" t="n">
        <f aca="false">IF(COUNT(B887)=0,"",B887-('Signal Analysis'!$C$6+'Signal Analysis'!$C$5*H887))</f>
        <v>-0.589783105051531</v>
      </c>
    </row>
    <row r="888" customFormat="false" ht="15" hidden="false" customHeight="false" outlineLevel="0" collapsed="false">
      <c r="A888" s="8" t="n">
        <v>43614</v>
      </c>
      <c r="B888" s="9" t="n">
        <v>18.9967800528</v>
      </c>
      <c r="C888" s="9" t="n">
        <v>148.839996</v>
      </c>
      <c r="D888" s="9" t="n">
        <v>148.929993</v>
      </c>
      <c r="E888" s="9" t="n">
        <v>147.360001</v>
      </c>
      <c r="F888" s="9" t="n">
        <v>148.339996</v>
      </c>
      <c r="G888" s="9" t="n">
        <v>145.151443</v>
      </c>
      <c r="H888" s="9" t="n">
        <v>145.151443</v>
      </c>
      <c r="I888" s="2" t="str">
        <f aca="false">IF(COUNT(C888:F888)&lt;4,"",IF(OR(D888&lt;MAX(C888,F888)-0.000001,E888&gt;MIN(C888,F888)+0.000001),"FAIL","OK"))</f>
        <v>OK</v>
      </c>
      <c r="J888" s="10" t="n">
        <f aca="false">IF(COUNT(F888,G888)&lt;2,"",G888/F888)</f>
        <v>0.97850510256182</v>
      </c>
      <c r="K888" s="10" t="n">
        <f aca="false">H888/H887-1</f>
        <v>-0.0083562660480383</v>
      </c>
      <c r="L888" s="10" t="n">
        <f aca="false">H893/H888-1</f>
        <v>0.0124714020238847</v>
      </c>
      <c r="M888" s="10" t="n">
        <f aca="false">IF(COUNT(B829:B888)&lt;60,"",(B888-AVERAGE(B829:B888))/STDEV(B829:B888))</f>
        <v>-0.0483921140315835</v>
      </c>
      <c r="N888" s="10" t="n">
        <f aca="false">(H888-AVERAGE(H829:H888))/STDEV(H829:H888)</f>
        <v>-2.28575355821117</v>
      </c>
      <c r="O888" s="10" t="n">
        <f aca="false">IF(COUNT(B888)=0,"",B888-('Signal Analysis'!$C$6+'Signal Analysis'!$C$5*H888))</f>
        <v>0.938911721756575</v>
      </c>
    </row>
    <row r="889" customFormat="false" ht="15" hidden="false" customHeight="false" outlineLevel="0" collapsed="false">
      <c r="A889" s="8" t="n">
        <v>43615</v>
      </c>
      <c r="B889" s="9" t="n">
        <v>19.1312013024</v>
      </c>
      <c r="C889" s="9" t="n">
        <v>148.75</v>
      </c>
      <c r="D889" s="9" t="n">
        <v>149.580002</v>
      </c>
      <c r="E889" s="9" t="n">
        <v>147.039993</v>
      </c>
      <c r="F889" s="9" t="n">
        <v>147.929993</v>
      </c>
      <c r="G889" s="9" t="n">
        <v>144.750275</v>
      </c>
      <c r="H889" s="9" t="n">
        <v>144.750275</v>
      </c>
      <c r="I889" s="2" t="str">
        <f aca="false">IF(COUNT(C889:F889)&lt;4,"",IF(OR(D889&lt;MAX(C889,F889)-0.000001,E889&gt;MIN(C889,F889)+0.000001),"FAIL","OK"))</f>
        <v>OK</v>
      </c>
      <c r="J889" s="10" t="n">
        <f aca="false">IF(COUNT(F889,G889)&lt;2,"",G889/F889)</f>
        <v>0.978505251467159</v>
      </c>
      <c r="K889" s="10" t="n">
        <f aca="false">H889/H888-1</f>
        <v>-0.00276378926525733</v>
      </c>
      <c r="L889" s="10" t="n">
        <f aca="false">H894/H889-1</f>
        <v>0.0126412056902829</v>
      </c>
      <c r="M889" s="10" t="n">
        <f aca="false">IF(COUNT(B830:B889)&lt;60,"",(B889-AVERAGE(B830:B889))/STDEV(B830:B889))</f>
        <v>0.151409878256542</v>
      </c>
      <c r="N889" s="10" t="n">
        <f aca="false">(H889-AVERAGE(H830:H889))/STDEV(H830:H889)</f>
        <v>-2.27841264906641</v>
      </c>
      <c r="O889" s="10" t="n">
        <f aca="false">IF(COUNT(B889)=0,"",B889-('Signal Analysis'!$C$6+'Signal Analysis'!$C$5*H889))</f>
        <v>1.12820971600164</v>
      </c>
    </row>
    <row r="890" customFormat="false" ht="15" hidden="false" customHeight="false" outlineLevel="0" collapsed="false">
      <c r="A890" s="8" t="n">
        <v>43616</v>
      </c>
      <c r="B890" s="9" t="n">
        <v>19.0658796156</v>
      </c>
      <c r="C890" s="9" t="n">
        <v>146.190002</v>
      </c>
      <c r="D890" s="9" t="n">
        <v>146.839996</v>
      </c>
      <c r="E890" s="9" t="n">
        <v>145.320007</v>
      </c>
      <c r="F890" s="9" t="n">
        <v>145.860001</v>
      </c>
      <c r="G890" s="9" t="n">
        <v>142.724762</v>
      </c>
      <c r="H890" s="9" t="n">
        <v>142.724762</v>
      </c>
      <c r="I890" s="2" t="str">
        <f aca="false">IF(COUNT(C890:F890)&lt;4,"",IF(OR(D890&lt;MAX(C890,F890)-0.000001,E890&gt;MIN(C890,F890)+0.000001),"FAIL","OK"))</f>
        <v>OK</v>
      </c>
      <c r="J890" s="10" t="n">
        <f aca="false">IF(COUNT(F890,G890)&lt;2,"",G890/F890)</f>
        <v>0.978505148920162</v>
      </c>
      <c r="K890" s="10" t="n">
        <f aca="false">H890/H889-1</f>
        <v>-0.0139931547625729</v>
      </c>
      <c r="L890" s="10" t="n">
        <f aca="false">H895/H890-1</f>
        <v>0.0342794896375445</v>
      </c>
      <c r="M890" s="10" t="n">
        <f aca="false">IF(COUNT(B831:B890)&lt;60,"",(B890-AVERAGE(B831:B890))/STDEV(B831:B890))</f>
        <v>0.0409877130111494</v>
      </c>
      <c r="N890" s="10" t="n">
        <f aca="false">(H890-AVERAGE(H831:H890))/STDEV(H831:H890)</f>
        <v>-2.75495625063781</v>
      </c>
      <c r="O890" s="10" t="n">
        <f aca="false">IF(COUNT(B890)=0,"",B890-('Signal Analysis'!$C$6+'Signal Analysis'!$C$5*H890))</f>
        <v>1.33996286985756</v>
      </c>
    </row>
    <row r="891" customFormat="false" ht="15" hidden="false" customHeight="false" outlineLevel="0" collapsed="false">
      <c r="A891" s="8" t="n">
        <v>43619</v>
      </c>
      <c r="B891" s="9" t="n">
        <v>18.654027336</v>
      </c>
      <c r="C891" s="9" t="n">
        <v>146.130005</v>
      </c>
      <c r="D891" s="9" t="n">
        <v>147.210007</v>
      </c>
      <c r="E891" s="9" t="n">
        <v>145.330002</v>
      </c>
      <c r="F891" s="9" t="n">
        <v>146.369995</v>
      </c>
      <c r="G891" s="9" t="n">
        <v>143.223801</v>
      </c>
      <c r="H891" s="9" t="n">
        <v>143.223801</v>
      </c>
      <c r="I891" s="2" t="str">
        <f aca="false">IF(COUNT(C891:F891)&lt;4,"",IF(OR(D891&lt;MAX(C891,F891)-0.000001,E891&gt;MIN(C891,F891)+0.000001),"FAIL","OK"))</f>
        <v>OK</v>
      </c>
      <c r="J891" s="10" t="n">
        <f aca="false">IF(COUNT(F891,G891)&lt;2,"",G891/F891)</f>
        <v>0.978505198418569</v>
      </c>
      <c r="K891" s="10" t="n">
        <f aca="false">H891/H890-1</f>
        <v>0.00349651309980814</v>
      </c>
      <c r="L891" s="10" t="n">
        <f aca="false">H896/H891-1</f>
        <v>0.0367561673635515</v>
      </c>
      <c r="M891" s="10" t="n">
        <f aca="false">IF(COUNT(B832:B891)&lt;60,"",(B891-AVERAGE(B832:B891))/STDEV(B832:B891))</f>
        <v>-0.521510428445489</v>
      </c>
      <c r="N891" s="10" t="n">
        <f aca="false">(H891-AVERAGE(H832:H891))/STDEV(H832:H891)</f>
        <v>-2.45284248070148</v>
      </c>
      <c r="O891" s="10" t="n">
        <f aca="false">IF(COUNT(B891)=0,"",B891-('Signal Analysis'!$C$6+'Signal Analysis'!$C$5*H891))</f>
        <v>0.859845833918747</v>
      </c>
    </row>
    <row r="892" customFormat="false" ht="15" hidden="false" customHeight="false" outlineLevel="0" collapsed="false">
      <c r="A892" s="8" t="n">
        <v>43620</v>
      </c>
      <c r="B892" s="9" t="n">
        <v>19.0307017392</v>
      </c>
      <c r="C892" s="9" t="n">
        <v>147.919998</v>
      </c>
      <c r="D892" s="9" t="n">
        <v>150.289993</v>
      </c>
      <c r="E892" s="9" t="n">
        <v>146.419998</v>
      </c>
      <c r="F892" s="9" t="n">
        <v>150.160004</v>
      </c>
      <c r="G892" s="9" t="n">
        <v>146.932358</v>
      </c>
      <c r="H892" s="9" t="n">
        <v>146.932358</v>
      </c>
      <c r="I892" s="2" t="str">
        <f aca="false">IF(COUNT(C892:F892)&lt;4,"",IF(OR(D892&lt;MAX(C892,F892)-0.000001,E892&gt;MIN(C892,F892)+0.000001),"FAIL","OK"))</f>
        <v>OK</v>
      </c>
      <c r="J892" s="10" t="n">
        <f aca="false">IF(COUNT(F892,G892)&lt;2,"",G892/F892)</f>
        <v>0.978505288265709</v>
      </c>
      <c r="K892" s="10" t="n">
        <f aca="false">H892/H891-1</f>
        <v>0.0258934407138098</v>
      </c>
      <c r="L892" s="10" t="n">
        <f aca="false">H897/H892-1</f>
        <v>0.00759177906884201</v>
      </c>
      <c r="M892" s="10" t="n">
        <f aca="false">IF(COUNT(B833:B892)&lt;60,"",(B892-AVERAGE(B833:B892))/STDEV(B833:B892))</f>
        <v>0.0379652204613079</v>
      </c>
      <c r="N892" s="10" t="n">
        <f aca="false">(H892-AVERAGE(H833:H892))/STDEV(H833:H892)</f>
        <v>-1.28838484697052</v>
      </c>
      <c r="O892" s="10" t="n">
        <f aca="false">IF(COUNT(B892)=0,"",B892-('Signal Analysis'!$C$6+'Signal Analysis'!$C$5*H892))</f>
        <v>0.729217721737019</v>
      </c>
    </row>
    <row r="893" customFormat="false" ht="15" hidden="false" customHeight="false" outlineLevel="0" collapsed="false">
      <c r="A893" s="8" t="n">
        <v>43621</v>
      </c>
      <c r="B893" s="9" t="n">
        <v>19.4114641536</v>
      </c>
      <c r="C893" s="9" t="n">
        <v>150.759995</v>
      </c>
      <c r="D893" s="9" t="n">
        <v>150.889999</v>
      </c>
      <c r="E893" s="9" t="n">
        <v>148.610001</v>
      </c>
      <c r="F893" s="9" t="n">
        <v>150.190002</v>
      </c>
      <c r="G893" s="9" t="n">
        <v>146.961685</v>
      </c>
      <c r="H893" s="9" t="n">
        <v>146.961685</v>
      </c>
      <c r="I893" s="2" t="str">
        <f aca="false">IF(COUNT(C893:F893)&lt;4,"",IF(OR(D893&lt;MAX(C893,F893)-0.000001,E893&gt;MIN(C893,F893)+0.000001),"FAIL","OK"))</f>
        <v>OK</v>
      </c>
      <c r="J893" s="10" t="n">
        <f aca="false">IF(COUNT(F893,G893)&lt;2,"",G893/F893)</f>
        <v>0.978505113809107</v>
      </c>
      <c r="K893" s="10" t="n">
        <f aca="false">H893/H892-1</f>
        <v>0.000199595245044648</v>
      </c>
      <c r="L893" s="10" t="n">
        <f aca="false">H898/H893-1</f>
        <v>0.00852264996825536</v>
      </c>
      <c r="M893" s="10" t="n">
        <f aca="false">IF(COUNT(B834:B893)&lt;60,"",(B893-AVERAGE(B834:B893))/STDEV(B834:B893))</f>
        <v>0.568955675139229</v>
      </c>
      <c r="N893" s="10" t="n">
        <f aca="false">(H893-AVERAGE(H834:H893))/STDEV(H834:H893)</f>
        <v>-1.24414427798247</v>
      </c>
      <c r="O893" s="10" t="n">
        <f aca="false">IF(COUNT(B893)=0,"",B893-('Signal Analysis'!$C$6+'Signal Analysis'!$C$5*H893))</f>
        <v>1.10596842460917</v>
      </c>
    </row>
    <row r="894" customFormat="false" ht="15" hidden="false" customHeight="false" outlineLevel="0" collapsed="false">
      <c r="A894" s="8" t="n">
        <v>43622</v>
      </c>
      <c r="B894" s="9" t="n">
        <v>18.1725526008</v>
      </c>
      <c r="C894" s="9" t="n">
        <v>150.119995</v>
      </c>
      <c r="D894" s="9" t="n">
        <v>150.520004</v>
      </c>
      <c r="E894" s="9" t="n">
        <v>148.309998</v>
      </c>
      <c r="F894" s="9" t="n">
        <v>149.800003</v>
      </c>
      <c r="G894" s="9" t="n">
        <v>146.580093</v>
      </c>
      <c r="H894" s="9" t="n">
        <v>146.580093</v>
      </c>
      <c r="I894" s="2" t="str">
        <f aca="false">IF(COUNT(C894:F894)&lt;4,"",IF(OR(D894&lt;MAX(C894,F894)-0.000001,E894&gt;MIN(C894,F894)+0.000001),"FAIL","OK"))</f>
        <v>OK</v>
      </c>
      <c r="J894" s="10" t="n">
        <f aca="false">IF(COUNT(F894,G894)&lt;2,"",G894/F894)</f>
        <v>0.978505274128733</v>
      </c>
      <c r="K894" s="10" t="n">
        <f aca="false">H894/H893-1</f>
        <v>-0.0025965407242029</v>
      </c>
      <c r="L894" s="10" t="n">
        <f aca="false">H899/H894-1</f>
        <v>0.0218291784000983</v>
      </c>
      <c r="M894" s="10" t="n">
        <f aca="false">IF(COUNT(B835:B894)&lt;60,"",(B894-AVERAGE(B835:B894))/STDEV(B835:B894))</f>
        <v>-1.18975040837521</v>
      </c>
      <c r="N894" s="10" t="n">
        <f aca="false">(H894-AVERAGE(H835:H894))/STDEV(H835:H894)</f>
        <v>-1.31954454855397</v>
      </c>
      <c r="O894" s="10" t="n">
        <f aca="false">IF(COUNT(B894)=0,"",B894-('Signal Analysis'!$C$6+'Signal Analysis'!$C$5*H894))</f>
        <v>-0.0807442321108951</v>
      </c>
    </row>
    <row r="895" customFormat="false" ht="15" hidden="false" customHeight="false" outlineLevel="0" collapsed="false">
      <c r="A895" s="8" t="n">
        <v>43623</v>
      </c>
      <c r="B895" s="9" t="n">
        <v>18.4773060012</v>
      </c>
      <c r="C895" s="9" t="n">
        <v>150.350006</v>
      </c>
      <c r="D895" s="9" t="n">
        <v>151.509995</v>
      </c>
      <c r="E895" s="9" t="n">
        <v>150.020004</v>
      </c>
      <c r="F895" s="9" t="n">
        <v>150.860001</v>
      </c>
      <c r="G895" s="9" t="n">
        <v>147.617294</v>
      </c>
      <c r="H895" s="9" t="n">
        <v>147.617294</v>
      </c>
      <c r="I895" s="2" t="str">
        <f aca="false">IF(COUNT(C895:F895)&lt;4,"",IF(OR(D895&lt;MAX(C895,F895)-0.000001,E895&gt;MIN(C895,F895)+0.000001),"FAIL","OK"))</f>
        <v>OK</v>
      </c>
      <c r="J895" s="10" t="n">
        <f aca="false">IF(COUNT(F895,G895)&lt;2,"",G895/F895)</f>
        <v>0.978505190385091</v>
      </c>
      <c r="K895" s="10" t="n">
        <f aca="false">H895/H894-1</f>
        <v>0.00707600178695467</v>
      </c>
      <c r="L895" s="10" t="n">
        <f aca="false">H900/H895-1</f>
        <v>0.00576675656986381</v>
      </c>
      <c r="M895" s="10" t="n">
        <f aca="false">IF(COUNT(B836:B895)&lt;60,"",(B895-AVERAGE(B836:B895))/STDEV(B836:B895))</f>
        <v>-0.733246424235708</v>
      </c>
      <c r="N895" s="10" t="n">
        <f aca="false">(H895-AVERAGE(H836:H895))/STDEV(H836:H895)</f>
        <v>-0.98227288702606</v>
      </c>
      <c r="O895" s="10" t="n">
        <f aca="false">IF(COUNT(B895)=0,"",B895-('Signal Analysis'!$C$6+'Signal Analysis'!$C$5*H895))</f>
        <v>0.0821279254616556</v>
      </c>
    </row>
    <row r="896" customFormat="false" ht="15" hidden="false" customHeight="false" outlineLevel="0" collapsed="false">
      <c r="A896" s="8" t="n">
        <v>43626</v>
      </c>
      <c r="B896" s="9" t="n">
        <v>19.05508332</v>
      </c>
      <c r="C896" s="9" t="n">
        <v>151.449997</v>
      </c>
      <c r="D896" s="9" t="n">
        <v>153.139999</v>
      </c>
      <c r="E896" s="11" t="n">
        <v>151.449997</v>
      </c>
      <c r="F896" s="9" t="n">
        <v>151.75</v>
      </c>
      <c r="G896" s="9" t="n">
        <v>148.488159</v>
      </c>
      <c r="H896" s="9" t="n">
        <v>148.488159</v>
      </c>
      <c r="I896" s="2" t="str">
        <f aca="false">IF(COUNT(C896:F896)&lt;4,"",IF(OR(D896&lt;MAX(C896,F896)-0.000001,E896&gt;MIN(C896,F896)+0.000001),"FAIL","OK"))</f>
        <v>OK</v>
      </c>
      <c r="J896" s="10" t="n">
        <f aca="false">IF(COUNT(F896,G896)&lt;2,"",G896/F896)</f>
        <v>0.978505166392092</v>
      </c>
      <c r="K896" s="10" t="n">
        <f aca="false">H896/H895-1</f>
        <v>0.00589947814651048</v>
      </c>
      <c r="L896" s="10" t="n">
        <f aca="false">H901/H896-1</f>
        <v>0.00676557650633947</v>
      </c>
      <c r="M896" s="10" t="n">
        <f aca="false">IF(COUNT(B837:B896)&lt;60,"",(B896-AVERAGE(B837:B896))/STDEV(B837:B896))</f>
        <v>0.0783953036730823</v>
      </c>
      <c r="N896" s="10" t="n">
        <f aca="false">(H896-AVERAGE(H837:H896))/STDEV(H837:H896)</f>
        <v>-0.70970501648362</v>
      </c>
      <c r="O896" s="10" t="n">
        <f aca="false">IF(COUNT(B896)=0,"",B896-('Signal Analysis'!$C$6+'Signal Analysis'!$C$5*H896))</f>
        <v>0.540777506692056</v>
      </c>
    </row>
    <row r="897" customFormat="false" ht="15" hidden="false" customHeight="false" outlineLevel="0" collapsed="false">
      <c r="A897" s="8" t="n">
        <v>43627</v>
      </c>
      <c r="B897" s="9" t="n">
        <v>19.12313403</v>
      </c>
      <c r="C897" s="9" t="n">
        <v>152.869995</v>
      </c>
      <c r="D897" s="9" t="n">
        <v>153.229996</v>
      </c>
      <c r="E897" s="9" t="n">
        <v>150.580002</v>
      </c>
      <c r="F897" s="9" t="n">
        <v>151.300003</v>
      </c>
      <c r="G897" s="9" t="n">
        <v>148.047836</v>
      </c>
      <c r="H897" s="9" t="n">
        <v>148.047836</v>
      </c>
      <c r="I897" s="2" t="str">
        <f aca="false">IF(COUNT(C897:F897)&lt;4,"",IF(OR(D897&lt;MAX(C897,F897)-0.000001,E897&gt;MIN(C897,F897)+0.000001),"FAIL","OK"))</f>
        <v>OK</v>
      </c>
      <c r="J897" s="10" t="n">
        <f aca="false">IF(COUNT(F897,G897)&lt;2,"",G897/F897)</f>
        <v>0.978505175574914</v>
      </c>
      <c r="K897" s="10" t="n">
        <f aca="false">H897/H896-1</f>
        <v>-0.00296537449831269</v>
      </c>
      <c r="L897" s="10" t="n">
        <f aca="false">H902/H897-1</f>
        <v>0.0214996995970951</v>
      </c>
      <c r="M897" s="10" t="n">
        <f aca="false">IF(COUNT(B838:B897)&lt;60,"",(B897-AVERAGE(B838:B897))/STDEV(B838:B897))</f>
        <v>0.158845228647583</v>
      </c>
      <c r="N897" s="10" t="n">
        <f aca="false">(H897-AVERAGE(H838:H897))/STDEV(H838:H897)</f>
        <v>-0.82053947749494</v>
      </c>
      <c r="O897" s="10" t="n">
        <f aca="false">IF(COUNT(B897)=0,"",B897-('Signal Analysis'!$C$6+'Signal Analysis'!$C$5*H897))</f>
        <v>0.669061068844638</v>
      </c>
    </row>
    <row r="898" customFormat="false" ht="15" hidden="false" customHeight="false" outlineLevel="0" collapsed="false">
      <c r="A898" s="8" t="n">
        <v>43628</v>
      </c>
      <c r="B898" s="9" t="n">
        <v>19.5794228628</v>
      </c>
      <c r="C898" s="9" t="n">
        <v>151.179993</v>
      </c>
      <c r="D898" s="9" t="n">
        <v>151.779999</v>
      </c>
      <c r="E898" s="9" t="n">
        <v>150.619995</v>
      </c>
      <c r="F898" s="9" t="n">
        <v>151.470001</v>
      </c>
      <c r="G898" s="9" t="n">
        <v>148.214188</v>
      </c>
      <c r="H898" s="9" t="n">
        <v>148.214188</v>
      </c>
      <c r="I898" s="2" t="str">
        <f aca="false">IF(COUNT(C898:F898)&lt;4,"",IF(OR(D898&lt;MAX(C898,F898)-0.000001,E898&gt;MIN(C898,F898)+0.000001),"FAIL","OK"))</f>
        <v>OK</v>
      </c>
      <c r="J898" s="10" t="n">
        <f aca="false">IF(COUNT(F898,G898)&lt;2,"",G898/F898)</f>
        <v>0.978505228900078</v>
      </c>
      <c r="K898" s="10" t="n">
        <f aca="false">H898/H897-1</f>
        <v>0.00112363682235794</v>
      </c>
      <c r="L898" s="10" t="n">
        <f aca="false">H903/H898-1</f>
        <v>0.0239971425677548</v>
      </c>
      <c r="M898" s="10" t="n">
        <f aca="false">IF(COUNT(B839:B898)&lt;60,"",(B898-AVERAGE(B839:B898))/STDEV(B839:B898))</f>
        <v>0.795336890372652</v>
      </c>
      <c r="N898" s="10" t="n">
        <f aca="false">(H898-AVERAGE(H839:H898))/STDEV(H839:H898)</f>
        <v>-0.750123121233806</v>
      </c>
      <c r="O898" s="10" t="n">
        <f aca="false">IF(COUNT(B898)=0,"",B898-('Signal Analysis'!$C$6+'Signal Analysis'!$C$5*H898))</f>
        <v>1.10259420770795</v>
      </c>
    </row>
    <row r="899" customFormat="false" ht="15" hidden="false" customHeight="false" outlineLevel="0" collapsed="false">
      <c r="A899" s="8" t="n">
        <v>43629</v>
      </c>
      <c r="B899" s="9" t="n">
        <v>18.8662538688</v>
      </c>
      <c r="C899" s="9" t="n">
        <v>152.309998</v>
      </c>
      <c r="D899" s="9" t="n">
        <v>153.179993</v>
      </c>
      <c r="E899" s="9" t="n">
        <v>151.869995</v>
      </c>
      <c r="F899" s="9" t="n">
        <v>153.070007</v>
      </c>
      <c r="G899" s="9" t="n">
        <v>149.779816</v>
      </c>
      <c r="H899" s="9" t="n">
        <v>149.779816</v>
      </c>
      <c r="I899" s="2" t="str">
        <f aca="false">IF(COUNT(C899:F899)&lt;4,"",IF(OR(D899&lt;MAX(C899,F899)-0.000001,E899&gt;MIN(C899,F899)+0.000001),"FAIL","OK"))</f>
        <v>OK</v>
      </c>
      <c r="J899" s="10" t="n">
        <f aca="false">IF(COUNT(F899,G899)&lt;2,"",G899/F899)</f>
        <v>0.978505318811412</v>
      </c>
      <c r="K899" s="10" t="n">
        <f aca="false">H899/H898-1</f>
        <v>0.0105632802171409</v>
      </c>
      <c r="L899" s="10" t="n">
        <f aca="false">H904/H899-1</f>
        <v>0.0180792116876416</v>
      </c>
      <c r="M899" s="10" t="n">
        <f aca="false">IF(COUNT(B840:B899)&lt;60,"",(B899-AVERAGE(B840:B899))/STDEV(B840:B899))</f>
        <v>-0.266744189628528</v>
      </c>
      <c r="N899" s="10" t="n">
        <f aca="false">(H899-AVERAGE(H840:H899))/STDEV(H840:H899)</f>
        <v>-0.283924235110641</v>
      </c>
      <c r="O899" s="10" t="n">
        <f aca="false">IF(COUNT(B899)=0,"",B899-('Signal Analysis'!$C$6+'Signal Analysis'!$C$5*H899))</f>
        <v>0.175259158675736</v>
      </c>
    </row>
    <row r="900" customFormat="false" ht="15" hidden="false" customHeight="false" outlineLevel="0" collapsed="false">
      <c r="A900" s="8" t="n">
        <v>43630</v>
      </c>
      <c r="B900" s="9" t="n">
        <v>18.816291648</v>
      </c>
      <c r="C900" s="9" t="n">
        <v>152.880005</v>
      </c>
      <c r="D900" s="9" t="n">
        <v>152.940002</v>
      </c>
      <c r="E900" s="9" t="n">
        <v>151.720001</v>
      </c>
      <c r="F900" s="9" t="n">
        <v>151.729996</v>
      </c>
      <c r="G900" s="9" t="n">
        <v>148.468567</v>
      </c>
      <c r="H900" s="9" t="n">
        <v>148.468567</v>
      </c>
      <c r="I900" s="2" t="str">
        <f aca="false">IF(COUNT(C900:F900)&lt;4,"",IF(OR(D900&lt;MAX(C900,F900)-0.000001,E900&gt;MIN(C900,F900)+0.000001),"FAIL","OK"))</f>
        <v>OK</v>
      </c>
      <c r="J900" s="10" t="n">
        <f aca="false">IF(COUNT(F900,G900)&lt;2,"",G900/F900)</f>
        <v>0.978505047874647</v>
      </c>
      <c r="K900" s="10" t="n">
        <f aca="false">H900/H899-1</f>
        <v>-0.00875451068787536</v>
      </c>
      <c r="L900" s="10" t="n">
        <f aca="false">H905/H900-1</f>
        <v>0.0182081571515405</v>
      </c>
      <c r="M900" s="10" t="n">
        <f aca="false">IF(COUNT(B841:B900)&lt;60,"",(B900-AVERAGE(B841:B900))/STDEV(B841:B900))</f>
        <v>-0.336116836280222</v>
      </c>
      <c r="N900" s="10" t="n">
        <f aca="false">(H900-AVERAGE(H841:H900))/STDEV(H841:H900)</f>
        <v>-0.658633063713534</v>
      </c>
      <c r="O900" s="10" t="n">
        <f aca="false">IF(COUNT(B900)=0,"",B900-('Signal Analysis'!$C$6+'Signal Analysis'!$C$5*H900))</f>
        <v>0.304665871936013</v>
      </c>
    </row>
    <row r="901" customFormat="false" ht="15" hidden="false" customHeight="false" outlineLevel="0" collapsed="false">
      <c r="A901" s="8" t="n">
        <v>43633</v>
      </c>
      <c r="B901" s="9" t="n">
        <v>19.057441296</v>
      </c>
      <c r="C901" s="9" t="n">
        <v>151.869995</v>
      </c>
      <c r="D901" s="9" t="n">
        <v>152.899994</v>
      </c>
      <c r="E901" s="9" t="n">
        <v>151.669998</v>
      </c>
      <c r="F901" s="9" t="n">
        <v>152.240005</v>
      </c>
      <c r="G901" s="9" t="n">
        <v>149.492767</v>
      </c>
      <c r="H901" s="9" t="n">
        <v>149.492767</v>
      </c>
      <c r="I901" s="2" t="str">
        <f aca="false">IF(COUNT(C901:F901)&lt;4,"",IF(OR(D901&lt;MAX(C901,F901)-0.000001,E901&gt;MIN(C901,F901)+0.000001),"FAIL","OK"))</f>
        <v>OK</v>
      </c>
      <c r="J901" s="10" t="n">
        <f aca="false">IF(COUNT(F901,G901)&lt;2,"",G901/F901)</f>
        <v>0.981954559184362</v>
      </c>
      <c r="K901" s="10" t="n">
        <f aca="false">H901/H900-1</f>
        <v>0.00689842988785627</v>
      </c>
      <c r="L901" s="10" t="n">
        <f aca="false">H906/H901-1</f>
        <v>-0.00105101406009822</v>
      </c>
      <c r="M901" s="10" t="n">
        <f aca="false">IF(COUNT(B842:B901)&lt;60,"",(B901-AVERAGE(B842:B901))/STDEV(B842:B901))</f>
        <v>0.0257250613560971</v>
      </c>
      <c r="N901" s="10" t="n">
        <f aca="false">(H901-AVERAGE(H842:H901))/STDEV(H842:H901)</f>
        <v>-0.347666978312154</v>
      </c>
      <c r="O901" s="10" t="n">
        <f aca="false">IF(COUNT(B901)=0,"",B901-('Signal Analysis'!$C$6+'Signal Analysis'!$C$5*H901))</f>
        <v>0.405712715461402</v>
      </c>
    </row>
    <row r="902" customFormat="false" ht="15" hidden="false" customHeight="false" outlineLevel="0" collapsed="false">
      <c r="A902" s="8" t="n">
        <v>43634</v>
      </c>
      <c r="B902" s="9" t="n">
        <v>19.3687025928</v>
      </c>
      <c r="C902" s="9" t="n">
        <v>153.270004</v>
      </c>
      <c r="D902" s="9" t="n">
        <v>155.149994</v>
      </c>
      <c r="E902" s="9" t="n">
        <v>152.259995</v>
      </c>
      <c r="F902" s="9" t="n">
        <v>154.009995</v>
      </c>
      <c r="G902" s="9" t="n">
        <v>151.23082</v>
      </c>
      <c r="H902" s="9" t="n">
        <v>151.23082</v>
      </c>
      <c r="I902" s="2" t="str">
        <f aca="false">IF(COUNT(C902:F902)&lt;4,"",IF(OR(D902&lt;MAX(C902,F902)-0.000001,E902&gt;MIN(C902,F902)+0.000001),"FAIL","OK"))</f>
        <v>OK</v>
      </c>
      <c r="J902" s="10" t="n">
        <f aca="false">IF(COUNT(F902,G902)&lt;2,"",G902/F902)</f>
        <v>0.98195458028552</v>
      </c>
      <c r="K902" s="10" t="n">
        <f aca="false">H902/H901-1</f>
        <v>0.0116263350721175</v>
      </c>
      <c r="L902" s="10" t="n">
        <f aca="false">H907/H902-1</f>
        <v>-0.0185701565329077</v>
      </c>
      <c r="M902" s="10" t="n">
        <f aca="false">IF(COUNT(B843:B902)&lt;60,"",(B902-AVERAGE(B843:B902))/STDEV(B843:B902))</f>
        <v>0.495969187993602</v>
      </c>
      <c r="N902" s="10" t="n">
        <f aca="false">(H902-AVERAGE(H843:H902))/STDEV(H843:H902)</f>
        <v>0.13827902789074</v>
      </c>
      <c r="O902" s="10" t="n">
        <f aca="false">IF(COUNT(B902)=0,"",B902-('Signal Analysis'!$C$6+'Signal Analysis'!$C$5*H902))</f>
        <v>0.479221522878934</v>
      </c>
    </row>
    <row r="903" customFormat="false" ht="15" hidden="false" customHeight="false" outlineLevel="0" collapsed="false">
      <c r="A903" s="8" t="n">
        <v>43635</v>
      </c>
      <c r="B903" s="9" t="n">
        <v>18.6460113492</v>
      </c>
      <c r="C903" s="9" t="n">
        <v>154.190002</v>
      </c>
      <c r="D903" s="9" t="n">
        <v>154.699997</v>
      </c>
      <c r="E903" s="9" t="n">
        <v>153.399994</v>
      </c>
      <c r="F903" s="9" t="n">
        <v>154.559998</v>
      </c>
      <c r="G903" s="9" t="n">
        <v>151.770905</v>
      </c>
      <c r="H903" s="9" t="n">
        <v>151.770905</v>
      </c>
      <c r="I903" s="2" t="str">
        <f aca="false">IF(COUNT(C903:F903)&lt;4,"",IF(OR(D903&lt;MAX(C903,F903)-0.000001,E903&gt;MIN(C903,F903)+0.000001),"FAIL","OK"))</f>
        <v>OK</v>
      </c>
      <c r="J903" s="10" t="n">
        <f aca="false">IF(COUNT(F903,G903)&lt;2,"",G903/F903)</f>
        <v>0.98195462580169</v>
      </c>
      <c r="K903" s="10" t="n">
        <f aca="false">H903/H902-1</f>
        <v>0.00357126278889441</v>
      </c>
      <c r="L903" s="10" t="n">
        <f aca="false">H908/H903-1</f>
        <v>-0.0243270539896958</v>
      </c>
      <c r="M903" s="10" t="n">
        <f aca="false">IF(COUNT(B844:B903)&lt;60,"",(B903-AVERAGE(B844:B903))/STDEV(B844:B903))</f>
        <v>-0.557273633611134</v>
      </c>
      <c r="N903" s="10" t="n">
        <f aca="false">(H903-AVERAGE(H844:H903))/STDEV(H844:H903)</f>
        <v>0.277580756029057</v>
      </c>
      <c r="O903" s="10" t="n">
        <f aca="false">IF(COUNT(B903)=0,"",B903-('Signal Analysis'!$C$6+'Signal Analysis'!$C$5*H903))</f>
        <v>-0.317349259048225</v>
      </c>
    </row>
    <row r="904" customFormat="false" ht="15" hidden="false" customHeight="false" outlineLevel="0" collapsed="false">
      <c r="A904" s="8" t="n">
        <v>43636</v>
      </c>
      <c r="B904" s="9" t="n">
        <v>18.6897381336</v>
      </c>
      <c r="C904" s="9" t="n">
        <v>156.050003</v>
      </c>
      <c r="D904" s="9" t="n">
        <v>156.220001</v>
      </c>
      <c r="E904" s="9" t="n">
        <v>154.440002</v>
      </c>
      <c r="F904" s="9" t="n">
        <v>155.289993</v>
      </c>
      <c r="G904" s="9" t="n">
        <v>152.487717</v>
      </c>
      <c r="H904" s="9" t="n">
        <v>152.487717</v>
      </c>
      <c r="I904" s="2" t="str">
        <f aca="false">IF(COUNT(C904:F904)&lt;4,"",IF(OR(D904&lt;MAX(C904,F904)-0.000001,E904&gt;MIN(C904,F904)+0.000001),"FAIL","OK"))</f>
        <v>OK</v>
      </c>
      <c r="J904" s="10" t="n">
        <f aca="false">IF(COUNT(F904,G904)&lt;2,"",G904/F904)</f>
        <v>0.981954561618146</v>
      </c>
      <c r="K904" s="10" t="n">
        <f aca="false">H904/H903-1</f>
        <v>0.00472298692559026</v>
      </c>
      <c r="L904" s="10" t="n">
        <f aca="false">H909/H904-1</f>
        <v>-0.0106895167169432</v>
      </c>
      <c r="M904" s="10" t="n">
        <f aca="false">IF(COUNT(B845:B904)&lt;60,"",(B904-AVERAGE(B845:B904))/STDEV(B845:B904))</f>
        <v>-0.484254910167641</v>
      </c>
      <c r="N904" s="10" t="n">
        <f aca="false">(H904-AVERAGE(H845:H904))/STDEV(H845:H904)</f>
        <v>0.473404952844213</v>
      </c>
      <c r="O904" s="10" t="n">
        <f aca="false">IF(COUNT(B904)=0,"",B904-('Signal Analysis'!$C$6+'Signal Analysis'!$C$5*H904))</f>
        <v>-0.371676928349707</v>
      </c>
    </row>
    <row r="905" customFormat="false" ht="15" hidden="false" customHeight="false" outlineLevel="0" collapsed="false">
      <c r="A905" s="8" t="n">
        <v>43637</v>
      </c>
      <c r="B905" s="9" t="n">
        <v>19.4976137544</v>
      </c>
      <c r="C905" s="9" t="n">
        <v>155.130005</v>
      </c>
      <c r="D905" s="9" t="n">
        <v>155.169998</v>
      </c>
      <c r="E905" s="9" t="n">
        <v>153.610001</v>
      </c>
      <c r="F905" s="9" t="n">
        <v>153.949997</v>
      </c>
      <c r="G905" s="9" t="n">
        <v>151.171906</v>
      </c>
      <c r="H905" s="9" t="n">
        <v>151.171906</v>
      </c>
      <c r="I905" s="2" t="str">
        <f aca="false">IF(COUNT(C905:F905)&lt;4,"",IF(OR(D905&lt;MAX(C905,F905)-0.000001,E905&gt;MIN(C905,F905)+0.000001),"FAIL","OK"))</f>
        <v>OK</v>
      </c>
      <c r="J905" s="10" t="n">
        <f aca="false">IF(COUNT(F905,G905)&lt;2,"",G905/F905)</f>
        <v>0.981954588800674</v>
      </c>
      <c r="K905" s="10" t="n">
        <f aca="false">H905/H904-1</f>
        <v>-0.00862896386598799</v>
      </c>
      <c r="L905" s="10" t="n">
        <f aca="false">H910/H905-1</f>
        <v>0.010068226565854</v>
      </c>
      <c r="M905" s="10" t="n">
        <f aca="false">IF(COUNT(B846:B905)&lt;60,"",(B905-AVERAGE(B846:B905))/STDEV(B846:B905))</f>
        <v>0.729593669242481</v>
      </c>
      <c r="N905" s="10" t="n">
        <f aca="false">(H905-AVERAGE(H846:H905))/STDEV(H846:H905)</f>
        <v>0.0639494625439489</v>
      </c>
      <c r="O905" s="10" t="n">
        <f aca="false">IF(COUNT(B905)=0,"",B905-('Signal Analysis'!$C$6+'Signal Analysis'!$C$5*H905))</f>
        <v>0.616191673565847</v>
      </c>
    </row>
    <row r="906" customFormat="false" ht="15" hidden="false" customHeight="false" outlineLevel="0" collapsed="false">
      <c r="A906" s="8" t="n">
        <v>43640</v>
      </c>
      <c r="B906" s="9" t="n">
        <v>18.28203</v>
      </c>
      <c r="C906" s="9" t="n">
        <v>154.360001</v>
      </c>
      <c r="D906" s="9" t="n">
        <v>154.410004</v>
      </c>
      <c r="E906" s="9" t="n">
        <v>152</v>
      </c>
      <c r="F906" s="9" t="n">
        <v>152.080002</v>
      </c>
      <c r="G906" s="9" t="n">
        <v>149.335648</v>
      </c>
      <c r="H906" s="9" t="n">
        <v>149.335648</v>
      </c>
      <c r="I906" s="2" t="str">
        <f aca="false">IF(COUNT(C906:F906)&lt;4,"",IF(OR(D906&lt;MAX(C906,F906)-0.000001,E906&gt;MIN(C906,F906)+0.000001),"FAIL","OK"))</f>
        <v>OK</v>
      </c>
      <c r="J906" s="10" t="n">
        <f aca="false">IF(COUNT(F906,G906)&lt;2,"",G906/F906)</f>
        <v>0.98195453732306</v>
      </c>
      <c r="K906" s="10" t="n">
        <f aca="false">H906/H905-1</f>
        <v>-0.0121468204548537</v>
      </c>
      <c r="L906" s="10" t="n">
        <f aca="false">H911/H906-1</f>
        <v>0.026433601439892</v>
      </c>
      <c r="M906" s="10" t="n">
        <f aca="false">IF(COUNT(B847:B906)&lt;60,"",(B906-AVERAGE(B847:B906))/STDEV(B847:B906))</f>
        <v>-1.08465789232087</v>
      </c>
      <c r="N906" s="10" t="n">
        <f aca="false">(H906-AVERAGE(H847:H906))/STDEV(H847:H906)</f>
        <v>-0.489604986950471</v>
      </c>
      <c r="O906" s="10" t="n">
        <f aca="false">IF(COUNT(B906)=0,"",B906-('Signal Analysis'!$C$6+'Signal Analysis'!$C$5*H906))</f>
        <v>-0.34820589108708</v>
      </c>
    </row>
    <row r="907" customFormat="false" ht="15" hidden="false" customHeight="false" outlineLevel="0" collapsed="false">
      <c r="A907" s="8" t="n">
        <v>43641</v>
      </c>
      <c r="B907" s="9" t="n">
        <v>20.0699822148</v>
      </c>
      <c r="C907" s="9" t="n">
        <v>152.309998</v>
      </c>
      <c r="D907" s="9" t="n">
        <v>152.5</v>
      </c>
      <c r="E907" s="9" t="n">
        <v>151</v>
      </c>
      <c r="F907" s="9" t="n">
        <v>151.149994</v>
      </c>
      <c r="G907" s="9" t="n">
        <v>148.42244</v>
      </c>
      <c r="H907" s="9" t="n">
        <v>148.42244</v>
      </c>
      <c r="I907" s="2" t="str">
        <f aca="false">IF(COUNT(C907:F907)&lt;4,"",IF(OR(D907&lt;MAX(C907,F907)-0.000001,E907&gt;MIN(C907,F907)+0.000001),"FAIL","OK"))</f>
        <v>OK</v>
      </c>
      <c r="J907" s="10" t="n">
        <f aca="false">IF(COUNT(F907,G907)&lt;2,"",G907/F907)</f>
        <v>0.981954653600582</v>
      </c>
      <c r="K907" s="10" t="n">
        <f aca="false">H907/H906-1</f>
        <v>-0.00611513735822811</v>
      </c>
      <c r="L907" s="10" t="n">
        <f aca="false">H912/H907-1</f>
        <v>0.0264637207150078</v>
      </c>
      <c r="M907" s="10" t="n">
        <f aca="false">IF(COUNT(B848:B907)&lt;60,"",(B907-AVERAGE(B848:B907))/STDEV(B848:B907))</f>
        <v>1.52307662853633</v>
      </c>
      <c r="N907" s="10" t="n">
        <f aca="false">(H907-AVERAGE(H848:H907))/STDEV(H848:H907)</f>
        <v>-0.755052882606284</v>
      </c>
      <c r="O907" s="10" t="n">
        <f aca="false">IF(COUNT(B907)=0,"",B907-('Signal Analysis'!$C$6+'Signal Analysis'!$C$5*H907))</f>
        <v>1.56466626304963</v>
      </c>
    </row>
    <row r="908" customFormat="false" ht="15" hidden="false" customHeight="false" outlineLevel="0" collapsed="false">
      <c r="A908" s="8" t="n">
        <v>43642</v>
      </c>
      <c r="B908" s="9" t="n">
        <v>20.308549272</v>
      </c>
      <c r="C908" s="9" t="n">
        <v>151.699997</v>
      </c>
      <c r="D908" s="9" t="n">
        <v>152.220001</v>
      </c>
      <c r="E908" s="9" t="n">
        <v>150.759995</v>
      </c>
      <c r="F908" s="9" t="n">
        <v>150.800003</v>
      </c>
      <c r="G908" s="9" t="n">
        <v>148.078766</v>
      </c>
      <c r="H908" s="9" t="n">
        <v>148.078766</v>
      </c>
      <c r="I908" s="2" t="str">
        <f aca="false">IF(COUNT(C908:F908)&lt;4,"",IF(OR(D908&lt;MAX(C908,F908)-0.000001,E908&gt;MIN(C908,F908)+0.000001),"FAIL","OK"))</f>
        <v>OK</v>
      </c>
      <c r="J908" s="10" t="n">
        <f aca="false">IF(COUNT(F908,G908)&lt;2,"",G908/F908)</f>
        <v>0.981954662162706</v>
      </c>
      <c r="K908" s="10" t="n">
        <f aca="false">H908/H907-1</f>
        <v>-0.00231551239826</v>
      </c>
      <c r="L908" s="10" t="n">
        <f aca="false">H913/H908-1</f>
        <v>0.036206845483842</v>
      </c>
      <c r="M908" s="10" t="n">
        <f aca="false">IF(COUNT(B849:B908)&lt;60,"",(B908-AVERAGE(B849:B908))/STDEV(B849:B908))</f>
        <v>1.79299006284866</v>
      </c>
      <c r="N908" s="10" t="n">
        <f aca="false">(H908-AVERAGE(H849:H908))/STDEV(H849:H908)</f>
        <v>-0.836538024773809</v>
      </c>
      <c r="O908" s="10" t="n">
        <f aca="false">IF(COUNT(B908)=0,"",B908-('Signal Analysis'!$C$6+'Signal Analysis'!$C$5*H908))</f>
        <v>1.85024532105514</v>
      </c>
    </row>
    <row r="909" customFormat="false" ht="15" hidden="false" customHeight="false" outlineLevel="0" collapsed="false">
      <c r="A909" s="8" t="n">
        <v>43643</v>
      </c>
      <c r="B909" s="9" t="n">
        <v>19.201082292</v>
      </c>
      <c r="C909" s="9" t="n">
        <v>151.240005</v>
      </c>
      <c r="D909" s="9" t="n">
        <v>153.770004</v>
      </c>
      <c r="E909" s="9" t="n">
        <v>151.240005</v>
      </c>
      <c r="F909" s="9" t="n">
        <v>153.630005</v>
      </c>
      <c r="G909" s="9" t="n">
        <v>150.857697</v>
      </c>
      <c r="H909" s="9" t="n">
        <v>150.857697</v>
      </c>
      <c r="I909" s="2" t="str">
        <f aca="false">IF(COUNT(C909:F909)&lt;4,"",IF(OR(D909&lt;MAX(C909,F909)-0.000001,E909&gt;MIN(C909,F909)+0.000001),"FAIL","OK"))</f>
        <v>OK</v>
      </c>
      <c r="J909" s="10" t="n">
        <f aca="false">IF(COUNT(F909,G909)&lt;2,"",G909/F909)</f>
        <v>0.981954644862506</v>
      </c>
      <c r="K909" s="10" t="n">
        <f aca="false">H909/H908-1</f>
        <v>0.0187665731898388</v>
      </c>
      <c r="L909" s="10" t="n">
        <f aca="false">H914/H909-1</f>
        <v>0.0198528087035559</v>
      </c>
      <c r="M909" s="10" t="n">
        <f aca="false">IF(COUNT(B850:B909)&lt;60,"",(B909-AVERAGE(B850:B909))/STDEV(B850:B909))</f>
        <v>0.24017676854399</v>
      </c>
      <c r="N909" s="10" t="n">
        <f aca="false">(H909-AVERAGE(H850:H909))/STDEV(H850:H909)</f>
        <v>-0.00599683967871517</v>
      </c>
      <c r="O909" s="10" t="n">
        <f aca="false">IF(COUNT(B909)=0,"",B909-('Signal Analysis'!$C$6+'Signal Analysis'!$C$5*H909))</f>
        <v>0.362641623088482</v>
      </c>
    </row>
    <row r="910" customFormat="false" ht="15" hidden="false" customHeight="false" outlineLevel="0" collapsed="false">
      <c r="A910" s="8" t="n">
        <v>43644</v>
      </c>
      <c r="B910" s="9" t="n">
        <v>18.4946029608</v>
      </c>
      <c r="C910" s="9" t="n">
        <v>153.949997</v>
      </c>
      <c r="D910" s="9" t="n">
        <v>156.020004</v>
      </c>
      <c r="E910" s="9" t="n">
        <v>153.940002</v>
      </c>
      <c r="F910" s="9" t="n">
        <v>155.5</v>
      </c>
      <c r="G910" s="9" t="n">
        <v>152.693939</v>
      </c>
      <c r="H910" s="9" t="n">
        <v>152.693939</v>
      </c>
      <c r="I910" s="2" t="str">
        <f aca="false">IF(COUNT(C910:F910)&lt;4,"",IF(OR(D910&lt;MAX(C910,F910)-0.000001,E910&gt;MIN(C910,F910)+0.000001),"FAIL","OK"))</f>
        <v>OK</v>
      </c>
      <c r="J910" s="10" t="n">
        <f aca="false">IF(COUNT(F910,G910)&lt;2,"",G910/F910)</f>
        <v>0.981954591639871</v>
      </c>
      <c r="K910" s="10" t="n">
        <f aca="false">H910/H909-1</f>
        <v>0.0121720140007175</v>
      </c>
      <c r="L910" s="10" t="n">
        <f aca="false">H915/H910-1</f>
        <v>-0.00199351069199938</v>
      </c>
      <c r="M910" s="10" t="n">
        <f aca="false">IF(COUNT(B851:B910)&lt;60,"",(B910-AVERAGE(B851:B910))/STDEV(B851:B910))</f>
        <v>-0.761083616494497</v>
      </c>
      <c r="N910" s="10" t="n">
        <f aca="false">(H910-AVERAGE(H851:H910))/STDEV(H851:H910)</f>
        <v>0.536914657628671</v>
      </c>
      <c r="O910" s="10" t="n">
        <f aca="false">IF(COUNT(B910)=0,"",B910-('Signal Analysis'!$C$6+'Signal Analysis'!$C$5*H910))</f>
        <v>-0.59502170917974</v>
      </c>
    </row>
    <row r="911" customFormat="false" ht="15" hidden="false" customHeight="false" outlineLevel="0" collapsed="false">
      <c r="A911" s="8" t="n">
        <v>43647</v>
      </c>
      <c r="B911" s="9" t="n">
        <v>19.077036576</v>
      </c>
      <c r="C911" s="9" t="n">
        <v>157.539993</v>
      </c>
      <c r="D911" s="9" t="n">
        <v>158.029999</v>
      </c>
      <c r="E911" s="9" t="n">
        <v>155.220001</v>
      </c>
      <c r="F911" s="9" t="n">
        <v>156.100006</v>
      </c>
      <c r="G911" s="9" t="n">
        <v>153.283127</v>
      </c>
      <c r="H911" s="9" t="n">
        <v>153.283127</v>
      </c>
      <c r="I911" s="2" t="str">
        <f aca="false">IF(COUNT(C911:F911)&lt;4,"",IF(OR(D911&lt;MAX(C911,F911)-0.000001,E911&gt;MIN(C911,F911)+0.000001),"FAIL","OK"))</f>
        <v>OK</v>
      </c>
      <c r="J911" s="10" t="n">
        <f aca="false">IF(COUNT(F911,G911)&lt;2,"",G911/F911)</f>
        <v>0.981954651558438</v>
      </c>
      <c r="K911" s="10" t="n">
        <f aca="false">H911/H910-1</f>
        <v>0.00385862074067012</v>
      </c>
      <c r="L911" s="10" t="n">
        <f aca="false">H916/H911-1</f>
        <v>-0.00448446618654907</v>
      </c>
      <c r="M911" s="10" t="n">
        <f aca="false">IF(COUNT(B852:B911)&lt;60,"",(B911-AVERAGE(B852:B911))/STDEV(B852:B911))</f>
        <v>0.11448652306931</v>
      </c>
      <c r="N911" s="10" t="n">
        <f aca="false">(H911-AVERAGE(H852:H911))/STDEV(H852:H911)</f>
        <v>0.707407907726835</v>
      </c>
      <c r="O911" s="10" t="n">
        <f aca="false">IF(COUNT(B911)=0,"",B911-('Signal Analysis'!$C$6+'Signal Analysis'!$C$5*H911))</f>
        <v>-0.0931845508854146</v>
      </c>
    </row>
    <row r="912" customFormat="false" ht="15" hidden="false" customHeight="false" outlineLevel="0" collapsed="false">
      <c r="A912" s="8" t="n">
        <v>43648</v>
      </c>
      <c r="B912" s="9" t="n">
        <v>18.9839013312</v>
      </c>
      <c r="C912" s="9" t="n">
        <v>156.020004</v>
      </c>
      <c r="D912" s="9" t="n">
        <v>156.119995</v>
      </c>
      <c r="E912" s="9" t="n">
        <v>154.259995</v>
      </c>
      <c r="F912" s="9" t="n">
        <v>155.149994</v>
      </c>
      <c r="G912" s="9" t="n">
        <v>152.35025</v>
      </c>
      <c r="H912" s="9" t="n">
        <v>152.35025</v>
      </c>
      <c r="I912" s="2" t="str">
        <f aca="false">IF(COUNT(C912:F912)&lt;4,"",IF(OR(D912&lt;MAX(C912,F912)-0.000001,E912&gt;MIN(C912,F912)+0.000001),"FAIL","OK"))</f>
        <v>OK</v>
      </c>
      <c r="J912" s="10" t="n">
        <f aca="false">IF(COUNT(F912,G912)&lt;2,"",G912/F912)</f>
        <v>0.981954598077522</v>
      </c>
      <c r="K912" s="10" t="n">
        <f aca="false">H912/H911-1</f>
        <v>-0.0060859731808578</v>
      </c>
      <c r="L912" s="10" t="n">
        <f aca="false">H917/H912-1</f>
        <v>0.00335161904886938</v>
      </c>
      <c r="M912" s="10" t="n">
        <f aca="false">IF(COUNT(B853:B912)&lt;60,"",(B912-AVERAGE(B853:B912))/STDEV(B853:B912))</f>
        <v>-0.0143450446544404</v>
      </c>
      <c r="N912" s="10" t="n">
        <f aca="false">(H912-AVERAGE(H853:H912))/STDEV(H853:H912)</f>
        <v>0.440658671107713</v>
      </c>
      <c r="O912" s="10" t="n">
        <f aca="false">IF(COUNT(B912)=0,"",B912-('Signal Analysis'!$C$6+'Signal Analysis'!$C$5*H912))</f>
        <v>-0.0587092860878116</v>
      </c>
    </row>
    <row r="913" customFormat="false" ht="15" hidden="false" customHeight="false" outlineLevel="0" collapsed="false">
      <c r="A913" s="8" t="n">
        <v>43649</v>
      </c>
      <c r="B913" s="9" t="n">
        <v>18.9470071368</v>
      </c>
      <c r="C913" s="9" t="n">
        <v>155.600006</v>
      </c>
      <c r="D913" s="9" t="n">
        <v>156.339996</v>
      </c>
      <c r="E913" s="9" t="n">
        <v>155.169998</v>
      </c>
      <c r="F913" s="9" t="n">
        <v>156.259995</v>
      </c>
      <c r="G913" s="9" t="n">
        <v>153.440231</v>
      </c>
      <c r="H913" s="9" t="n">
        <v>153.440231</v>
      </c>
      <c r="I913" s="2" t="str">
        <f aca="false">IF(COUNT(C913:F913)&lt;4,"",IF(OR(D913&lt;MAX(C913,F913)-0.000001,E913&gt;MIN(C913,F913)+0.000001),"FAIL","OK"))</f>
        <v>OK</v>
      </c>
      <c r="J913" s="10" t="n">
        <f aca="false">IF(COUNT(F913,G913)&lt;2,"",G913/F913)</f>
        <v>0.981954664724007</v>
      </c>
      <c r="K913" s="10" t="n">
        <f aca="false">H913/H912-1</f>
        <v>0.00715444182073877</v>
      </c>
      <c r="L913" s="10" t="n">
        <f aca="false">H918/H913-1</f>
        <v>-0.00863943563797165</v>
      </c>
      <c r="M913" s="10" t="n">
        <f aca="false">IF(COUNT(B854:B913)&lt;60,"",(B913-AVERAGE(B854:B913))/STDEV(B854:B913))</f>
        <v>-0.0445776112395882</v>
      </c>
      <c r="N913" s="10" t="n">
        <f aca="false">(H913-AVERAGE(H854:H913))/STDEV(H854:H913)</f>
        <v>0.769085692501654</v>
      </c>
      <c r="O913" s="10" t="n">
        <f aca="false">IF(COUNT(B913)=0,"",B913-('Signal Analysis'!$C$6+'Signal Analysis'!$C$5*H913))</f>
        <v>-0.24470462765052</v>
      </c>
    </row>
    <row r="914" customFormat="false" ht="15" hidden="false" customHeight="false" outlineLevel="0" collapsed="false">
      <c r="A914" s="8" t="n">
        <v>43651</v>
      </c>
      <c r="B914" s="9" t="n">
        <v>19.3964376024</v>
      </c>
      <c r="C914" s="9" t="n">
        <v>155.490005</v>
      </c>
      <c r="D914" s="9" t="n">
        <v>156.740005</v>
      </c>
      <c r="E914" s="9" t="n">
        <v>154.860001</v>
      </c>
      <c r="F914" s="9" t="n">
        <v>156.679993</v>
      </c>
      <c r="G914" s="9" t="n">
        <v>153.852646</v>
      </c>
      <c r="H914" s="9" t="n">
        <v>153.852646</v>
      </c>
      <c r="I914" s="2" t="str">
        <f aca="false">IF(COUNT(C914:F914)&lt;4,"",IF(OR(D914&lt;MAX(C914,F914)-0.000001,E914&gt;MIN(C914,F914)+0.000001),"FAIL","OK"))</f>
        <v>OK</v>
      </c>
      <c r="J914" s="10" t="n">
        <f aca="false">IF(COUNT(F914,G914)&lt;2,"",G914/F914)</f>
        <v>0.981954639224422</v>
      </c>
      <c r="K914" s="10" t="n">
        <f aca="false">H914/H913-1</f>
        <v>0.00268778922784585</v>
      </c>
      <c r="L914" s="10" t="n">
        <f aca="false">H919/H914-1</f>
        <v>-0.00363794848221199</v>
      </c>
      <c r="M914" s="10" t="n">
        <f aca="false">IF(COUNT(B855:B914)&lt;60,"",(B914-AVERAGE(B855:B914))/STDEV(B855:B914))</f>
        <v>0.619850017154532</v>
      </c>
      <c r="N914" s="10" t="n">
        <f aca="false">(H914-AVERAGE(H855:H914))/STDEV(H855:H914)</f>
        <v>0.877440666816796</v>
      </c>
      <c r="O914" s="10" t="n">
        <f aca="false">IF(COUNT(B914)=0,"",B914-('Signal Analysis'!$C$6+'Signal Analysis'!$C$5*H914))</f>
        <v>0.148310588869808</v>
      </c>
    </row>
    <row r="915" customFormat="false" ht="15" hidden="false" customHeight="false" outlineLevel="0" collapsed="false">
      <c r="A915" s="8" t="n">
        <v>43654</v>
      </c>
      <c r="B915" s="9" t="n">
        <v>19.9389746352</v>
      </c>
      <c r="C915" s="9" t="n">
        <v>156.210007</v>
      </c>
      <c r="D915" s="9" t="n">
        <v>156.479996</v>
      </c>
      <c r="E915" s="9" t="n">
        <v>154.889999</v>
      </c>
      <c r="F915" s="9" t="n">
        <v>155.190002</v>
      </c>
      <c r="G915" s="9" t="n">
        <v>152.389542</v>
      </c>
      <c r="H915" s="9" t="n">
        <v>152.389542</v>
      </c>
      <c r="I915" s="2" t="str">
        <f aca="false">IF(COUNT(C915:F915)&lt;4,"",IF(OR(D915&lt;MAX(C915,F915)-0.000001,E915&gt;MIN(C915,F915)+0.000001),"FAIL","OK"))</f>
        <v>OK</v>
      </c>
      <c r="J915" s="10" t="n">
        <f aca="false">IF(COUNT(F915,G915)&lt;2,"",G915/F915)</f>
        <v>0.981954636484894</v>
      </c>
      <c r="K915" s="10" t="n">
        <f aca="false">H915/H914-1</f>
        <v>-0.00950977469701753</v>
      </c>
      <c r="L915" s="10" t="n">
        <f aca="false">H920/H915-1</f>
        <v>0.000644237122256142</v>
      </c>
      <c r="M915" s="10" t="n">
        <f aca="false">IF(COUNT(B856:B915)&lt;60,"",(B915-AVERAGE(B856:B915))/STDEV(B856:B915))</f>
        <v>1.39002874959571</v>
      </c>
      <c r="N915" s="10" t="n">
        <f aca="false">(H915-AVERAGE(H856:H915))/STDEV(H856:H915)</f>
        <v>0.451945922185307</v>
      </c>
      <c r="O915" s="10" t="n">
        <f aca="false">IF(COUNT(B915)=0,"",B915-('Signal Analysis'!$C$6+'Signal Analysis'!$C$5*H915))</f>
        <v>0.890989169842069</v>
      </c>
    </row>
    <row r="916" customFormat="false" ht="15" hidden="false" customHeight="false" outlineLevel="0" collapsed="false">
      <c r="A916" s="8" t="n">
        <v>43655</v>
      </c>
      <c r="B916" s="9" t="n">
        <v>18.7066947468</v>
      </c>
      <c r="C916" s="9" t="n">
        <v>154.539993</v>
      </c>
      <c r="D916" s="9" t="n">
        <v>155.429993</v>
      </c>
      <c r="E916" s="9" t="n">
        <v>154.479996</v>
      </c>
      <c r="F916" s="9" t="n">
        <v>155.399994</v>
      </c>
      <c r="G916" s="9" t="n">
        <v>152.595734</v>
      </c>
      <c r="H916" s="9" t="n">
        <v>152.595734</v>
      </c>
      <c r="I916" s="2" t="str">
        <f aca="false">IF(COUNT(C916:F916)&lt;4,"",IF(OR(D916&lt;MAX(C916,F916)-0.000001,E916&gt;MIN(C916,F916)+0.000001),"FAIL","OK"))</f>
        <v>OK</v>
      </c>
      <c r="J916" s="10" t="n">
        <f aca="false">IF(COUNT(F916,G916)&lt;2,"",G916/F916)</f>
        <v>0.981954568157834</v>
      </c>
      <c r="K916" s="10" t="n">
        <f aca="false">H916/H915-1</f>
        <v>0.00135305872892499</v>
      </c>
      <c r="L916" s="10" t="n">
        <f aca="false">H921/H916-1</f>
        <v>-0.00102945210775018</v>
      </c>
      <c r="M916" s="10" t="n">
        <f aca="false">IF(COUNT(B857:B916)&lt;60,"",(B916-AVERAGE(B857:B916))/STDEV(B857:B916))</f>
        <v>-0.431852831149289</v>
      </c>
      <c r="N916" s="10" t="n">
        <f aca="false">(H916-AVERAGE(H857:H916))/STDEV(H857:H916)</f>
        <v>0.521385313015761</v>
      </c>
      <c r="O916" s="10" t="n">
        <f aca="false">IF(COUNT(B916)=0,"",B916-('Signal Analysis'!$C$6+'Signal Analysis'!$C$5*H916))</f>
        <v>-0.369496222815137</v>
      </c>
    </row>
    <row r="917" customFormat="false" ht="15" hidden="false" customHeight="false" outlineLevel="0" collapsed="false">
      <c r="A917" s="8" t="n">
        <v>43656</v>
      </c>
      <c r="B917" s="9" t="n">
        <v>19.141694838</v>
      </c>
      <c r="C917" s="9" t="n">
        <v>156.199997</v>
      </c>
      <c r="D917" s="9" t="n">
        <v>156.559998</v>
      </c>
      <c r="E917" s="9" t="n">
        <v>154.850006</v>
      </c>
      <c r="F917" s="9" t="n">
        <v>155.669998</v>
      </c>
      <c r="G917" s="9" t="n">
        <v>152.86087</v>
      </c>
      <c r="H917" s="9" t="n">
        <v>152.86087</v>
      </c>
      <c r="I917" s="2" t="str">
        <f aca="false">IF(COUNT(C917:F917)&lt;4,"",IF(OR(D917&lt;MAX(C917,F917)-0.000001,E917&gt;MIN(C917,F917)+0.000001),"FAIL","OK"))</f>
        <v>OK</v>
      </c>
      <c r="J917" s="10" t="n">
        <f aca="false">IF(COUNT(F917,G917)&lt;2,"",G917/F917)</f>
        <v>0.98195459602948</v>
      </c>
      <c r="K917" s="10" t="n">
        <f aca="false">H917/H916-1</f>
        <v>0.00173750597772293</v>
      </c>
      <c r="L917" s="10" t="n">
        <f aca="false">H922/H917-1</f>
        <v>-0.00989270177515034</v>
      </c>
      <c r="M917" s="10" t="n">
        <f aca="false">IF(COUNT(B858:B917)&lt;60,"",(B917-AVERAGE(B858:B917))/STDEV(B858:B917))</f>
        <v>0.216738554097313</v>
      </c>
      <c r="N917" s="10" t="n">
        <f aca="false">(H917-AVERAGE(H858:H917))/STDEV(H858:H917)</f>
        <v>0.611858197462765</v>
      </c>
      <c r="O917" s="10" t="n">
        <f aca="false">IF(COUNT(B917)=0,"",B917-('Signal Analysis'!$C$6+'Signal Analysis'!$C$5*H917))</f>
        <v>0.0292352712679111</v>
      </c>
    </row>
    <row r="918" customFormat="false" ht="15" hidden="false" customHeight="false" outlineLevel="0" collapsed="false">
      <c r="A918" s="8" t="n">
        <v>43657</v>
      </c>
      <c r="B918" s="9" t="n">
        <v>19.7565899928</v>
      </c>
      <c r="C918" s="9" t="n">
        <v>155.889999</v>
      </c>
      <c r="D918" s="9" t="n">
        <v>155.940002</v>
      </c>
      <c r="E918" s="9" t="n">
        <v>154.220001</v>
      </c>
      <c r="F918" s="9" t="n">
        <v>154.910004</v>
      </c>
      <c r="G918" s="9" t="n">
        <v>152.114594</v>
      </c>
      <c r="H918" s="9" t="n">
        <v>152.114594</v>
      </c>
      <c r="I918" s="2" t="str">
        <f aca="false">IF(COUNT(C918:F918)&lt;4,"",IF(OR(D918&lt;MAX(C918,F918)-0.000001,E918&gt;MIN(C918,F918)+0.000001),"FAIL","OK"))</f>
        <v>OK</v>
      </c>
      <c r="J918" s="10" t="n">
        <f aca="false">IF(COUNT(F918,G918)&lt;2,"",G918/F918)</f>
        <v>0.98195461927688</v>
      </c>
      <c r="K918" s="10" t="n">
        <f aca="false">H918/H917-1</f>
        <v>-0.00488206039910666</v>
      </c>
      <c r="L918" s="10" t="n">
        <f aca="false">H923/H918-1</f>
        <v>-0.00129100696281648</v>
      </c>
      <c r="M918" s="10" t="n">
        <f aca="false">IF(COUNT(B859:B918)&lt;60,"",(B918-AVERAGE(B859:B918))/STDEV(B859:B918))</f>
        <v>1.1383428062373</v>
      </c>
      <c r="N918" s="10" t="n">
        <f aca="false">(H918-AVERAGE(H859:H918))/STDEV(H859:H918)</f>
        <v>0.396960770885747</v>
      </c>
      <c r="O918" s="10" t="n">
        <f aca="false">IF(COUNT(B918)=0,"",B918-('Signal Analysis'!$C$6+'Signal Analysis'!$C$5*H918))</f>
        <v>0.746215331859844</v>
      </c>
    </row>
    <row r="919" customFormat="false" ht="15" hidden="false" customHeight="false" outlineLevel="0" collapsed="false">
      <c r="A919" s="8" t="n">
        <v>43658</v>
      </c>
      <c r="B919" s="9" t="n">
        <v>18.4709885256</v>
      </c>
      <c r="C919" s="9" t="n">
        <v>155.139999</v>
      </c>
      <c r="D919" s="9" t="n">
        <v>156.669998</v>
      </c>
      <c r="E919" s="9" t="n">
        <v>154.880005</v>
      </c>
      <c r="F919" s="9" t="n">
        <v>156.110001</v>
      </c>
      <c r="G919" s="9" t="n">
        <v>153.292938</v>
      </c>
      <c r="H919" s="9" t="n">
        <v>153.292938</v>
      </c>
      <c r="I919" s="2" t="str">
        <f aca="false">IF(COUNT(C919:F919)&lt;4,"",IF(OR(D919&lt;MAX(C919,F919)-0.000001,E919&gt;MIN(C919,F919)+0.000001),"FAIL","OK"))</f>
        <v>OK</v>
      </c>
      <c r="J919" s="10" t="n">
        <f aca="false">IF(COUNT(F919,G919)&lt;2,"",G919/F919)</f>
        <v>0.981954628262413</v>
      </c>
      <c r="K919" s="10" t="n">
        <f aca="false">H919/H918-1</f>
        <v>0.00774642306838747</v>
      </c>
      <c r="L919" s="10" t="n">
        <f aca="false">H924/H919-1</f>
        <v>-0.0146691167208237</v>
      </c>
      <c r="M919" s="10" t="n">
        <f aca="false">IF(COUNT(B860:B919)&lt;60,"",(B919-AVERAGE(B860:B919))/STDEV(B860:B919))</f>
        <v>-0.766654694503458</v>
      </c>
      <c r="N919" s="10" t="n">
        <f aca="false">(H919-AVERAGE(H860:H919))/STDEV(H860:H919)</f>
        <v>0.762447306503226</v>
      </c>
      <c r="O919" s="10" t="n">
        <f aca="false">IF(COUNT(B919)=0,"",B919-('Signal Analysis'!$C$6+'Signal Analysis'!$C$5*H919))</f>
        <v>-0.700574671793813</v>
      </c>
    </row>
    <row r="920" customFormat="false" ht="15" hidden="false" customHeight="false" outlineLevel="0" collapsed="false">
      <c r="A920" s="8" t="n">
        <v>43661</v>
      </c>
      <c r="B920" s="9" t="n">
        <v>18.22900632</v>
      </c>
      <c r="C920" s="9" t="n">
        <v>156.559998</v>
      </c>
      <c r="D920" s="9" t="n">
        <v>156.589996</v>
      </c>
      <c r="E920" s="9" t="n">
        <v>154.850006</v>
      </c>
      <c r="F920" s="9" t="n">
        <v>155.289993</v>
      </c>
      <c r="G920" s="9" t="n">
        <v>152.487717</v>
      </c>
      <c r="H920" s="9" t="n">
        <v>152.487717</v>
      </c>
      <c r="I920" s="2" t="str">
        <f aca="false">IF(COUNT(C920:F920)&lt;4,"",IF(OR(D920&lt;MAX(C920,F920)-0.000001,E920&gt;MIN(C920,F920)+0.000001),"FAIL","OK"))</f>
        <v>OK</v>
      </c>
      <c r="J920" s="10" t="n">
        <f aca="false">IF(COUNT(F920,G920)&lt;2,"",G920/F920)</f>
        <v>0.981954561618146</v>
      </c>
      <c r="K920" s="10" t="n">
        <f aca="false">H920/H919-1</f>
        <v>-0.00525282514971426</v>
      </c>
      <c r="L920" s="10" t="n">
        <f aca="false">H925/H920-1</f>
        <v>-0.010367707190475</v>
      </c>
      <c r="M920" s="10" t="n">
        <f aca="false">IF(COUNT(B861:B920)&lt;60,"",(B920-AVERAGE(B861:B920))/STDEV(B861:B920))</f>
        <v>-1.0979852863758</v>
      </c>
      <c r="N920" s="10" t="n">
        <f aca="false">(H920-AVERAGE(H861:H920))/STDEV(H861:H920)</f>
        <v>0.518448217287561</v>
      </c>
      <c r="O920" s="10" t="n">
        <f aca="false">IF(COUNT(B920)=0,"",B920-('Signal Analysis'!$C$6+'Signal Analysis'!$C$5*H920))</f>
        <v>-0.832408741949706</v>
      </c>
    </row>
    <row r="921" customFormat="false" ht="15" hidden="false" customHeight="false" outlineLevel="0" collapsed="false">
      <c r="A921" s="8" t="n">
        <v>43662</v>
      </c>
      <c r="B921" s="9" t="n">
        <v>18.901274832</v>
      </c>
      <c r="C921" s="9" t="n">
        <v>155.130005</v>
      </c>
      <c r="D921" s="9" t="n">
        <v>156.199997</v>
      </c>
      <c r="E921" s="9" t="n">
        <v>154.669998</v>
      </c>
      <c r="F921" s="9" t="n">
        <v>155.240005</v>
      </c>
      <c r="G921" s="9" t="n">
        <v>152.438644</v>
      </c>
      <c r="H921" s="9" t="n">
        <v>152.438644</v>
      </c>
      <c r="I921" s="2" t="str">
        <f aca="false">IF(COUNT(C921:F921)&lt;4,"",IF(OR(D921&lt;MAX(C921,F921)-0.000001,E921&gt;MIN(C921,F921)+0.000001),"FAIL","OK"))</f>
        <v>OK</v>
      </c>
      <c r="J921" s="10" t="n">
        <f aca="false">IF(COUNT(F921,G921)&lt;2,"",G921/F921)</f>
        <v>0.981954645002749</v>
      </c>
      <c r="K921" s="10" t="n">
        <f aca="false">H921/H920-1</f>
        <v>-0.000321816084373539</v>
      </c>
      <c r="L921" s="10" t="n">
        <f aca="false">H926/H921-1</f>
        <v>-0.00347850116011272</v>
      </c>
      <c r="M921" s="10" t="n">
        <f aca="false">IF(COUNT(B862:B921)&lt;60,"",(B921-AVERAGE(B862:B921))/STDEV(B862:B921))</f>
        <v>-0.0762053957246581</v>
      </c>
      <c r="N921" s="10" t="n">
        <f aca="false">(H921-AVERAGE(H862:H921))/STDEV(H862:H921)</f>
        <v>0.502550410409136</v>
      </c>
      <c r="O921" s="10" t="n">
        <f aca="false">IF(COUNT(B921)=0,"",B921-('Signal Analysis'!$C$6+'Signal Analysis'!$C$5*H921))</f>
        <v>-0.153427415144023</v>
      </c>
    </row>
    <row r="922" customFormat="false" ht="15" hidden="false" customHeight="false" outlineLevel="0" collapsed="false">
      <c r="A922" s="8" t="n">
        <v>43663</v>
      </c>
      <c r="B922" s="9" t="n">
        <v>19.9543866684</v>
      </c>
      <c r="C922" s="9" t="n">
        <v>155.240005</v>
      </c>
      <c r="D922" s="9" t="n">
        <v>155.339996</v>
      </c>
      <c r="E922" s="9" t="n">
        <v>153.729996</v>
      </c>
      <c r="F922" s="9" t="n">
        <v>154.130005</v>
      </c>
      <c r="G922" s="9" t="n">
        <v>151.348663</v>
      </c>
      <c r="H922" s="9" t="n">
        <v>151.348663</v>
      </c>
      <c r="I922" s="2" t="str">
        <f aca="false">IF(COUNT(C922:F922)&lt;4,"",IF(OR(D922&lt;MAX(C922,F922)-0.000001,E922&gt;MIN(C922,F922)+0.000001),"FAIL","OK"))</f>
        <v>OK</v>
      </c>
      <c r="J922" s="10" t="n">
        <f aca="false">IF(COUNT(F922,G922)&lt;2,"",G922/F922)</f>
        <v>0.981954571402239</v>
      </c>
      <c r="K922" s="10" t="n">
        <f aca="false">H922/H921-1</f>
        <v>-0.00715029320255578</v>
      </c>
      <c r="L922" s="10" t="n">
        <f aca="false">H927/H922-1</f>
        <v>0.0203075266016721</v>
      </c>
      <c r="M922" s="10" t="n">
        <f aca="false">IF(COUNT(B863:B922)&lt;60,"",(B922-AVERAGE(B863:B922))/STDEV(B863:B922))</f>
        <v>1.48008977520638</v>
      </c>
      <c r="N922" s="10" t="n">
        <f aca="false">(H922-AVERAGE(H863:H922))/STDEV(H863:H922)</f>
        <v>0.172742733013258</v>
      </c>
      <c r="O922" s="10" t="n">
        <f aca="false">IF(COUNT(B922)=0,"",B922-('Signal Analysis'!$C$6+'Signal Analysis'!$C$5*H922))</f>
        <v>1.0487855684187</v>
      </c>
    </row>
    <row r="923" customFormat="false" ht="15" hidden="false" customHeight="false" outlineLevel="0" collapsed="false">
      <c r="A923" s="8" t="n">
        <v>43664</v>
      </c>
      <c r="B923" s="9" t="n">
        <v>18.52359192</v>
      </c>
      <c r="C923" s="9" t="n">
        <v>154.080002</v>
      </c>
      <c r="D923" s="9" t="n">
        <v>155.009995</v>
      </c>
      <c r="E923" s="9" t="n">
        <v>153.729996</v>
      </c>
      <c r="F923" s="9" t="n">
        <v>154.710007</v>
      </c>
      <c r="G923" s="9" t="n">
        <v>151.918213</v>
      </c>
      <c r="H923" s="9" t="n">
        <v>151.918213</v>
      </c>
      <c r="I923" s="2" t="str">
        <f aca="false">IF(COUNT(C923:F923)&lt;4,"",IF(OR(D923&lt;MAX(C923,F923)-0.000001,E923&gt;MIN(C923,F923)+0.000001),"FAIL","OK"))</f>
        <v>OK</v>
      </c>
      <c r="J923" s="10" t="n">
        <f aca="false">IF(COUNT(F923,G923)&lt;2,"",G923/F923)</f>
        <v>0.981954664380566</v>
      </c>
      <c r="K923" s="10" t="n">
        <f aca="false">H923/H922-1</f>
        <v>0.00376316505683327</v>
      </c>
      <c r="L923" s="10" t="n">
        <f aca="false">H928/H923-1</f>
        <v>0.00420133957210256</v>
      </c>
      <c r="M923" s="10" t="n">
        <f aca="false">IF(COUNT(B864:B923)&lt;60,"",(B923-AVERAGE(B864:B923))/STDEV(B864:B923))</f>
        <v>-0.622238977090187</v>
      </c>
      <c r="N923" s="10" t="n">
        <f aca="false">(H923-AVERAGE(H864:H923))/STDEV(H864:H923)</f>
        <v>0.361215672113483</v>
      </c>
      <c r="O923" s="10" t="n">
        <f aca="false">IF(COUNT(B923)=0,"",B923-('Signal Analysis'!$C$6+'Signal Analysis'!$C$5*H923))</f>
        <v>-0.459919307191345</v>
      </c>
    </row>
    <row r="924" customFormat="false" ht="15" hidden="false" customHeight="false" outlineLevel="0" collapsed="false">
      <c r="A924" s="8" t="n">
        <v>43665</v>
      </c>
      <c r="B924" s="9" t="n">
        <v>18.5838625188</v>
      </c>
      <c r="C924" s="9" t="n">
        <v>154.940002</v>
      </c>
      <c r="D924" s="9" t="n">
        <v>155.429993</v>
      </c>
      <c r="E924" s="9" t="n">
        <v>153.820007</v>
      </c>
      <c r="F924" s="9" t="n">
        <v>153.820007</v>
      </c>
      <c r="G924" s="9" t="n">
        <v>151.044266</v>
      </c>
      <c r="H924" s="9" t="n">
        <v>151.044266</v>
      </c>
      <c r="I924" s="2" t="str">
        <f aca="false">IF(COUNT(C924:F924)&lt;4,"",IF(OR(D924&lt;MAX(C924,F924)-0.000001,E924&gt;MIN(C924,F924)+0.000001),"FAIL","OK"))</f>
        <v>OK</v>
      </c>
      <c r="J924" s="10" t="n">
        <f aca="false">IF(COUNT(F924,G924)&lt;2,"",G924/F924)</f>
        <v>0.981954616605888</v>
      </c>
      <c r="K924" s="10" t="n">
        <f aca="false">H924/H923-1</f>
        <v>-0.00575274670983661</v>
      </c>
      <c r="L924" s="10" t="n">
        <f aca="false">H929/H924-1</f>
        <v>0.0219736908119372</v>
      </c>
      <c r="M924" s="10" t="n">
        <f aca="false">IF(COUNT(B865:B924)&lt;60,"",(B924-AVERAGE(B865:B924))/STDEV(B865:B924))</f>
        <v>-0.506156805179064</v>
      </c>
      <c r="N924" s="10" t="n">
        <f aca="false">(H924-AVERAGE(H865:H924))/STDEV(H865:H924)</f>
        <v>0.112025303195656</v>
      </c>
      <c r="O924" s="10" t="n">
        <f aca="false">IF(COUNT(B924)=0,"",B924-('Signal Analysis'!$C$6+'Signal Analysis'!$C$5*H924))</f>
        <v>-0.280099376559498</v>
      </c>
    </row>
    <row r="925" customFormat="false" ht="15" hidden="false" customHeight="false" outlineLevel="0" collapsed="false">
      <c r="A925" s="8" t="n">
        <v>43668</v>
      </c>
      <c r="B925" s="9" t="n">
        <v>18.59900568</v>
      </c>
      <c r="C925" s="9" t="n">
        <v>154.240005</v>
      </c>
      <c r="D925" s="9" t="n">
        <v>154.699997</v>
      </c>
      <c r="E925" s="9" t="n">
        <v>153.399994</v>
      </c>
      <c r="F925" s="9" t="n">
        <v>153.679993</v>
      </c>
      <c r="G925" s="9" t="n">
        <v>150.906769</v>
      </c>
      <c r="H925" s="9" t="n">
        <v>150.906769</v>
      </c>
      <c r="I925" s="2" t="str">
        <f aca="false">IF(COUNT(C925:F925)&lt;4,"",IF(OR(D925&lt;MAX(C925,F925)-0.000001,E925&gt;MIN(C925,F925)+0.000001),"FAIL","OK"))</f>
        <v>OK</v>
      </c>
      <c r="J925" s="10" t="n">
        <f aca="false">IF(COUNT(F925,G925)&lt;2,"",G925/F925)</f>
        <v>0.981954554097357</v>
      </c>
      <c r="K925" s="10" t="n">
        <f aca="false">H925/H924-1</f>
        <v>-0.000910309299659184</v>
      </c>
      <c r="L925" s="10" t="n">
        <f aca="false">H930/H925-1</f>
        <v>0.0160723737978912</v>
      </c>
      <c r="M925" s="10" t="n">
        <f aca="false">IF(COUNT(B866:B925)&lt;60,"",(B925-AVERAGE(B866:B925))/STDEV(B866:B925))</f>
        <v>-0.475016500003655</v>
      </c>
      <c r="N925" s="10" t="n">
        <f aca="false">(H925-AVERAGE(H866:H925))/STDEV(H866:H925)</f>
        <v>0.0825003848305554</v>
      </c>
      <c r="O925" s="10" t="n">
        <f aca="false">IF(COUNT(B925)=0,"",B925-('Signal Analysis'!$C$6+'Signal Analysis'!$C$5*H925))</f>
        <v>-0.24614766692477</v>
      </c>
    </row>
    <row r="926" customFormat="false" ht="15" hidden="false" customHeight="false" outlineLevel="0" collapsed="false">
      <c r="A926" s="8" t="n">
        <v>43669</v>
      </c>
      <c r="B926" s="9" t="n">
        <v>19.0016215272</v>
      </c>
      <c r="C926" s="9" t="n">
        <v>154.279999</v>
      </c>
      <c r="D926" s="9" t="n">
        <v>154.720001</v>
      </c>
      <c r="E926" s="9" t="n">
        <v>153.539993</v>
      </c>
      <c r="F926" s="9" t="n">
        <v>154.699997</v>
      </c>
      <c r="G926" s="9" t="n">
        <v>151.908386</v>
      </c>
      <c r="H926" s="9" t="n">
        <v>151.908386</v>
      </c>
      <c r="I926" s="2" t="str">
        <f aca="false">IF(COUNT(C926:F926)&lt;4,"",IF(OR(D926&lt;MAX(C926,F926)-0.000001,E926&gt;MIN(C926,F926)+0.000001),"FAIL","OK"))</f>
        <v>OK</v>
      </c>
      <c r="J926" s="10" t="n">
        <f aca="false">IF(COUNT(F926,G926)&lt;2,"",G926/F926)</f>
        <v>0.981954679675915</v>
      </c>
      <c r="K926" s="10" t="n">
        <f aca="false">H926/H925-1</f>
        <v>0.00663732320715194</v>
      </c>
      <c r="L926" s="10" t="n">
        <f aca="false">H931/H926-1</f>
        <v>0.0202972862867492</v>
      </c>
      <c r="M926" s="10" t="n">
        <f aca="false">IF(COUNT(B867:B926)&lt;60,"",(B926-AVERAGE(B867:B926))/STDEV(B867:B926))</f>
        <v>0.172287968245442</v>
      </c>
      <c r="N926" s="10" t="n">
        <f aca="false">(H926-AVERAGE(H867:H926))/STDEV(H867:H926)</f>
        <v>0.418034893199498</v>
      </c>
      <c r="O926" s="10" t="n">
        <f aca="false">IF(COUNT(B926)=0,"",B926-('Signal Analysis'!$C$6+'Signal Analysis'!$C$5*H926))</f>
        <v>0.0194545591958963</v>
      </c>
    </row>
    <row r="927" customFormat="false" ht="15" hidden="false" customHeight="false" outlineLevel="0" collapsed="false">
      <c r="A927" s="8" t="n">
        <v>43670</v>
      </c>
      <c r="B927" s="9" t="n">
        <v>19.998759396</v>
      </c>
      <c r="C927" s="9" t="n">
        <v>154.289993</v>
      </c>
      <c r="D927" s="9" t="n">
        <v>157.449997</v>
      </c>
      <c r="E927" s="9" t="n">
        <v>154.119995</v>
      </c>
      <c r="F927" s="9" t="n">
        <v>157.259995</v>
      </c>
      <c r="G927" s="9" t="n">
        <v>154.42218</v>
      </c>
      <c r="H927" s="9" t="n">
        <v>154.42218</v>
      </c>
      <c r="I927" s="2" t="str">
        <f aca="false">IF(COUNT(C927:F927)&lt;4,"",IF(OR(D927&lt;MAX(C927,F927)-0.000001,E927&gt;MIN(C927,F927)+0.000001),"FAIL","OK"))</f>
        <v>OK</v>
      </c>
      <c r="J927" s="10" t="n">
        <f aca="false">IF(COUNT(F927,G927)&lt;2,"",G927/F927)</f>
        <v>0.981954628702614</v>
      </c>
      <c r="K927" s="10" t="n">
        <f aca="false">H927/H926-1</f>
        <v>0.0165480923482393</v>
      </c>
      <c r="L927" s="10" t="n">
        <f aca="false">H932/H927-1</f>
        <v>-0.00445129061123206</v>
      </c>
      <c r="M927" s="10" t="n">
        <f aca="false">IF(COUNT(B868:B927)&lt;60,"",(B927-AVERAGE(B868:B927))/STDEV(B868:B927))</f>
        <v>1.69903737322493</v>
      </c>
      <c r="N927" s="10" t="n">
        <f aca="false">(H927-AVERAGE(H868:H927))/STDEV(H868:H927)</f>
        <v>1.23539156586848</v>
      </c>
      <c r="O927" s="10" t="n">
        <f aca="false">IF(COUNT(B927)=0,"",B927-('Signal Analysis'!$C$6+'Signal Analysis'!$C$5*H927))</f>
        <v>0.672724443938616</v>
      </c>
    </row>
    <row r="928" customFormat="false" ht="15" hidden="false" customHeight="false" outlineLevel="0" collapsed="false">
      <c r="A928" s="8" t="n">
        <v>43671</v>
      </c>
      <c r="B928" s="9" t="n">
        <v>18.158987556</v>
      </c>
      <c r="C928" s="9" t="n">
        <v>157.179993</v>
      </c>
      <c r="D928" s="9" t="n">
        <v>157.240005</v>
      </c>
      <c r="E928" s="9" t="n">
        <v>155.089996</v>
      </c>
      <c r="F928" s="9" t="n">
        <v>155.360001</v>
      </c>
      <c r="G928" s="9" t="n">
        <v>152.556473</v>
      </c>
      <c r="H928" s="9" t="n">
        <v>152.556473</v>
      </c>
      <c r="I928" s="2" t="str">
        <f aca="false">IF(COUNT(C928:F928)&lt;4,"",IF(OR(D928&lt;MAX(C928,F928)-0.000001,E928&gt;MIN(C928,F928)+0.000001),"FAIL","OK"))</f>
        <v>OK</v>
      </c>
      <c r="J928" s="10" t="n">
        <f aca="false">IF(COUNT(F928,G928)&lt;2,"",G928/F928)</f>
        <v>0.98195463451368</v>
      </c>
      <c r="K928" s="10" t="n">
        <f aca="false">H928/H927-1</f>
        <v>-0.0120818589661148</v>
      </c>
      <c r="L928" s="10" t="n">
        <f aca="false">H933/H928-1</f>
        <v>-0.00688741670109283</v>
      </c>
      <c r="M928" s="10" t="n">
        <f aca="false">IF(COUNT(B869:B928)&lt;60,"",(B928-AVERAGE(B869:B928))/STDEV(B869:B928))</f>
        <v>-1.11445413165317</v>
      </c>
      <c r="N928" s="10" t="n">
        <f aca="false">(H928-AVERAGE(H869:H928))/STDEV(H869:H928)</f>
        <v>0.657339165326119</v>
      </c>
      <c r="O928" s="10" t="n">
        <f aca="false">IF(COUNT(B928)=0,"",B928-('Signal Analysis'!$C$6+'Signal Analysis'!$C$5*H928))</f>
        <v>-0.911832806110279</v>
      </c>
    </row>
    <row r="929" customFormat="false" ht="15" hidden="false" customHeight="false" outlineLevel="0" collapsed="false">
      <c r="A929" s="8" t="n">
        <v>43672</v>
      </c>
      <c r="B929" s="9" t="n">
        <v>19.009070478</v>
      </c>
      <c r="C929" s="9" t="n">
        <v>155.580002</v>
      </c>
      <c r="D929" s="9" t="n">
        <v>157.419998</v>
      </c>
      <c r="E929" s="9" t="n">
        <v>155.5</v>
      </c>
      <c r="F929" s="9" t="n">
        <v>157.199997</v>
      </c>
      <c r="G929" s="9" t="n">
        <v>154.363266</v>
      </c>
      <c r="H929" s="9" t="n">
        <v>154.363266</v>
      </c>
      <c r="I929" s="2" t="str">
        <f aca="false">IF(COUNT(C929:F929)&lt;4,"",IF(OR(D929&lt;MAX(C929,F929)-0.000001,E929&gt;MIN(C929,F929)+0.000001),"FAIL","OK"))</f>
        <v>OK</v>
      </c>
      <c r="J929" s="10" t="n">
        <f aca="false">IF(COUNT(F929,G929)&lt;2,"",G929/F929)</f>
        <v>0.981954637060203</v>
      </c>
      <c r="K929" s="10" t="n">
        <f aca="false">H929/H928-1</f>
        <v>0.0118434371513032</v>
      </c>
      <c r="L929" s="10" t="n">
        <f aca="false">H934/H929-1</f>
        <v>-0.0293893496656129</v>
      </c>
      <c r="M929" s="10" t="n">
        <f aca="false">IF(COUNT(B870:B929)&lt;60,"",(B929-AVERAGE(B870:B929))/STDEV(B870:B929))</f>
        <v>0.230521465470571</v>
      </c>
      <c r="N929" s="10" t="n">
        <f aca="false">(H929-AVERAGE(H870:H929))/STDEV(H870:H929)</f>
        <v>1.23303505646333</v>
      </c>
      <c r="O929" s="10" t="n">
        <f aca="false">IF(COUNT(B929)=0,"",B929-('Signal Analysis'!$C$6+'Signal Analysis'!$C$5*H929))</f>
        <v>-0.308905484974467</v>
      </c>
    </row>
    <row r="930" customFormat="false" ht="15" hidden="false" customHeight="false" outlineLevel="0" collapsed="false">
      <c r="A930" s="8" t="n">
        <v>43675</v>
      </c>
      <c r="B930" s="9" t="n">
        <v>18.8317537716</v>
      </c>
      <c r="C930" s="9" t="n">
        <v>157.190002</v>
      </c>
      <c r="D930" s="9" t="n">
        <v>157.360001</v>
      </c>
      <c r="E930" s="9" t="n">
        <v>155.600006</v>
      </c>
      <c r="F930" s="9" t="n">
        <v>156.149994</v>
      </c>
      <c r="G930" s="9" t="n">
        <v>153.332199</v>
      </c>
      <c r="H930" s="9" t="n">
        <v>153.332199</v>
      </c>
      <c r="I930" s="2" t="str">
        <f aca="false">IF(COUNT(C930:F930)&lt;4,"",IF(OR(D930&lt;MAX(C930,F930)-0.000001,E930&gt;MIN(C930,F930)+0.000001),"FAIL","OK"))</f>
        <v>OK</v>
      </c>
      <c r="J930" s="10" t="n">
        <f aca="false">IF(COUNT(F930,G930)&lt;2,"",G930/F930)</f>
        <v>0.981954562226881</v>
      </c>
      <c r="K930" s="10" t="n">
        <f aca="false">H930/H929-1</f>
        <v>-0.00667948422392151</v>
      </c>
      <c r="L930" s="10" t="n">
        <f aca="false">H935/H930-1</f>
        <v>-0.0521933035082867</v>
      </c>
      <c r="M930" s="10" t="n">
        <f aca="false">IF(COUNT(B871:B930)&lt;60,"",(B930-AVERAGE(B871:B930))/STDEV(B871:B930))</f>
        <v>-0.0184072250842889</v>
      </c>
      <c r="N930" s="10" t="n">
        <f aca="false">(H930-AVERAGE(H871:H930))/STDEV(H871:H930)</f>
        <v>0.907948067740203</v>
      </c>
      <c r="O930" s="10" t="n">
        <f aca="false">IF(COUNT(B930)=0,"",B930-('Signal Analysis'!$C$6+'Signal Analysis'!$C$5*H930))</f>
        <v>-0.345180033298675</v>
      </c>
    </row>
    <row r="931" customFormat="false" ht="15" hidden="false" customHeight="false" outlineLevel="0" collapsed="false">
      <c r="A931" s="8" t="n">
        <v>43676</v>
      </c>
      <c r="B931" s="9" t="n">
        <v>19.354564416</v>
      </c>
      <c r="C931" s="9" t="n">
        <v>155.059998</v>
      </c>
      <c r="D931" s="9" t="n">
        <v>157.839996</v>
      </c>
      <c r="E931" s="9" t="n">
        <v>154.710007</v>
      </c>
      <c r="F931" s="9" t="n">
        <v>157.839996</v>
      </c>
      <c r="G931" s="9" t="n">
        <v>154.991714</v>
      </c>
      <c r="H931" s="9" t="n">
        <v>154.991714</v>
      </c>
      <c r="I931" s="2" t="str">
        <f aca="false">IF(COUNT(C931:F931)&lt;4,"",IF(OR(D931&lt;MAX(C931,F931)-0.000001,E931&gt;MIN(C931,F931)+0.000001),"FAIL","OK"))</f>
        <v>OK</v>
      </c>
      <c r="J931" s="10" t="n">
        <f aca="false">IF(COUNT(F931,G931)&lt;2,"",G931/F931)</f>
        <v>0.981954624479337</v>
      </c>
      <c r="K931" s="10" t="n">
        <f aca="false">H931/H930-1</f>
        <v>0.0108230039797446</v>
      </c>
      <c r="L931" s="10" t="n">
        <f aca="false">H936/H931-1</f>
        <v>-0.0537252268853546</v>
      </c>
      <c r="M931" s="10" t="n">
        <f aca="false">IF(COUNT(B872:B931)&lt;60,"",(B931-AVERAGE(B872:B931))/STDEV(B872:B931))</f>
        <v>0.805964262040773</v>
      </c>
      <c r="N931" s="10" t="n">
        <f aca="false">(H931-AVERAGE(H872:H931))/STDEV(H872:H931)</f>
        <v>1.48955766526088</v>
      </c>
      <c r="O931" s="10" t="n">
        <f aca="false">IF(COUNT(B931)=0,"",B931-('Signal Analysis'!$C$6+'Signal Analysis'!$C$5*H931))</f>
        <v>-0.0493784745925758</v>
      </c>
    </row>
    <row r="932" customFormat="false" ht="15" hidden="false" customHeight="false" outlineLevel="0" collapsed="false">
      <c r="A932" s="8" t="n">
        <v>43677</v>
      </c>
      <c r="B932" s="9" t="n">
        <v>18.873206604</v>
      </c>
      <c r="C932" s="9" t="n">
        <v>157.779999</v>
      </c>
      <c r="D932" s="9" t="n">
        <v>159.229996</v>
      </c>
      <c r="E932" s="9" t="n">
        <v>155.550003</v>
      </c>
      <c r="F932" s="9" t="n">
        <v>156.559998</v>
      </c>
      <c r="G932" s="9" t="n">
        <v>153.734802</v>
      </c>
      <c r="H932" s="9" t="n">
        <v>153.734802</v>
      </c>
      <c r="I932" s="2" t="str">
        <f aca="false">IF(COUNT(C932:F932)&lt;4,"",IF(OR(D932&lt;MAX(C932,F932)-0.000001,E932&gt;MIN(C932,F932)+0.000001),"FAIL","OK"))</f>
        <v>OK</v>
      </c>
      <c r="J932" s="10" t="n">
        <f aca="false">IF(COUNT(F932,G932)&lt;2,"",G932/F932)</f>
        <v>0.981954547546686</v>
      </c>
      <c r="K932" s="10" t="n">
        <f aca="false">H932/H931-1</f>
        <v>-0.0081095431979028</v>
      </c>
      <c r="L932" s="10" t="n">
        <f aca="false">H937/H932-1</f>
        <v>-0.0462440118145793</v>
      </c>
      <c r="M932" s="10" t="n">
        <f aca="false">IF(COUNT(B873:B932)&lt;60,"",(B932-AVERAGE(B873:B932))/STDEV(B873:B932))</f>
        <v>-0.00634465765480459</v>
      </c>
      <c r="N932" s="10" t="n">
        <f aca="false">(H932-AVERAGE(H873:H932))/STDEV(H873:H932)</f>
        <v>1.12981637185211</v>
      </c>
      <c r="O932" s="10" t="n">
        <f aca="false">IF(COUNT(B932)=0,"",B932-('Signal Analysis'!$C$6+'Signal Analysis'!$C$5*H932))</f>
        <v>-0.358800242677521</v>
      </c>
    </row>
    <row r="933" customFormat="false" ht="15" hidden="false" customHeight="false" outlineLevel="0" collapsed="false">
      <c r="A933" s="8" t="n">
        <v>43678</v>
      </c>
      <c r="B933" s="9" t="n">
        <v>19.1681021808</v>
      </c>
      <c r="C933" s="9" t="n">
        <v>156.880005</v>
      </c>
      <c r="D933" s="9" t="n">
        <v>158.169998</v>
      </c>
      <c r="E933" s="9" t="n">
        <v>153.589996</v>
      </c>
      <c r="F933" s="9" t="n">
        <v>154.289993</v>
      </c>
      <c r="G933" s="9" t="n">
        <v>151.505753</v>
      </c>
      <c r="H933" s="9" t="n">
        <v>151.505753</v>
      </c>
      <c r="I933" s="2" t="str">
        <f aca="false">IF(COUNT(C933:F933)&lt;4,"",IF(OR(D933&lt;MAX(C933,F933)-0.000001,E933&gt;MIN(C933,F933)+0.000001),"FAIL","OK"))</f>
        <v>OK</v>
      </c>
      <c r="J933" s="10" t="n">
        <f aca="false">IF(COUNT(F933,G933)&lt;2,"",G933/F933)</f>
        <v>0.981954500445145</v>
      </c>
      <c r="K933" s="10" t="n">
        <f aca="false">H933/H932-1</f>
        <v>-0.0144993129141963</v>
      </c>
      <c r="L933" s="10" t="n">
        <f aca="false">H938/H933-1</f>
        <v>-0.0113421369550237</v>
      </c>
      <c r="M933" s="10" t="n">
        <f aca="false">IF(COUNT(B874:B933)&lt;60,"",(B933-AVERAGE(B874:B933))/STDEV(B874:B933))</f>
        <v>0.485248730895777</v>
      </c>
      <c r="N933" s="10" t="n">
        <f aca="false">(H933-AVERAGE(H874:H933))/STDEV(H874:H933)</f>
        <v>0.384355245364318</v>
      </c>
      <c r="O933" s="10" t="n">
        <f aca="false">IF(COUNT(B933)=0,"",B933-('Signal Analysis'!$C$6+'Signal Analysis'!$C$5*H933))</f>
        <v>0.241012358347572</v>
      </c>
    </row>
    <row r="934" customFormat="false" ht="15" hidden="false" customHeight="false" outlineLevel="0" collapsed="false">
      <c r="A934" s="8" t="n">
        <v>43679</v>
      </c>
      <c r="B934" s="9" t="n">
        <v>17.6936502156</v>
      </c>
      <c r="C934" s="9" t="n">
        <v>153.350006</v>
      </c>
      <c r="D934" s="9" t="n">
        <v>153.75</v>
      </c>
      <c r="E934" s="9" t="n">
        <v>151.279999</v>
      </c>
      <c r="F934" s="9" t="n">
        <v>152.580002</v>
      </c>
      <c r="G934" s="9" t="n">
        <v>149.82663</v>
      </c>
      <c r="H934" s="9" t="n">
        <v>149.82663</v>
      </c>
      <c r="I934" s="2" t="str">
        <f aca="false">IF(COUNT(C934:F934)&lt;4,"",IF(OR(D934&lt;MAX(C934,F934)-0.000001,E934&gt;MIN(C934,F934)+0.000001),"FAIL","OK"))</f>
        <v>OK</v>
      </c>
      <c r="J934" s="10" t="n">
        <f aca="false">IF(COUNT(F934,G934)&lt;2,"",G934/F934)</f>
        <v>0.981954568331963</v>
      </c>
      <c r="K934" s="10" t="n">
        <f aca="false">H934/H933-1</f>
        <v>-0.0110828992744586</v>
      </c>
      <c r="L934" s="10" t="n">
        <f aca="false">H939/H934-1</f>
        <v>-0.0128455602318491</v>
      </c>
      <c r="M934" s="10" t="n">
        <f aca="false">IF(COUNT(B875:B934)&lt;60,"",(B934-AVERAGE(B875:B934))/STDEV(B875:B934))</f>
        <v>-1.87601173108952</v>
      </c>
      <c r="N934" s="10" t="n">
        <f aca="false">(H934-AVERAGE(H875:H934))/STDEV(H875:H934)</f>
        <v>-0.180685362578681</v>
      </c>
      <c r="O934" s="10" t="n">
        <f aca="false">IF(COUNT(B934)=0,"",B934-('Signal Analysis'!$C$6+'Signal Analysis'!$C$5*H934))</f>
        <v>-1.00374829523572</v>
      </c>
    </row>
    <row r="935" customFormat="false" ht="15" hidden="false" customHeight="false" outlineLevel="0" collapsed="false">
      <c r="A935" s="8" t="n">
        <v>43682</v>
      </c>
      <c r="B935" s="9" t="n">
        <v>19.3006300872</v>
      </c>
      <c r="C935" s="9" t="n">
        <v>149.779999</v>
      </c>
      <c r="D935" s="9" t="n">
        <v>149.919998</v>
      </c>
      <c r="E935" s="9" t="n">
        <v>146.210007</v>
      </c>
      <c r="F935" s="9" t="n">
        <v>148</v>
      </c>
      <c r="G935" s="9" t="n">
        <v>145.329285</v>
      </c>
      <c r="H935" s="9" t="n">
        <v>145.329285</v>
      </c>
      <c r="I935" s="2" t="str">
        <f aca="false">IF(COUNT(C935:F935)&lt;4,"",IF(OR(D935&lt;MAX(C935,F935)-0.000001,E935&gt;MIN(C935,F935)+0.000001),"FAIL","OK"))</f>
        <v>OK</v>
      </c>
      <c r="J935" s="10" t="n">
        <f aca="false">IF(COUNT(F935,G935)&lt;2,"",G935/F935)</f>
        <v>0.981954628378378</v>
      </c>
      <c r="K935" s="10" t="n">
        <f aca="false">H935/H934-1</f>
        <v>-0.0300169936412505</v>
      </c>
      <c r="L935" s="10" t="n">
        <f aca="false">H940/H935-1</f>
        <v>0.00452715362908451</v>
      </c>
      <c r="M935" s="10" t="n">
        <f aca="false">IF(COUNT(B876:B935)&lt;60,"",(B935-AVERAGE(B876:B935))/STDEV(B876:B935))</f>
        <v>0.710667248339486</v>
      </c>
      <c r="N935" s="10" t="n">
        <f aca="false">(H935-AVERAGE(H876:H935))/STDEV(H876:H935)</f>
        <v>-1.6841472452631</v>
      </c>
      <c r="O935" s="10" t="n">
        <f aca="false">IF(COUNT(B935)=0,"",B935-('Signal Analysis'!$C$6+'Signal Analysis'!$C$5*H935))</f>
        <v>1.21843431722533</v>
      </c>
    </row>
    <row r="936" customFormat="false" ht="15" hidden="false" customHeight="false" outlineLevel="0" collapsed="false">
      <c r="A936" s="8" t="n">
        <v>43683</v>
      </c>
      <c r="B936" s="9" t="n">
        <v>18.5890629888</v>
      </c>
      <c r="C936" s="9" t="n">
        <v>148.899994</v>
      </c>
      <c r="D936" s="9" t="n">
        <v>149.699997</v>
      </c>
      <c r="E936" s="9" t="n">
        <v>147.380005</v>
      </c>
      <c r="F936" s="9" t="n">
        <v>149.360001</v>
      </c>
      <c r="G936" s="9" t="n">
        <v>146.664749</v>
      </c>
      <c r="H936" s="9" t="n">
        <v>146.664749</v>
      </c>
      <c r="I936" s="2" t="str">
        <f aca="false">IF(COUNT(C936:F936)&lt;4,"",IF(OR(D936&lt;MAX(C936,F936)-0.000001,E936&gt;MIN(C936,F936)+0.000001),"FAIL","OK"))</f>
        <v>OK</v>
      </c>
      <c r="J936" s="10" t="n">
        <f aca="false">IF(COUNT(F936,G936)&lt;2,"",G936/F936)</f>
        <v>0.981954660002982</v>
      </c>
      <c r="K936" s="10" t="n">
        <f aca="false">H936/H935-1</f>
        <v>0.00918922844765935</v>
      </c>
      <c r="L936" s="10" t="n">
        <f aca="false">H941/H936-1</f>
        <v>0.00609270466211354</v>
      </c>
      <c r="M936" s="10" t="n">
        <f aca="false">IF(COUNT(B877:B936)&lt;60,"",(B936-AVERAGE(B877:B936))/STDEV(B877:B936))</f>
        <v>-0.416573394516188</v>
      </c>
      <c r="N936" s="10" t="n">
        <f aca="false">(H936-AVERAGE(H877:H936))/STDEV(H877:H936)</f>
        <v>-1.18291244497107</v>
      </c>
      <c r="O936" s="10" t="n">
        <f aca="false">IF(COUNT(B936)=0,"",B936-('Signal Analysis'!$C$6+'Signal Analysis'!$C$5*H936))</f>
        <v>0.324185856127727</v>
      </c>
    </row>
    <row r="937" customFormat="false" ht="15" hidden="false" customHeight="false" outlineLevel="0" collapsed="false">
      <c r="A937" s="8" t="n">
        <v>43684</v>
      </c>
      <c r="B937" s="9" t="n">
        <v>18.5152493088</v>
      </c>
      <c r="C937" s="9" t="n">
        <v>147.919998</v>
      </c>
      <c r="D937" s="9" t="n">
        <v>149.710007</v>
      </c>
      <c r="E937" s="9" t="n">
        <v>146.690002</v>
      </c>
      <c r="F937" s="9" t="n">
        <v>149.320007</v>
      </c>
      <c r="G937" s="9" t="n">
        <v>146.625488</v>
      </c>
      <c r="H937" s="9" t="n">
        <v>146.625488</v>
      </c>
      <c r="I937" s="2" t="str">
        <f aca="false">IF(COUNT(C937:F937)&lt;4,"",IF(OR(D937&lt;MAX(C937,F937)-0.000001,E937&gt;MIN(C937,F937)+0.000001),"FAIL","OK"))</f>
        <v>OK</v>
      </c>
      <c r="J937" s="10" t="n">
        <f aca="false">IF(COUNT(F937,G937)&lt;2,"",G937/F937)</f>
        <v>0.981954735643697</v>
      </c>
      <c r="K937" s="10" t="n">
        <f aca="false">H937/H936-1</f>
        <v>-0.000267692136438402</v>
      </c>
      <c r="L937" s="10" t="n">
        <f aca="false">H942/H937-1</f>
        <v>-0.0217653836555347</v>
      </c>
      <c r="M937" s="10" t="n">
        <f aca="false">IF(COUNT(B878:B937)&lt;60,"",(B937-AVERAGE(B878:B937))/STDEV(B878:B937))</f>
        <v>-0.528641042353815</v>
      </c>
      <c r="N937" s="10" t="n">
        <f aca="false">(H937-AVERAGE(H878:H937))/STDEV(H878:H937)</f>
        <v>-1.17580012254387</v>
      </c>
      <c r="O937" s="10" t="n">
        <f aca="false">IF(COUNT(B937)=0,"",B937-('Signal Analysis'!$C$6+'Signal Analysis'!$C$5*H937))</f>
        <v>0.255742783632591</v>
      </c>
    </row>
    <row r="938" customFormat="false" ht="15" hidden="false" customHeight="false" outlineLevel="0" collapsed="false">
      <c r="A938" s="8" t="n">
        <v>43685</v>
      </c>
      <c r="B938" s="9" t="n">
        <v>17.6888899644</v>
      </c>
      <c r="C938" s="9" t="n">
        <v>150.149994</v>
      </c>
      <c r="D938" s="9" t="n">
        <v>152.630005</v>
      </c>
      <c r="E938" s="9" t="n">
        <v>149.990005</v>
      </c>
      <c r="F938" s="9" t="n">
        <v>152.539993</v>
      </c>
      <c r="G938" s="9" t="n">
        <v>149.787354</v>
      </c>
      <c r="H938" s="9" t="n">
        <v>149.787354</v>
      </c>
      <c r="I938" s="2" t="str">
        <f aca="false">IF(COUNT(C938:F938)&lt;4,"",IF(OR(D938&lt;MAX(C938,F938)-0.000001,E938&gt;MIN(C938,F938)+0.000001),"FAIL","OK"))</f>
        <v>OK</v>
      </c>
      <c r="J938" s="10" t="n">
        <f aca="false">IF(COUNT(F938,G938)&lt;2,"",G938/F938)</f>
        <v>0.981954640577439</v>
      </c>
      <c r="K938" s="10" t="n">
        <f aca="false">H938/H937-1</f>
        <v>0.0215642317248417</v>
      </c>
      <c r="L938" s="10" t="n">
        <f aca="false">H943/H938-1</f>
        <v>-0.0462173595776316</v>
      </c>
      <c r="M938" s="10" t="n">
        <f aca="false">IF(COUNT(B879:B938)&lt;60,"",(B938-AVERAGE(B879:B938))/STDEV(B879:B938))</f>
        <v>-1.79370777899749</v>
      </c>
      <c r="N938" s="10" t="n">
        <f aca="false">(H938-AVERAGE(H879:H938))/STDEV(H879:H938)</f>
        <v>-0.0962261079809215</v>
      </c>
      <c r="O938" s="10" t="n">
        <f aca="false">IF(COUNT(B938)=0,"",B938-('Signal Analysis'!$C$6+'Signal Analysis'!$C$5*H938))</f>
        <v>-1.00313588704444</v>
      </c>
    </row>
    <row r="939" customFormat="false" ht="15" hidden="false" customHeight="false" outlineLevel="0" collapsed="false">
      <c r="A939" s="8" t="n">
        <v>43686</v>
      </c>
      <c r="B939" s="9" t="n">
        <v>18.7519344096</v>
      </c>
      <c r="C939" s="9" t="n">
        <v>152.089996</v>
      </c>
      <c r="D939" s="9" t="n">
        <v>152.149994</v>
      </c>
      <c r="E939" s="9" t="n">
        <v>150.029999</v>
      </c>
      <c r="F939" s="9" t="n">
        <v>150.619995</v>
      </c>
      <c r="G939" s="9" t="n">
        <v>147.902023</v>
      </c>
      <c r="H939" s="9" t="n">
        <v>147.902023</v>
      </c>
      <c r="I939" s="2" t="str">
        <f aca="false">IF(COUNT(C939:F939)&lt;4,"",IF(OR(D939&lt;MAX(C939,F939)-0.000001,E939&gt;MIN(C939,F939)+0.000001),"FAIL","OK"))</f>
        <v>OK</v>
      </c>
      <c r="J939" s="10" t="n">
        <f aca="false">IF(COUNT(F939,G939)&lt;2,"",G939/F939)</f>
        <v>0.981954773003412</v>
      </c>
      <c r="K939" s="10" t="n">
        <f aca="false">H939/H938-1</f>
        <v>-0.01258671676649</v>
      </c>
      <c r="L939" s="10" t="n">
        <f aca="false">H944/H939-1</f>
        <v>-0.0132120302370713</v>
      </c>
      <c r="M939" s="10" t="n">
        <f aca="false">IF(COUNT(B880:B939)&lt;60,"",(B939-AVERAGE(B880:B939))/STDEV(B880:B939))</f>
        <v>-0.134467120199832</v>
      </c>
      <c r="N939" s="10" t="n">
        <f aca="false">(H939-AVERAGE(H880:H939))/STDEV(H880:H939)</f>
        <v>-0.719412648237988</v>
      </c>
      <c r="O939" s="10" t="n">
        <f aca="false">IF(COUNT(B939)=0,"",B939-('Signal Analysis'!$C$6+'Signal Analysis'!$C$5*H939))</f>
        <v>0.31780756270831</v>
      </c>
    </row>
    <row r="940" customFormat="false" ht="15" hidden="false" customHeight="false" outlineLevel="0" collapsed="false">
      <c r="A940" s="8" t="n">
        <v>43689</v>
      </c>
      <c r="B940" s="9" t="n">
        <v>18.6295225992</v>
      </c>
      <c r="C940" s="9" t="n">
        <v>149.809998</v>
      </c>
      <c r="D940" s="9" t="n">
        <v>150.119995</v>
      </c>
      <c r="E940" s="9" t="n">
        <v>148.330002</v>
      </c>
      <c r="F940" s="9" t="n">
        <v>148.669998</v>
      </c>
      <c r="G940" s="9" t="n">
        <v>145.987213</v>
      </c>
      <c r="H940" s="9" t="n">
        <v>145.987213</v>
      </c>
      <c r="I940" s="2" t="str">
        <f aca="false">IF(COUNT(C940:F940)&lt;4,"",IF(OR(D940&lt;MAX(C940,F940)-0.000001,E940&gt;MIN(C940,F940)+0.000001),"FAIL","OK"))</f>
        <v>OK</v>
      </c>
      <c r="J940" s="10" t="n">
        <f aca="false">IF(COUNT(F940,G940)&lt;2,"",G940/F940)</f>
        <v>0.98195476534546</v>
      </c>
      <c r="K940" s="10" t="n">
        <f aca="false">H940/H939-1</f>
        <v>-0.0129464760600334</v>
      </c>
      <c r="L940" s="10" t="n">
        <f aca="false">H945/H940-1</f>
        <v>0.0098204148879808</v>
      </c>
      <c r="M940" s="10" t="n">
        <f aca="false">IF(COUNT(B881:B940)&lt;60,"",(B940-AVERAGE(B881:B940))/STDEV(B881:B940))</f>
        <v>-0.359225958005205</v>
      </c>
      <c r="N940" s="10" t="n">
        <f aca="false">(H940-AVERAGE(H881:H940))/STDEV(H881:H940)</f>
        <v>-1.32016808221537</v>
      </c>
      <c r="O940" s="10" t="n">
        <f aca="false">IF(COUNT(B940)=0,"",B940-('Signal Analysis'!$C$6+'Signal Analysis'!$C$5*H940))</f>
        <v>0.457327260837939</v>
      </c>
    </row>
    <row r="941" customFormat="false" ht="15" hidden="false" customHeight="false" outlineLevel="0" collapsed="false">
      <c r="A941" s="8" t="n">
        <v>43690</v>
      </c>
      <c r="B941" s="9" t="n">
        <v>18.4287587328</v>
      </c>
      <c r="C941" s="9" t="n">
        <v>148.339996</v>
      </c>
      <c r="D941" s="9" t="n">
        <v>151.789993</v>
      </c>
      <c r="E941" s="9" t="n">
        <v>147.669998</v>
      </c>
      <c r="F941" s="9" t="n">
        <v>150.270004</v>
      </c>
      <c r="G941" s="9" t="n">
        <v>147.558334</v>
      </c>
      <c r="H941" s="9" t="n">
        <v>147.558334</v>
      </c>
      <c r="I941" s="2" t="str">
        <f aca="false">IF(COUNT(C941:F941)&lt;4,"",IF(OR(D941&lt;MAX(C941,F941)-0.000001,E941&gt;MIN(C941,F941)+0.000001),"FAIL","OK"))</f>
        <v>OK</v>
      </c>
      <c r="J941" s="10" t="n">
        <f aca="false">IF(COUNT(F941,G941)&lt;2,"",G941/F941)</f>
        <v>0.981954682053512</v>
      </c>
      <c r="K941" s="10" t="n">
        <f aca="false">H941/H940-1</f>
        <v>0.0107620453032418</v>
      </c>
      <c r="L941" s="10" t="n">
        <f aca="false">H946/H941-1</f>
        <v>-0.00745347938124608</v>
      </c>
      <c r="M941" s="10" t="n">
        <f aca="false">IF(COUNT(B882:B941)&lt;60,"",(B941-AVERAGE(B882:B941))/STDEV(B882:B941))</f>
        <v>-0.705574445823714</v>
      </c>
      <c r="N941" s="10" t="n">
        <f aca="false">(H941-AVERAGE(H882:H941))/STDEV(H882:H941)</f>
        <v>-0.778707562532287</v>
      </c>
      <c r="O941" s="10" t="n">
        <f aca="false">IF(COUNT(B941)=0,"",B941-('Signal Analysis'!$C$6+'Signal Analysis'!$C$5*H941))</f>
        <v>0.0416459386002437</v>
      </c>
    </row>
    <row r="942" customFormat="false" ht="15" hidden="false" customHeight="false" outlineLevel="0" collapsed="false">
      <c r="A942" s="8" t="n">
        <v>43691</v>
      </c>
      <c r="B942" s="9" t="n">
        <v>18.0322919928</v>
      </c>
      <c r="C942" s="9" t="n">
        <v>147.949997</v>
      </c>
      <c r="D942" s="9" t="n">
        <v>147.979996</v>
      </c>
      <c r="E942" s="9" t="n">
        <v>145.720001</v>
      </c>
      <c r="F942" s="9" t="n">
        <v>146.070007</v>
      </c>
      <c r="G942" s="9" t="n">
        <v>143.434128</v>
      </c>
      <c r="H942" s="9" t="n">
        <v>143.434128</v>
      </c>
      <c r="I942" s="2" t="str">
        <f aca="false">IF(COUNT(C942:F942)&lt;4,"",IF(OR(D942&lt;MAX(C942,F942)-0.000001,E942&gt;MIN(C942,F942)+0.000001),"FAIL","OK"))</f>
        <v>OK</v>
      </c>
      <c r="J942" s="10" t="n">
        <f aca="false">IF(COUNT(F942,G942)&lt;2,"",G942/F942)</f>
        <v>0.981954686974171</v>
      </c>
      <c r="K942" s="10" t="n">
        <f aca="false">H942/H941-1</f>
        <v>-0.02794966497792</v>
      </c>
      <c r="L942" s="10" t="n">
        <f aca="false">H947/H942-1</f>
        <v>0.0295062831908457</v>
      </c>
      <c r="M942" s="10" t="n">
        <f aca="false">IF(COUNT(B883:B942)&lt;60,"",(B942-AVERAGE(B883:B942))/STDEV(B883:B942))</f>
        <v>-1.35816545059003</v>
      </c>
      <c r="N942" s="10" t="n">
        <f aca="false">(H942-AVERAGE(H883:H942))/STDEV(H883:H942)</f>
        <v>-2.05029903412752</v>
      </c>
      <c r="O942" s="10" t="n">
        <f aca="false">IF(COUNT(B942)=0,"",B942-('Signal Analysis'!$C$6+'Signal Analysis'!$C$5*H942))</f>
        <v>0.209339349772911</v>
      </c>
    </row>
    <row r="943" customFormat="false" ht="15" hidden="false" customHeight="false" outlineLevel="0" collapsed="false">
      <c r="A943" s="8" t="n">
        <v>43692</v>
      </c>
      <c r="B943" s="9" t="n">
        <v>17.4794132736</v>
      </c>
      <c r="C943" s="9" t="n">
        <v>146.619995</v>
      </c>
      <c r="D943" s="9" t="n">
        <v>146.669998</v>
      </c>
      <c r="E943" s="9" t="n">
        <v>144.789993</v>
      </c>
      <c r="F943" s="9" t="n">
        <v>145.490005</v>
      </c>
      <c r="G943" s="9" t="n">
        <v>142.864578</v>
      </c>
      <c r="H943" s="9" t="n">
        <v>142.864578</v>
      </c>
      <c r="I943" s="2" t="str">
        <f aca="false">IF(COUNT(C943:F943)&lt;4,"",IF(OR(D943&lt;MAX(C943,F943)-0.000001,E943&gt;MIN(C943,F943)+0.000001),"FAIL","OK"))</f>
        <v>OK</v>
      </c>
      <c r="J943" s="10" t="n">
        <f aca="false">IF(COUNT(F943,G943)&lt;2,"",G943/F943)</f>
        <v>0.981954588564349</v>
      </c>
      <c r="K943" s="10" t="n">
        <f aca="false">H943/H942-1</f>
        <v>-0.0039708123020763</v>
      </c>
      <c r="L943" s="10" t="n">
        <f aca="false">H948/H943-1</f>
        <v>0.0312048589119129</v>
      </c>
      <c r="M943" s="10" t="n">
        <f aca="false">IF(COUNT(B884:B943)&lt;60,"",(B943-AVERAGE(B884:B943))/STDEV(B884:B943))</f>
        <v>-2.19481187683677</v>
      </c>
      <c r="N943" s="10" t="n">
        <f aca="false">(H943-AVERAGE(H884:H943))/STDEV(H884:H943)</f>
        <v>-2.10776680776835</v>
      </c>
      <c r="O943" s="10" t="n">
        <f aca="false">IF(COUNT(B943)=0,"",B943-('Signal Analysis'!$C$6+'Signal Analysis'!$C$5*H943))</f>
        <v>-0.265629242217059</v>
      </c>
    </row>
    <row r="944" customFormat="false" ht="15" hidden="false" customHeight="false" outlineLevel="0" collapsed="false">
      <c r="A944" s="8" t="n">
        <v>43693</v>
      </c>
      <c r="B944" s="9" t="n">
        <v>17.6717204424</v>
      </c>
      <c r="C944" s="9" t="n">
        <v>146.139999</v>
      </c>
      <c r="D944" s="9" t="n">
        <v>148.910004</v>
      </c>
      <c r="E944" s="9" t="n">
        <v>146.110001</v>
      </c>
      <c r="F944" s="9" t="n">
        <v>148.630005</v>
      </c>
      <c r="G944" s="9" t="n">
        <v>145.947937</v>
      </c>
      <c r="H944" s="9" t="n">
        <v>145.947937</v>
      </c>
      <c r="I944" s="2" t="str">
        <f aca="false">IF(COUNT(C944:F944)&lt;4,"",IF(OR(D944&lt;MAX(C944,F944)-0.000001,E944&gt;MIN(C944,F944)+0.000001),"FAIL","OK"))</f>
        <v>OK</v>
      </c>
      <c r="J944" s="10" t="n">
        <f aca="false">IF(COUNT(F944,G944)&lt;2,"",G944/F944)</f>
        <v>0.981954733837222</v>
      </c>
      <c r="K944" s="10" t="n">
        <f aca="false">H944/H943-1</f>
        <v>0.0215823897229446</v>
      </c>
      <c r="L944" s="10" t="n">
        <f aca="false">H949/H944-1</f>
        <v>-0.0215300953517417</v>
      </c>
      <c r="M944" s="10" t="n">
        <f aca="false">IF(COUNT(B885:B944)&lt;60,"",(B944-AVERAGE(B885:B944))/STDEV(B885:B944))</f>
        <v>-1.83640358134561</v>
      </c>
      <c r="N944" s="10" t="n">
        <f aca="false">(H944-AVERAGE(H885:H944))/STDEV(H885:H944)</f>
        <v>-1.12522627000297</v>
      </c>
      <c r="O944" s="10" t="n">
        <f aca="false">IF(COUNT(B944)=0,"",B944-('Signal Analysis'!$C$6+'Signal Analysis'!$C$5*H944))</f>
        <v>-0.495102236570784</v>
      </c>
    </row>
    <row r="945" customFormat="false" ht="15" hidden="false" customHeight="false" outlineLevel="0" collapsed="false">
      <c r="A945" s="8" t="n">
        <v>43696</v>
      </c>
      <c r="B945" s="9" t="n">
        <v>17.0683356</v>
      </c>
      <c r="C945" s="9" t="n">
        <v>150.320007</v>
      </c>
      <c r="D945" s="9" t="n">
        <v>150.889999</v>
      </c>
      <c r="E945" s="9" t="n">
        <v>149.949997</v>
      </c>
      <c r="F945" s="9" t="n">
        <v>150.130005</v>
      </c>
      <c r="G945" s="9" t="n">
        <v>147.420868</v>
      </c>
      <c r="H945" s="9" t="n">
        <v>147.420868</v>
      </c>
      <c r="I945" s="2" t="str">
        <f aca="false">IF(COUNT(C945:F945)&lt;4,"",IF(OR(D945&lt;MAX(C945,F945)-0.000001,E945&gt;MIN(C945,F945)+0.000001),"FAIL","OK"))</f>
        <v>OK</v>
      </c>
      <c r="J945" s="10" t="n">
        <f aca="false">IF(COUNT(F945,G945)&lt;2,"",G945/F945)</f>
        <v>0.981954726505205</v>
      </c>
      <c r="K945" s="10" t="n">
        <f aca="false">H945/H944-1</f>
        <v>0.0100921673185419</v>
      </c>
      <c r="L945" s="10" t="n">
        <f aca="false">H950/H945-1</f>
        <v>-0.0206488202199434</v>
      </c>
      <c r="M945" s="10" t="n">
        <f aca="false">IF(COUNT(B886:B945)&lt;60,"",(B945-AVERAGE(B886:B945))/STDEV(B886:B945))</f>
        <v>-2.61333153749685</v>
      </c>
      <c r="N945" s="10" t="n">
        <f aca="false">(H945-AVERAGE(H886:H945))/STDEV(H886:H945)</f>
        <v>-0.684968767673453</v>
      </c>
      <c r="O945" s="10" t="n">
        <f aca="false">IF(COUNT(B945)=0,"",B945-('Signal Analysis'!$C$6+'Signal Analysis'!$C$5*H945))</f>
        <v>-1.29997288633029</v>
      </c>
    </row>
    <row r="946" customFormat="false" ht="15" hidden="false" customHeight="false" outlineLevel="0" collapsed="false">
      <c r="A946" s="8" t="n">
        <v>43697</v>
      </c>
      <c r="B946" s="9" t="n">
        <v>18.648873648</v>
      </c>
      <c r="C946" s="9" t="n">
        <v>149.919998</v>
      </c>
      <c r="D946" s="9" t="n">
        <v>150.009995</v>
      </c>
      <c r="E946" s="9" t="n">
        <v>148.990005</v>
      </c>
      <c r="F946" s="9" t="n">
        <v>149.149994</v>
      </c>
      <c r="G946" s="9" t="n">
        <v>146.458511</v>
      </c>
      <c r="H946" s="9" t="n">
        <v>146.458511</v>
      </c>
      <c r="I946" s="2" t="str">
        <f aca="false">IF(COUNT(C946:F946)&lt;4,"",IF(OR(D946&lt;MAX(C946,F946)-0.000001,E946&gt;MIN(C946,F946)+0.000001),"FAIL","OK"))</f>
        <v>OK</v>
      </c>
      <c r="J946" s="10" t="n">
        <f aca="false">IF(COUNT(F946,G946)&lt;2,"",G946/F946)</f>
        <v>0.981954521567061</v>
      </c>
      <c r="K946" s="10" t="n">
        <f aca="false">H946/H945-1</f>
        <v>-0.00652795640845116</v>
      </c>
      <c r="L946" s="10" t="n">
        <f aca="false">H951/H946-1</f>
        <v>-0.0288298779713798</v>
      </c>
      <c r="M946" s="10" t="n">
        <f aca="false">IF(COUNT(B887:B946)&lt;60,"",(B946-AVERAGE(B887:B946))/STDEV(B887:B946))</f>
        <v>-0.274666118822104</v>
      </c>
      <c r="N946" s="10" t="n">
        <f aca="false">(H946-AVERAGE(H887:H946))/STDEV(H887:H946)</f>
        <v>-0.970867794661675</v>
      </c>
      <c r="O946" s="10" t="n">
        <f aca="false">IF(COUNT(B946)=0,"",B946-('Signal Analysis'!$C$6+'Signal Analysis'!$C$5*H946))</f>
        <v>0.412208312036611</v>
      </c>
    </row>
    <row r="947" customFormat="false" ht="15" hidden="false" customHeight="false" outlineLevel="0" collapsed="false">
      <c r="A947" s="8" t="n">
        <v>43698</v>
      </c>
      <c r="B947" s="9" t="n">
        <v>18.8002317</v>
      </c>
      <c r="C947" s="9" t="n">
        <v>150.619995</v>
      </c>
      <c r="D947" s="9" t="n">
        <v>150.649994</v>
      </c>
      <c r="E947" s="9" t="n">
        <v>149.789993</v>
      </c>
      <c r="F947" s="9" t="n">
        <v>150.380005</v>
      </c>
      <c r="G947" s="9" t="n">
        <v>147.666336</v>
      </c>
      <c r="H947" s="9" t="n">
        <v>147.666336</v>
      </c>
      <c r="I947" s="2" t="str">
        <f aca="false">IF(COUNT(C947:F947)&lt;4,"",IF(OR(D947&lt;MAX(C947,F947)-0.000001,E947&gt;MIN(C947,F947)+0.000001),"FAIL","OK"))</f>
        <v>OK</v>
      </c>
      <c r="J947" s="10" t="n">
        <f aca="false">IF(COUNT(F947,G947)&lt;2,"",G947/F947)</f>
        <v>0.981954588976108</v>
      </c>
      <c r="K947" s="10" t="n">
        <f aca="false">H947/H946-1</f>
        <v>0.0082468747753417</v>
      </c>
      <c r="L947" s="10" t="n">
        <f aca="false">H952/H947-1</f>
        <v>-0.0255353122596608</v>
      </c>
      <c r="M947" s="10" t="n">
        <f aca="false">IF(COUNT(B888:B947)&lt;60,"",(B947-AVERAGE(B888:B947))/STDEV(B888:B947))</f>
        <v>-0.0755854778849318</v>
      </c>
      <c r="N947" s="10" t="n">
        <f aca="false">(H947-AVERAGE(H888:H947))/STDEV(H888:H947)</f>
        <v>-0.611015072057717</v>
      </c>
      <c r="O947" s="10" t="n">
        <f aca="false">IF(COUNT(B947)=0,"",B947-('Signal Analysis'!$C$6+'Signal Analysis'!$C$5*H947))</f>
        <v>0.398345050021231</v>
      </c>
    </row>
    <row r="948" customFormat="false" ht="15" hidden="false" customHeight="false" outlineLevel="0" collapsed="false">
      <c r="A948" s="8" t="n">
        <v>43699</v>
      </c>
      <c r="B948" s="9" t="n">
        <v>17.8892635536</v>
      </c>
      <c r="C948" s="9" t="n">
        <v>150.669998</v>
      </c>
      <c r="D948" s="9" t="n">
        <v>151.080002</v>
      </c>
      <c r="E948" s="9" t="n">
        <v>149.139999</v>
      </c>
      <c r="F948" s="9" t="n">
        <v>150.029999</v>
      </c>
      <c r="G948" s="9" t="n">
        <v>147.322647</v>
      </c>
      <c r="H948" s="9" t="n">
        <v>147.322647</v>
      </c>
      <c r="I948" s="2" t="str">
        <f aca="false">IF(COUNT(C948:F948)&lt;4,"",IF(OR(D948&lt;MAX(C948,F948)-0.000001,E948&gt;MIN(C948,F948)+0.000001),"FAIL","OK"))</f>
        <v>OK</v>
      </c>
      <c r="J948" s="10" t="n">
        <f aca="false">IF(COUNT(F948,G948)&lt;2,"",G948/F948)</f>
        <v>0.981954595627238</v>
      </c>
      <c r="K948" s="10" t="n">
        <f aca="false">H948/H947-1</f>
        <v>-0.00232747022313884</v>
      </c>
      <c r="L948" s="10" t="n">
        <f aca="false">H953/H948-1</f>
        <v>-0.00613209861753283</v>
      </c>
      <c r="M948" s="10" t="n">
        <f aca="false">IF(COUNT(B889:B948)&lt;60,"",(B948-AVERAGE(B889:B948))/STDEV(B889:B948))</f>
        <v>-1.45120737963225</v>
      </c>
      <c r="N948" s="10" t="n">
        <f aca="false">(H948-AVERAGE(H889:H948))/STDEV(H889:H948)</f>
        <v>-0.73680206701242</v>
      </c>
      <c r="O948" s="10" t="n">
        <f aca="false">IF(COUNT(B948)=0,"",B948-('Signal Analysis'!$C$6+'Signal Analysis'!$C$5*H948))</f>
        <v>-0.46560904368684</v>
      </c>
    </row>
    <row r="949" customFormat="false" ht="15" hidden="false" customHeight="false" outlineLevel="0" collapsed="false">
      <c r="A949" s="8" t="n">
        <v>43700</v>
      </c>
      <c r="B949" s="9" t="n">
        <v>17.28161688</v>
      </c>
      <c r="C949" s="9" t="n">
        <v>149.220001</v>
      </c>
      <c r="D949" s="9" t="n">
        <v>150.110001</v>
      </c>
      <c r="E949" s="9" t="n">
        <v>144.929993</v>
      </c>
      <c r="F949" s="9" t="n">
        <v>145.429993</v>
      </c>
      <c r="G949" s="9" t="n">
        <v>142.805664</v>
      </c>
      <c r="H949" s="9" t="n">
        <v>142.805664</v>
      </c>
      <c r="I949" s="2" t="str">
        <f aca="false">IF(COUNT(C949:F949)&lt;4,"",IF(OR(D949&lt;MAX(C949,F949)-0.000001,E949&gt;MIN(C949,F949)+0.000001),"FAIL","OK"))</f>
        <v>OK</v>
      </c>
      <c r="J949" s="10" t="n">
        <f aca="false">IF(COUNT(F949,G949)&lt;2,"",G949/F949)</f>
        <v>0.981954692110863</v>
      </c>
      <c r="K949" s="10" t="n">
        <f aca="false">H949/H948-1</f>
        <v>-0.0306604795120196</v>
      </c>
      <c r="L949" s="10" t="n">
        <f aca="false">H954/H949-1</f>
        <v>0.0234475993893351</v>
      </c>
      <c r="M949" s="10" t="n">
        <f aca="false">IF(COUNT(B890:B949)&lt;60,"",(B949-AVERAGE(B890:B949))/STDEV(B890:B949))</f>
        <v>-2.24162944636222</v>
      </c>
      <c r="N949" s="10" t="n">
        <f aca="false">(H949-AVERAGE(H890:H949))/STDEV(H890:H949)</f>
        <v>-2.09474477201228</v>
      </c>
      <c r="O949" s="10" t="n">
        <f aca="false">IF(COUNT(B949)=0,"",B949-('Signal Analysis'!$C$6+'Signal Analysis'!$C$5*H949))</f>
        <v>-0.455366646730145</v>
      </c>
    </row>
    <row r="950" customFormat="false" ht="15" hidden="false" customHeight="false" outlineLevel="0" collapsed="false">
      <c r="A950" s="8" t="n">
        <v>43703</v>
      </c>
      <c r="B950" s="9" t="n">
        <v>18.46589748</v>
      </c>
      <c r="C950" s="9" t="n">
        <v>146.800003</v>
      </c>
      <c r="D950" s="9" t="n">
        <v>147.050003</v>
      </c>
      <c r="E950" s="9" t="n">
        <v>145.710007</v>
      </c>
      <c r="F950" s="9" t="n">
        <v>147.029999</v>
      </c>
      <c r="G950" s="9" t="n">
        <v>144.376801</v>
      </c>
      <c r="H950" s="9" t="n">
        <v>144.376801</v>
      </c>
      <c r="I950" s="2" t="str">
        <f aca="false">IF(COUNT(C950:F950)&lt;4,"",IF(OR(D950&lt;MAX(C950,F950)-0.000001,E950&gt;MIN(C950,F950)+0.000001),"FAIL","OK"))</f>
        <v>OK</v>
      </c>
      <c r="J950" s="10" t="n">
        <f aca="false">IF(COUNT(F950,G950)&lt;2,"",G950/F950)</f>
        <v>0.981954716601746</v>
      </c>
      <c r="K950" s="10" t="n">
        <f aca="false">H950/H949-1</f>
        <v>0.0110019235651606</v>
      </c>
      <c r="L950" s="10" t="n">
        <f aca="false">H955/H950-1</f>
        <v>-0.0025165192571347</v>
      </c>
      <c r="M950" s="10" t="n">
        <f aca="false">IF(COUNT(B891:B950)&lt;60,"",(B950-AVERAGE(B891:B950))/STDEV(B891:B950))</f>
        <v>-0.477095770742507</v>
      </c>
      <c r="N950" s="10" t="n">
        <f aca="false">(H950-AVERAGE(H891:H950))/STDEV(H891:H950)</f>
        <v>-1.64932801365731</v>
      </c>
      <c r="O950" s="10" t="n">
        <f aca="false">IF(COUNT(B950)=0,"",B950-('Signal Analysis'!$C$6+'Signal Analysis'!$C$5*H950))</f>
        <v>0.513994308753318</v>
      </c>
    </row>
    <row r="951" customFormat="false" ht="15" hidden="false" customHeight="false" outlineLevel="0" collapsed="false">
      <c r="A951" s="8" t="n">
        <v>43704</v>
      </c>
      <c r="B951" s="9" t="n">
        <v>18.8093874696</v>
      </c>
      <c r="C951" s="9" t="n">
        <v>147.960007</v>
      </c>
      <c r="D951" s="9" t="n">
        <v>148.020004</v>
      </c>
      <c r="E951" s="9" t="n">
        <v>144.679993</v>
      </c>
      <c r="F951" s="9" t="n">
        <v>144.850006</v>
      </c>
      <c r="G951" s="9" t="n">
        <v>142.23613</v>
      </c>
      <c r="H951" s="9" t="n">
        <v>142.23613</v>
      </c>
      <c r="I951" s="2" t="str">
        <f aca="false">IF(COUNT(C951:F951)&lt;4,"",IF(OR(D951&lt;MAX(C951,F951)-0.000001,E951&gt;MIN(C951,F951)+0.000001),"FAIL","OK"))</f>
        <v>OK</v>
      </c>
      <c r="J951" s="10" t="n">
        <f aca="false">IF(COUNT(F951,G951)&lt;2,"",G951/F951)</f>
        <v>0.981954602059181</v>
      </c>
      <c r="K951" s="10" t="n">
        <f aca="false">H951/H950-1</f>
        <v>-0.0148269734830875</v>
      </c>
      <c r="L951" s="10" t="n">
        <f aca="false">H956/H951-1</f>
        <v>0.0206418720756814</v>
      </c>
      <c r="M951" s="10" t="n">
        <f aca="false">IF(COUNT(B892:B951)&lt;60,"",(B951-AVERAGE(B892:B951))/STDEV(B892:B951))</f>
        <v>0.0261896437739446</v>
      </c>
      <c r="N951" s="10" t="n">
        <f aca="false">(H951-AVERAGE(H892:H951))/STDEV(H892:H951)</f>
        <v>-2.28409594537699</v>
      </c>
      <c r="O951" s="10" t="n">
        <f aca="false">IF(COUNT(B951)=0,"",B951-('Signal Analysis'!$C$6+'Signal Analysis'!$C$5*H951))</f>
        <v>1.15031188140105</v>
      </c>
    </row>
    <row r="952" customFormat="false" ht="15" hidden="false" customHeight="false" outlineLevel="0" collapsed="false">
      <c r="A952" s="8" t="n">
        <v>43705</v>
      </c>
      <c r="B952" s="9" t="n">
        <v>17.8400348484</v>
      </c>
      <c r="C952" s="9" t="n">
        <v>144.559998</v>
      </c>
      <c r="D952" s="9" t="n">
        <v>147.389999</v>
      </c>
      <c r="E952" s="9" t="n">
        <v>144.25</v>
      </c>
      <c r="F952" s="9" t="n">
        <v>146.539993</v>
      </c>
      <c r="G952" s="9" t="n">
        <v>143.89563</v>
      </c>
      <c r="H952" s="9" t="n">
        <v>143.89563</v>
      </c>
      <c r="I952" s="2" t="str">
        <f aca="false">IF(COUNT(C952:F952)&lt;4,"",IF(OR(D952&lt;MAX(C952,F952)-0.000001,E952&gt;MIN(C952,F952)+0.000001),"FAIL","OK"))</f>
        <v>OK</v>
      </c>
      <c r="J952" s="10" t="n">
        <f aca="false">IF(COUNT(F952,G952)&lt;2,"",G952/F952)</f>
        <v>0.981954666805532</v>
      </c>
      <c r="K952" s="10" t="n">
        <f aca="false">H952/H951-1</f>
        <v>0.0116672184486459</v>
      </c>
      <c r="L952" s="10" t="n">
        <f aca="false">H957/H952-1</f>
        <v>0.0276374828061143</v>
      </c>
      <c r="M952" s="10" t="n">
        <f aca="false">IF(COUNT(B893:B952)&lt;60,"",(B952-AVERAGE(B893:B952))/STDEV(B893:B952))</f>
        <v>-1.35554539754864</v>
      </c>
      <c r="N952" s="10" t="n">
        <f aca="false">(H952-AVERAGE(H893:H952))/STDEV(H893:H952)</f>
        <v>-1.7233289233903</v>
      </c>
      <c r="O952" s="10" t="n">
        <f aca="false">IF(COUNT(B952)=0,"",B952-('Signal Analysis'!$C$6+'Signal Analysis'!$C$5*H952))</f>
        <v>-0.0460477736064391</v>
      </c>
    </row>
    <row r="953" customFormat="false" ht="15" hidden="false" customHeight="false" outlineLevel="0" collapsed="false">
      <c r="A953" s="8" t="n">
        <v>43706</v>
      </c>
      <c r="B953" s="9" t="n">
        <v>19.5112721076</v>
      </c>
      <c r="C953" s="9" t="n">
        <v>148.149994</v>
      </c>
      <c r="D953" s="9" t="n">
        <v>149.289993</v>
      </c>
      <c r="E953" s="9" t="n">
        <v>147.960007</v>
      </c>
      <c r="F953" s="9" t="n">
        <v>149.110001</v>
      </c>
      <c r="G953" s="9" t="n">
        <v>146.41925</v>
      </c>
      <c r="H953" s="9" t="n">
        <v>146.41925</v>
      </c>
      <c r="I953" s="2" t="str">
        <f aca="false">IF(COUNT(C953:F953)&lt;4,"",IF(OR(D953&lt;MAX(C953,F953)-0.000001,E953&gt;MIN(C953,F953)+0.000001),"FAIL","OK"))</f>
        <v>OK</v>
      </c>
      <c r="J953" s="10" t="n">
        <f aca="false">IF(COUNT(F953,G953)&lt;2,"",G953/F953)</f>
        <v>0.98195459069174</v>
      </c>
      <c r="K953" s="10" t="n">
        <f aca="false">H953/H952-1</f>
        <v>0.017537850176548</v>
      </c>
      <c r="L953" s="10" t="n">
        <f aca="false">H958/H953-1</f>
        <v>0.00529818995794606</v>
      </c>
      <c r="M953" s="10" t="n">
        <f aca="false">IF(COUNT(B894:B953)&lt;60,"",(B953-AVERAGE(B894:B953))/STDEV(B894:B953))</f>
        <v>1.07071393412113</v>
      </c>
      <c r="N953" s="10" t="n">
        <f aca="false">(H953-AVERAGE(H894:H953))/STDEV(H894:H953)</f>
        <v>-0.957979677741252</v>
      </c>
      <c r="O953" s="10" t="n">
        <f aca="false">IF(COUNT(B953)=0,"",B953-('Signal Analysis'!$C$6+'Signal Analysis'!$C$5*H953))</f>
        <v>1.27997737914147</v>
      </c>
    </row>
    <row r="954" customFormat="false" ht="15" hidden="false" customHeight="false" outlineLevel="0" collapsed="false">
      <c r="A954" s="8" t="n">
        <v>43707</v>
      </c>
      <c r="B954" s="9" t="n">
        <v>18.310136076</v>
      </c>
      <c r="C954" s="9" t="n">
        <v>149.889999</v>
      </c>
      <c r="D954" s="9" t="n">
        <v>149.970001</v>
      </c>
      <c r="E954" s="9" t="n">
        <v>148.039993</v>
      </c>
      <c r="F954" s="9" t="n">
        <v>148.839996</v>
      </c>
      <c r="G954" s="9" t="n">
        <v>146.154114</v>
      </c>
      <c r="H954" s="9" t="n">
        <v>146.154114</v>
      </c>
      <c r="I954" s="2" t="str">
        <f aca="false">IF(COUNT(C954:F954)&lt;4,"",IF(OR(D954&lt;MAX(C954,F954)-0.000001,E954&gt;MIN(C954,F954)+0.000001),"FAIL","OK"))</f>
        <v>OK</v>
      </c>
      <c r="J954" s="10" t="n">
        <f aca="false">IF(COUNT(F954,G954)&lt;2,"",G954/F954)</f>
        <v>0.981954568179376</v>
      </c>
      <c r="K954" s="10" t="n">
        <f aca="false">H954/H953-1</f>
        <v>-0.00181080015093649</v>
      </c>
      <c r="L954" s="10" t="n">
        <f aca="false">H959/H954-1</f>
        <v>0.0206263985152002</v>
      </c>
      <c r="M954" s="10" t="n">
        <f aca="false">IF(COUNT(B895:B954)&lt;60,"",(B954-AVERAGE(B895:B954))/STDEV(B895:B954))</f>
        <v>-0.677510502843599</v>
      </c>
      <c r="N954" s="10" t="n">
        <f aca="false">(H954-AVERAGE(H895:H954))/STDEV(H895:H954)</f>
        <v>-1.03335126717467</v>
      </c>
      <c r="O954" s="10" t="n">
        <f aca="false">IF(COUNT(B954)=0,"",B954-('Signal Analysis'!$C$6+'Signal Analysis'!$C$5*H954))</f>
        <v>0.115109944658425</v>
      </c>
    </row>
    <row r="955" customFormat="false" ht="15" hidden="false" customHeight="false" outlineLevel="0" collapsed="false">
      <c r="A955" s="8" t="n">
        <v>43711</v>
      </c>
      <c r="B955" s="9" t="n">
        <v>18.5000244</v>
      </c>
      <c r="C955" s="9" t="n">
        <v>147.449997</v>
      </c>
      <c r="D955" s="9" t="n">
        <v>148.320007</v>
      </c>
      <c r="E955" s="9" t="n">
        <v>146</v>
      </c>
      <c r="F955" s="9" t="n">
        <v>146.660004</v>
      </c>
      <c r="G955" s="9" t="n">
        <v>144.013474</v>
      </c>
      <c r="H955" s="9" t="n">
        <v>144.013474</v>
      </c>
      <c r="I955" s="2" t="str">
        <f aca="false">IF(COUNT(C955:F955)&lt;4,"",IF(OR(D955&lt;MAX(C955,F955)-0.000001,E955&gt;MIN(C955,F955)+0.000001),"FAIL","OK"))</f>
        <v>OK</v>
      </c>
      <c r="J955" s="10" t="n">
        <f aca="false">IF(COUNT(F955,G955)&lt;2,"",G955/F955)</f>
        <v>0.981954657522033</v>
      </c>
      <c r="K955" s="10" t="n">
        <f aca="false">H955/H954-1</f>
        <v>-0.014646457368966</v>
      </c>
      <c r="L955" s="10" t="n">
        <f aca="false">H960/H955-1</f>
        <v>0.0490249683165063</v>
      </c>
      <c r="M955" s="10" t="n">
        <f aca="false">IF(COUNT(B896:B955)&lt;60,"",(B955-AVERAGE(B896:B955))/STDEV(B896:B955))</f>
        <v>-0.401860108479721</v>
      </c>
      <c r="N955" s="10" t="n">
        <f aca="false">(H955-AVERAGE(H896:H955))/STDEV(H896:H955)</f>
        <v>-1.62416967631039</v>
      </c>
      <c r="O955" s="10" t="n">
        <f aca="false">IF(COUNT(B955)=0,"",B955-('Signal Analysis'!$C$6+'Signal Analysis'!$C$5*H955))</f>
        <v>0.597821611140891</v>
      </c>
    </row>
    <row r="956" customFormat="false" ht="15" hidden="false" customHeight="false" outlineLevel="0" collapsed="false">
      <c r="A956" s="8" t="n">
        <v>43712</v>
      </c>
      <c r="B956" s="9" t="n">
        <v>19.8000691464</v>
      </c>
      <c r="C956" s="9" t="n">
        <v>148.009995</v>
      </c>
      <c r="D956" s="9" t="n">
        <v>148.360001</v>
      </c>
      <c r="E956" s="9" t="n">
        <v>147.179993</v>
      </c>
      <c r="F956" s="9" t="n">
        <v>147.839996</v>
      </c>
      <c r="G956" s="9" t="n">
        <v>145.17215</v>
      </c>
      <c r="H956" s="9" t="n">
        <v>145.17215</v>
      </c>
      <c r="I956" s="2" t="str">
        <f aca="false">IF(COUNT(C956:F956)&lt;4,"",IF(OR(D956&lt;MAX(C956,F956)-0.000001,E956&gt;MIN(C956,F956)+0.000001),"FAIL","OK"))</f>
        <v>OK</v>
      </c>
      <c r="J956" s="10" t="n">
        <f aca="false">IF(COUNT(F956,G956)&lt;2,"",G956/F956)</f>
        <v>0.981954504381886</v>
      </c>
      <c r="K956" s="10" t="n">
        <f aca="false">H956/H955-1</f>
        <v>0.00804560828801337</v>
      </c>
      <c r="L956" s="10" t="n">
        <f aca="false">H961/H956-1</f>
        <v>0.0619589914456733</v>
      </c>
      <c r="M956" s="10" t="n">
        <f aca="false">IF(COUNT(B897:B956)&lt;60,"",(B956-AVERAGE(B897:B956))/STDEV(B897:B956))</f>
        <v>1.44736686224091</v>
      </c>
      <c r="N956" s="10" t="n">
        <f aca="false">(H956-AVERAGE(H897:H956))/STDEV(H897:H956)</f>
        <v>-1.25119821646205</v>
      </c>
      <c r="O956" s="10" t="n">
        <f aca="false">IF(COUNT(B956)=0,"",B956-('Signal Analysis'!$C$6+'Signal Analysis'!$C$5*H956))</f>
        <v>1.7393682545557</v>
      </c>
    </row>
    <row r="957" customFormat="false" ht="15" hidden="false" customHeight="false" outlineLevel="0" collapsed="false">
      <c r="A957" s="8" t="n">
        <v>43713</v>
      </c>
      <c r="B957" s="9" t="n">
        <v>18.53655396</v>
      </c>
      <c r="C957" s="9" t="n">
        <v>149.850006</v>
      </c>
      <c r="D957" s="9" t="n">
        <v>151.910004</v>
      </c>
      <c r="E957" s="9" t="n">
        <v>149.369995</v>
      </c>
      <c r="F957" s="9" t="n">
        <v>150.589996</v>
      </c>
      <c r="G957" s="9" t="n">
        <v>147.872543</v>
      </c>
      <c r="H957" s="9" t="n">
        <v>147.872543</v>
      </c>
      <c r="I957" s="2" t="str">
        <f aca="false">IF(COUNT(C957:F957)&lt;4,"",IF(OR(D957&lt;MAX(C957,F957)-0.000001,E957&gt;MIN(C957,F957)+0.000001),"FAIL","OK"))</f>
        <v>OK</v>
      </c>
      <c r="J957" s="10" t="n">
        <f aca="false">IF(COUNT(F957,G957)&lt;2,"",G957/F957)</f>
        <v>0.981954624661787</v>
      </c>
      <c r="K957" s="10" t="n">
        <f aca="false">H957/H956-1</f>
        <v>0.0186013157482343</v>
      </c>
      <c r="L957" s="10" t="n">
        <f aca="false">H962/H957-1</f>
        <v>0.0428315011800398</v>
      </c>
      <c r="M957" s="10" t="n">
        <f aca="false">IF(COUNT(B898:B957)&lt;60,"",(B957-AVERAGE(B898:B957))/STDEV(B898:B957))</f>
        <v>-0.346933588564855</v>
      </c>
      <c r="N957" s="10" t="n">
        <f aca="false">(H957-AVERAGE(H898:H957))/STDEV(H898:H957)</f>
        <v>-0.466646266027239</v>
      </c>
      <c r="O957" s="10" t="n">
        <f aca="false">IF(COUNT(B957)=0,"",B957-('Signal Analysis'!$C$6+'Signal Analysis'!$C$5*H957))</f>
        <v>0.106459753877605</v>
      </c>
    </row>
    <row r="958" customFormat="false" ht="15" hidden="false" customHeight="false" outlineLevel="0" collapsed="false">
      <c r="A958" s="8" t="n">
        <v>43714</v>
      </c>
      <c r="B958" s="9" t="n">
        <v>18.9781988256</v>
      </c>
      <c r="C958" s="9" t="n">
        <v>150.699997</v>
      </c>
      <c r="D958" s="9" t="n">
        <v>151.229996</v>
      </c>
      <c r="E958" s="9" t="n">
        <v>149.830002</v>
      </c>
      <c r="F958" s="9" t="n">
        <v>149.899994</v>
      </c>
      <c r="G958" s="9" t="n">
        <v>147.195007</v>
      </c>
      <c r="H958" s="9" t="n">
        <v>147.195007</v>
      </c>
      <c r="I958" s="2" t="str">
        <f aca="false">IF(COUNT(C958:F958)&lt;4,"",IF(OR(D958&lt;MAX(C958,F958)-0.000001,E958&gt;MIN(C958,F958)+0.000001),"FAIL","OK"))</f>
        <v>OK</v>
      </c>
      <c r="J958" s="10" t="n">
        <f aca="false">IF(COUNT(F958,G958)&lt;2,"",G958/F958)</f>
        <v>0.981954722426473</v>
      </c>
      <c r="K958" s="10" t="n">
        <f aca="false">H958/H957-1</f>
        <v>-0.00458189185263425</v>
      </c>
      <c r="L958" s="10" t="n">
        <f aca="false">H963/H958-1</f>
        <v>0.0494328995819811</v>
      </c>
      <c r="M958" s="10" t="n">
        <f aca="false">IF(COUNT(B899:B958)&lt;60,"",(B958-AVERAGE(B899:B958))/STDEV(B899:B958))</f>
        <v>0.303180035098065</v>
      </c>
      <c r="N958" s="10" t="n">
        <f aca="false">(H958-AVERAGE(H899:H958))/STDEV(H899:H958)</f>
        <v>-0.656548636728124</v>
      </c>
      <c r="O958" s="10" t="n">
        <f aca="false">IF(COUNT(B958)=0,"",B958-('Signal Analysis'!$C$6+'Signal Analysis'!$C$5*H958))</f>
        <v>0.640786413787815</v>
      </c>
    </row>
    <row r="959" customFormat="false" ht="15" hidden="false" customHeight="false" outlineLevel="0" collapsed="false">
      <c r="A959" s="8" t="n">
        <v>43717</v>
      </c>
      <c r="B959" s="9" t="n">
        <v>19.6712308152</v>
      </c>
      <c r="C959" s="9" t="n">
        <v>150.570007</v>
      </c>
      <c r="D959" s="9" t="n">
        <v>152.240005</v>
      </c>
      <c r="E959" s="9" t="n">
        <v>150.059998</v>
      </c>
      <c r="F959" s="9" t="n">
        <v>151.910004</v>
      </c>
      <c r="G959" s="9" t="n">
        <v>149.168747</v>
      </c>
      <c r="H959" s="9" t="n">
        <v>149.168747</v>
      </c>
      <c r="I959" s="2" t="str">
        <f aca="false">IF(COUNT(C959:F959)&lt;4,"",IF(OR(D959&lt;MAX(C959,F959)-0.000001,E959&gt;MIN(C959,F959)+0.000001),"FAIL","OK"))</f>
        <v>OK</v>
      </c>
      <c r="J959" s="10" t="n">
        <f aca="false">IF(COUNT(F959,G959)&lt;2,"",G959/F959)</f>
        <v>0.981954730249365</v>
      </c>
      <c r="K959" s="10" t="n">
        <f aca="false">H959/H958-1</f>
        <v>0.0134090146141981</v>
      </c>
      <c r="L959" s="10" t="n">
        <f aca="false">H964/H959-1</f>
        <v>0.0394311618103222</v>
      </c>
      <c r="M959" s="10" t="n">
        <f aca="false">IF(COUNT(B900:B959)&lt;60,"",(B959-AVERAGE(B900:B959))/STDEV(B900:B959))</f>
        <v>1.26922297256939</v>
      </c>
      <c r="N959" s="10" t="n">
        <f aca="false">(H959-AVERAGE(H900:H959))/STDEV(H900:H959)</f>
        <v>-0.0826006166967067</v>
      </c>
      <c r="O959" s="10" t="n">
        <f aca="false">IF(COUNT(B959)=0,"",B959-('Signal Analysis'!$C$6+'Signal Analysis'!$C$5*H959))</f>
        <v>1.06382571709243</v>
      </c>
    </row>
    <row r="960" customFormat="false" ht="15" hidden="false" customHeight="false" outlineLevel="0" collapsed="false">
      <c r="A960" s="8" t="n">
        <v>43718</v>
      </c>
      <c r="B960" s="9" t="n">
        <v>18.9967688676</v>
      </c>
      <c r="C960" s="9" t="n">
        <v>151.679993</v>
      </c>
      <c r="D960" s="9" t="n">
        <v>153.949997</v>
      </c>
      <c r="E960" s="9" t="n">
        <v>150.889999</v>
      </c>
      <c r="F960" s="9" t="n">
        <v>153.850006</v>
      </c>
      <c r="G960" s="9" t="n">
        <v>151.07373</v>
      </c>
      <c r="H960" s="9" t="n">
        <v>151.07373</v>
      </c>
      <c r="I960" s="2" t="str">
        <f aca="false">IF(COUNT(C960:F960)&lt;4,"",IF(OR(D960&lt;MAX(C960,F960)-0.000001,E960&gt;MIN(C960,F960)+0.000001),"FAIL","OK"))</f>
        <v>OK</v>
      </c>
      <c r="J960" s="10" t="n">
        <f aca="false">IF(COUNT(F960,G960)&lt;2,"",G960/F960)</f>
        <v>0.981954657837322</v>
      </c>
      <c r="K960" s="10" t="n">
        <f aca="false">H960/H959-1</f>
        <v>0.0127706576498898</v>
      </c>
      <c r="L960" s="10" t="n">
        <f aca="false">H965/H960-1</f>
        <v>0.0236593814159483</v>
      </c>
      <c r="M960" s="10" t="n">
        <f aca="false">IF(COUNT(B901:B960)&lt;60,"",(B960-AVERAGE(B901:B960))/STDEV(B901:B960))</f>
        <v>0.301824904260506</v>
      </c>
      <c r="N960" s="10" t="n">
        <f aca="false">(H960-AVERAGE(H901:H960))/STDEV(H901:H960)</f>
        <v>0.455459882130855</v>
      </c>
      <c r="O960" s="10" t="n">
        <f aca="false">IF(COUNT(B960)=0,"",B960-('Signal Analysis'!$C$6+'Signal Analysis'!$C$5*H960))</f>
        <v>0.128776520150048</v>
      </c>
    </row>
    <row r="961" customFormat="false" ht="15" hidden="false" customHeight="false" outlineLevel="0" collapsed="false">
      <c r="A961" s="8" t="n">
        <v>43719</v>
      </c>
      <c r="B961" s="9" t="n">
        <v>19.271605374</v>
      </c>
      <c r="C961" s="9" t="n">
        <v>154.520004</v>
      </c>
      <c r="D961" s="9" t="n">
        <v>157.160004</v>
      </c>
      <c r="E961" s="9" t="n">
        <v>153.559998</v>
      </c>
      <c r="F961" s="9" t="n">
        <v>157</v>
      </c>
      <c r="G961" s="9" t="n">
        <v>154.16687</v>
      </c>
      <c r="H961" s="9" t="n">
        <v>154.16687</v>
      </c>
      <c r="I961" s="2" t="str">
        <f aca="false">IF(COUNT(C961:F961)&lt;4,"",IF(OR(D961&lt;MAX(C961,F961)-0.000001,E961&gt;MIN(C961,F961)+0.000001),"FAIL","OK"))</f>
        <v>OK</v>
      </c>
      <c r="J961" s="10" t="n">
        <f aca="false">IF(COUNT(F961,G961)&lt;2,"",G961/F961)</f>
        <v>0.981954585987261</v>
      </c>
      <c r="K961" s="10" t="n">
        <f aca="false">H961/H960-1</f>
        <v>0.0204743736717163</v>
      </c>
      <c r="L961" s="10" t="n">
        <f aca="false">H966/H961-1</f>
        <v>-0.0030572651569043</v>
      </c>
      <c r="M961" s="10" t="n">
        <f aca="false">IF(COUNT(B902:B961)&lt;60,"",(B961-AVERAGE(B902:B961))/STDEV(B902:B961))</f>
        <v>0.686881004895906</v>
      </c>
      <c r="N961" s="10" t="n">
        <f aca="false">(H961-AVERAGE(H902:H961))/STDEV(H902:H961)</f>
        <v>1.30714519387957</v>
      </c>
      <c r="O961" s="10" t="n">
        <f aca="false">IF(COUNT(B961)=0,"",B961-('Signal Analysis'!$C$6+'Signal Analysis'!$C$5*H961))</f>
        <v>-0.0195051033392417</v>
      </c>
    </row>
    <row r="962" customFormat="false" ht="15" hidden="false" customHeight="false" outlineLevel="0" collapsed="false">
      <c r="A962" s="8" t="n">
        <v>43720</v>
      </c>
      <c r="B962" s="9" t="n">
        <v>18.8644764504</v>
      </c>
      <c r="C962" s="9" t="n">
        <v>157.179993</v>
      </c>
      <c r="D962" s="9" t="n">
        <v>157.899994</v>
      </c>
      <c r="E962" s="9" t="n">
        <v>155.570007</v>
      </c>
      <c r="F962" s="9" t="n">
        <v>157.039993</v>
      </c>
      <c r="G962" s="9" t="n">
        <v>154.206146</v>
      </c>
      <c r="H962" s="9" t="n">
        <v>154.206146</v>
      </c>
      <c r="I962" s="2" t="str">
        <f aca="false">IF(COUNT(C962:F962)&lt;4,"",IF(OR(D962&lt;MAX(C962,F962)-0.000001,E962&gt;MIN(C962,F962)+0.000001),"FAIL","OK"))</f>
        <v>OK</v>
      </c>
      <c r="J962" s="10" t="n">
        <f aca="false">IF(COUNT(F962,G962)&lt;2,"",G962/F962)</f>
        <v>0.98195461585381</v>
      </c>
      <c r="K962" s="10" t="n">
        <f aca="false">H962/H961-1</f>
        <v>0.000254762907231587</v>
      </c>
      <c r="L962" s="10" t="n">
        <f aca="false">H967/H962-1</f>
        <v>-0.00815075814163713</v>
      </c>
      <c r="M962" s="10" t="n">
        <f aca="false">IF(COUNT(B903:B962)&lt;60,"",(B962-AVERAGE(B903:B962))/STDEV(B903:B962))</f>
        <v>0.120362824402062</v>
      </c>
      <c r="N962" s="10" t="n">
        <f aca="false">(H962-AVERAGE(H903:H962))/STDEV(H903:H962)</f>
        <v>1.28789770715097</v>
      </c>
      <c r="O962" s="10" t="n">
        <f aca="false">IF(COUNT(B962)=0,"",B962-('Signal Analysis'!$C$6+'Signal Analysis'!$C$5*H962))</f>
        <v>-0.432006686330517</v>
      </c>
    </row>
    <row r="963" customFormat="false" ht="15" hidden="false" customHeight="false" outlineLevel="0" collapsed="false">
      <c r="A963" s="8" t="n">
        <v>43721</v>
      </c>
      <c r="B963" s="9" t="n">
        <v>19.581946308</v>
      </c>
      <c r="C963" s="9" t="n">
        <v>157.850006</v>
      </c>
      <c r="D963" s="9" t="n">
        <v>158.919998</v>
      </c>
      <c r="E963" s="9" t="n">
        <v>157.130005</v>
      </c>
      <c r="F963" s="9" t="n">
        <v>157.309998</v>
      </c>
      <c r="G963" s="9" t="n">
        <v>154.471283</v>
      </c>
      <c r="H963" s="9" t="n">
        <v>154.471283</v>
      </c>
      <c r="I963" s="2" t="str">
        <f aca="false">IF(COUNT(C963:F963)&lt;4,"",IF(OR(D963&lt;MAX(C963,F963)-0.000001,E963&gt;MIN(C963,F963)+0.000001),"FAIL","OK"))</f>
        <v>OK</v>
      </c>
      <c r="J963" s="10" t="n">
        <f aca="false">IF(COUNT(F963,G963)&lt;2,"",G963/F963)</f>
        <v>0.981954643467734</v>
      </c>
      <c r="K963" s="10" t="n">
        <f aca="false">H963/H962-1</f>
        <v>0.00171936726828004</v>
      </c>
      <c r="L963" s="10" t="n">
        <f aca="false">H968/H963-1</f>
        <v>-0.0119508879847913</v>
      </c>
      <c r="M963" s="10" t="n">
        <f aca="false">IF(COUNT(B904:B963)&lt;60,"",(B963-AVERAGE(B904:B963))/STDEV(B904:B963))</f>
        <v>1.11288727467327</v>
      </c>
      <c r="N963" s="10" t="n">
        <f aca="false">(H963-AVERAGE(H904:H963))/STDEV(H904:H963)</f>
        <v>1.33313789606415</v>
      </c>
      <c r="O963" s="10" t="n">
        <f aca="false">IF(COUNT(B963)=0,"",B963-('Signal Analysis'!$C$6+'Signal Analysis'!$C$5*H963))</f>
        <v>0.249194437360099</v>
      </c>
    </row>
    <row r="964" customFormat="false" ht="15" hidden="false" customHeight="false" outlineLevel="0" collapsed="false">
      <c r="A964" s="8" t="n">
        <v>43724</v>
      </c>
      <c r="B964" s="9" t="n">
        <v>18.925885944</v>
      </c>
      <c r="C964" s="9" t="n">
        <v>156.970001</v>
      </c>
      <c r="D964" s="9" t="n">
        <v>158.75</v>
      </c>
      <c r="E964" s="9" t="n">
        <v>156.699997</v>
      </c>
      <c r="F964" s="9" t="n">
        <v>157.899994</v>
      </c>
      <c r="G964" s="9" t="n">
        <v>155.050644</v>
      </c>
      <c r="H964" s="9" t="n">
        <v>155.050644</v>
      </c>
      <c r="I964" s="2" t="str">
        <f aca="false">IF(COUNT(C964:F964)&lt;4,"",IF(OR(D964&lt;MAX(C964,F964)-0.000001,E964&gt;MIN(C964,F964)+0.000001),"FAIL","OK"))</f>
        <v>OK</v>
      </c>
      <c r="J964" s="10" t="n">
        <f aca="false">IF(COUNT(F964,G964)&lt;2,"",G964/F964)</f>
        <v>0.981954717490363</v>
      </c>
      <c r="K964" s="10" t="n">
        <f aca="false">H964/H963-1</f>
        <v>0.00375060651240911</v>
      </c>
      <c r="L964" s="10" t="n">
        <f aca="false">H969/H964-1</f>
        <v>-0.0164028599584533</v>
      </c>
      <c r="M964" s="10" t="n">
        <f aca="false">IF(COUNT(B905:B964)&lt;60,"",(B964-AVERAGE(B905:B964))/STDEV(B905:B964))</f>
        <v>0.17838538783011</v>
      </c>
      <c r="N964" s="10" t="n">
        <f aca="false">(H964-AVERAGE(H905:H964))/STDEV(H905:H964)</f>
        <v>1.46231341524338</v>
      </c>
      <c r="O964" s="10" t="n">
        <f aca="false">IF(COUNT(B964)=0,"",B964-('Signal Analysis'!$C$6+'Signal Analysis'!$C$5*H964))</f>
        <v>-0.486118124358331</v>
      </c>
    </row>
    <row r="965" customFormat="false" ht="15" hidden="false" customHeight="false" outlineLevel="0" collapsed="false">
      <c r="A965" s="8" t="n">
        <v>43725</v>
      </c>
      <c r="B965" s="9" t="n">
        <v>18.2221326</v>
      </c>
      <c r="C965" s="9" t="n">
        <v>157.360001</v>
      </c>
      <c r="D965" s="9" t="n">
        <v>157.570007</v>
      </c>
      <c r="E965" s="9" t="n">
        <v>156.449997</v>
      </c>
      <c r="F965" s="9" t="n">
        <v>157.490005</v>
      </c>
      <c r="G965" s="9" t="n">
        <v>154.648041</v>
      </c>
      <c r="H965" s="9" t="n">
        <v>154.648041</v>
      </c>
      <c r="I965" s="2" t="str">
        <f aca="false">IF(COUNT(C965:F965)&lt;4,"",IF(OR(D965&lt;MAX(C965,F965)-0.000001,E965&gt;MIN(C965,F965)+0.000001),"FAIL","OK"))</f>
        <v>OK</v>
      </c>
      <c r="J965" s="10" t="n">
        <f aca="false">IF(COUNT(F965,G965)&lt;2,"",G965/F965)</f>
        <v>0.981954638962644</v>
      </c>
      <c r="K965" s="10" t="n">
        <f aca="false">H965/H964-1</f>
        <v>-0.00259659031148563</v>
      </c>
      <c r="L965" s="10" t="n">
        <f aca="false">H970/H965-1</f>
        <v>-0.0287271469542896</v>
      </c>
      <c r="M965" s="10" t="n">
        <f aca="false">IF(COUNT(B906:B965)&lt;60,"",(B965-AVERAGE(B906:B965))/STDEV(B906:B965))</f>
        <v>-0.790304146061716</v>
      </c>
      <c r="N965" s="10" t="n">
        <f aca="false">(H965-AVERAGE(H906:H965))/STDEV(H906:H965)</f>
        <v>1.31781189815129</v>
      </c>
      <c r="O965" s="10" t="n">
        <f aca="false">IF(COUNT(B965)=0,"",B965-('Signal Analysis'!$C$6+'Signal Analysis'!$C$5*H965))</f>
        <v>-1.13479842657949</v>
      </c>
    </row>
    <row r="966" customFormat="false" ht="15" hidden="false" customHeight="false" outlineLevel="0" collapsed="false">
      <c r="A966" s="8" t="n">
        <v>43726</v>
      </c>
      <c r="B966" s="9" t="n">
        <v>18.919681704</v>
      </c>
      <c r="C966" s="9" t="n">
        <v>157.479996</v>
      </c>
      <c r="D966" s="9" t="n">
        <v>157.5</v>
      </c>
      <c r="E966" s="9" t="n">
        <v>155.070007</v>
      </c>
      <c r="F966" s="9" t="n">
        <v>156.520004</v>
      </c>
      <c r="G966" s="9" t="n">
        <v>153.695541</v>
      </c>
      <c r="H966" s="9" t="n">
        <v>153.695541</v>
      </c>
      <c r="I966" s="2" t="str">
        <f aca="false">IF(COUNT(C966:F966)&lt;4,"",IF(OR(D966&lt;MAX(C966,F966)-0.000001,E966&gt;MIN(C966,F966)+0.000001),"FAIL","OK"))</f>
        <v>OK</v>
      </c>
      <c r="J966" s="10" t="n">
        <f aca="false">IF(COUNT(F966,G966)&lt;2,"",G966/F966)</f>
        <v>0.981954619679156</v>
      </c>
      <c r="K966" s="10" t="n">
        <f aca="false">H966/H965-1</f>
        <v>-0.00615914688502273</v>
      </c>
      <c r="L966" s="10" t="n">
        <f aca="false">H971/H966-1</f>
        <v>-0.0120005823721328</v>
      </c>
      <c r="M966" s="10" t="n">
        <f aca="false">IF(COUNT(B907:B966)&lt;60,"",(B966-AVERAGE(B907:B966))/STDEV(B907:B966))</f>
        <v>0.185963253700719</v>
      </c>
      <c r="N966" s="10" t="n">
        <f aca="false">(H966-AVERAGE(H907:H966))/STDEV(H907:H966)</f>
        <v>1.03135211226102</v>
      </c>
      <c r="O966" s="10" t="n">
        <f aca="false">IF(COUNT(B966)=0,"",B966-('Signal Analysis'!$C$6+'Signal Analysis'!$C$5*H966))</f>
        <v>-0.306954535172661</v>
      </c>
    </row>
    <row r="967" customFormat="false" ht="15" hidden="false" customHeight="false" outlineLevel="0" collapsed="false">
      <c r="A967" s="8" t="n">
        <v>43727</v>
      </c>
      <c r="B967" s="9" t="n">
        <v>19.304439696</v>
      </c>
      <c r="C967" s="9" t="n">
        <v>156.800003</v>
      </c>
      <c r="D967" s="9" t="n">
        <v>157.820007</v>
      </c>
      <c r="E967" s="9" t="n">
        <v>155.529999</v>
      </c>
      <c r="F967" s="9" t="n">
        <v>155.759995</v>
      </c>
      <c r="G967" s="9" t="n">
        <v>152.949249</v>
      </c>
      <c r="H967" s="9" t="n">
        <v>152.949249</v>
      </c>
      <c r="I967" s="2" t="str">
        <f aca="false">IF(COUNT(C967:F967)&lt;4,"",IF(OR(D967&lt;MAX(C967,F967)-0.000001,E967&gt;MIN(C967,F967)+0.000001),"FAIL","OK"))</f>
        <v>OK</v>
      </c>
      <c r="J967" s="10" t="n">
        <f aca="false">IF(COUNT(F967,G967)&lt;2,"",G967/F967)</f>
        <v>0.981954634757147</v>
      </c>
      <c r="K967" s="10" t="n">
        <f aca="false">H967/H966-1</f>
        <v>-0.00485565160280077</v>
      </c>
      <c r="L967" s="10" t="n">
        <f aca="false">H972/H967-1</f>
        <v>-0.0182612534436178</v>
      </c>
      <c r="M967" s="10" t="n">
        <f aca="false">IF(COUNT(B908:B967)&lt;60,"",(B967-AVERAGE(B908:B967))/STDEV(B908:B967))</f>
        <v>0.771385582804246</v>
      </c>
      <c r="N967" s="10" t="n">
        <f aca="false">(H967-AVERAGE(H908:H967))/STDEV(H908:H967)</f>
        <v>0.807771716860675</v>
      </c>
      <c r="O967" s="10" t="n">
        <f aca="false">IF(COUNT(B967)=0,"",B967-('Signal Analysis'!$C$6+'Signal Analysis'!$C$5*H967))</f>
        <v>0.179890551298115</v>
      </c>
    </row>
    <row r="968" customFormat="false" ht="15" hidden="false" customHeight="false" outlineLevel="0" collapsed="false">
      <c r="A968" s="8" t="n">
        <v>43728</v>
      </c>
      <c r="B968" s="9" t="n">
        <v>19.5063822804</v>
      </c>
      <c r="C968" s="9" t="n">
        <v>155.639999</v>
      </c>
      <c r="D968" s="9" t="n">
        <v>156.649994</v>
      </c>
      <c r="E968" s="9" t="n">
        <v>154.449997</v>
      </c>
      <c r="F968" s="9" t="n">
        <v>155.429993</v>
      </c>
      <c r="G968" s="9" t="n">
        <v>152.625214</v>
      </c>
      <c r="H968" s="9" t="n">
        <v>152.625214</v>
      </c>
      <c r="I968" s="2" t="str">
        <f aca="false">IF(COUNT(C968:F968)&lt;4,"",IF(OR(D968&lt;MAX(C968,F968)-0.000001,E968&gt;MIN(C968,F968)+0.000001),"FAIL","OK"))</f>
        <v>OK</v>
      </c>
      <c r="J968" s="10" t="n">
        <f aca="false">IF(COUNT(F968,G968)&lt;2,"",G968/F968)</f>
        <v>0.981954711919726</v>
      </c>
      <c r="K968" s="10" t="n">
        <f aca="false">H968/H967-1</f>
        <v>-0.00211857856196473</v>
      </c>
      <c r="L968" s="10" t="n">
        <f aca="false">H973/H968-1</f>
        <v>-0.024053718935326</v>
      </c>
      <c r="M968" s="10" t="n">
        <f aca="false">IF(COUNT(B909:B968)&lt;60,"",(B968-AVERAGE(B909:B968))/STDEV(B909:B968))</f>
        <v>1.1237232946598</v>
      </c>
      <c r="N968" s="10" t="n">
        <f aca="false">(H968-AVERAGE(H909:H968))/STDEV(H909:H968)</f>
        <v>0.699684615459258</v>
      </c>
      <c r="O968" s="10" t="n">
        <f aca="false">IF(COUNT(B968)=0,"",B968-('Signal Analysis'!$C$6+'Signal Analysis'!$C$5*H968))</f>
        <v>0.426158670015568</v>
      </c>
    </row>
    <row r="969" customFormat="false" ht="15" hidden="false" customHeight="false" outlineLevel="0" collapsed="false">
      <c r="A969" s="8" t="n">
        <v>43731</v>
      </c>
      <c r="B969" s="9" t="n">
        <v>18.7726850208</v>
      </c>
      <c r="C969" s="9" t="n">
        <v>154.860001</v>
      </c>
      <c r="D969" s="9" t="n">
        <v>155.949997</v>
      </c>
      <c r="E969" s="9" t="n">
        <v>154.559998</v>
      </c>
      <c r="F969" s="9" t="n">
        <v>155.309998</v>
      </c>
      <c r="G969" s="9" t="n">
        <v>152.50737</v>
      </c>
      <c r="H969" s="9" t="n">
        <v>152.50737</v>
      </c>
      <c r="I969" s="2" t="str">
        <f aca="false">IF(COUNT(C969:F969)&lt;4,"",IF(OR(D969&lt;MAX(C969,F969)-0.000001,E969&gt;MIN(C969,F969)+0.000001),"FAIL","OK"))</f>
        <v>OK</v>
      </c>
      <c r="J969" s="10" t="n">
        <f aca="false">IF(COUNT(F969,G969)&lt;2,"",G969/F969)</f>
        <v>0.981954619560294</v>
      </c>
      <c r="K969" s="10" t="n">
        <f aca="false">H969/H968-1</f>
        <v>-0.000772113577511502</v>
      </c>
      <c r="L969" s="10" t="n">
        <f aca="false">H974/H969-1</f>
        <v>-0.022136681001056</v>
      </c>
      <c r="M969" s="10" t="n">
        <f aca="false">IF(COUNT(B910:B969)&lt;60,"",(B969-AVERAGE(B910:B969))/STDEV(B910:B969))</f>
        <v>0.0253375505721509</v>
      </c>
      <c r="N969" s="10" t="n">
        <f aca="false">(H969-AVERAGE(H910:H969))/STDEV(H910:H969)</f>
        <v>0.658847818094053</v>
      </c>
      <c r="O969" s="10" t="n">
        <f aca="false">IF(COUNT(B969)=0,"",B969-('Signal Analysis'!$C$6+'Signal Analysis'!$C$5*H969))</f>
        <v>-0.291418422731759</v>
      </c>
    </row>
    <row r="970" customFormat="false" ht="15" hidden="false" customHeight="false" outlineLevel="0" collapsed="false">
      <c r="A970" s="8" t="n">
        <v>43732</v>
      </c>
      <c r="B970" s="9" t="n">
        <v>18.6309759756</v>
      </c>
      <c r="C970" s="9" t="n">
        <v>155.149994</v>
      </c>
      <c r="D970" s="9" t="n">
        <v>155.289993</v>
      </c>
      <c r="E970" s="11" t="n">
        <v>152.429993</v>
      </c>
      <c r="F970" s="9" t="n">
        <v>152.429993</v>
      </c>
      <c r="G970" s="9" t="n">
        <v>150.205444</v>
      </c>
      <c r="H970" s="9" t="n">
        <v>150.205444</v>
      </c>
      <c r="I970" s="2" t="str">
        <f aca="false">IF(COUNT(C970:F970)&lt;4,"",IF(OR(D970&lt;MAX(C970,F970)-0.000001,E970&gt;MIN(C970,F970)+0.000001),"FAIL","OK"))</f>
        <v>OK</v>
      </c>
      <c r="J970" s="10" t="n">
        <f aca="false">IF(COUNT(F970,G970)&lt;2,"",G970/F970)</f>
        <v>0.985406093930609</v>
      </c>
      <c r="K970" s="10" t="n">
        <f aca="false">H970/H969-1</f>
        <v>-0.0150938672668738</v>
      </c>
      <c r="L970" s="10" t="n">
        <f aca="false">H975/H970-1</f>
        <v>-0.026635066569225</v>
      </c>
      <c r="M970" s="10" t="n">
        <f aca="false">IF(COUNT(B911:B970)&lt;60,"",(B970-AVERAGE(B911:B970))/STDEV(B911:B970))</f>
        <v>-0.193374807467335</v>
      </c>
      <c r="N970" s="10" t="n">
        <f aca="false">(H970-AVERAGE(H911:H970))/STDEV(H911:H970)</f>
        <v>0.0598306568739094</v>
      </c>
      <c r="O970" s="10" t="n">
        <f aca="false">IF(COUNT(B970)=0,"",B970-('Signal Analysis'!$C$6+'Signal Analysis'!$C$5*H970))</f>
        <v>-0.118241421951449</v>
      </c>
    </row>
    <row r="971" customFormat="false" ht="15" hidden="false" customHeight="false" outlineLevel="0" collapsed="false">
      <c r="A971" s="8" t="n">
        <v>43733</v>
      </c>
      <c r="B971" s="9" t="n">
        <v>17.6447696496</v>
      </c>
      <c r="C971" s="9" t="n">
        <v>152.279999</v>
      </c>
      <c r="D971" s="9" t="n">
        <v>154.360001</v>
      </c>
      <c r="E971" s="9" t="n">
        <v>151.800003</v>
      </c>
      <c r="F971" s="9" t="n">
        <v>154.100006</v>
      </c>
      <c r="G971" s="9" t="n">
        <v>151.851105</v>
      </c>
      <c r="H971" s="9" t="n">
        <v>151.851105</v>
      </c>
      <c r="I971" s="2" t="str">
        <f aca="false">IF(COUNT(C971:F971)&lt;4,"",IF(OR(D971&lt;MAX(C971,F971)-0.000001,E971&gt;MIN(C971,F971)+0.000001),"FAIL","OK"))</f>
        <v>OK</v>
      </c>
      <c r="J971" s="10" t="n">
        <f aca="false">IF(COUNT(F971,G971)&lt;2,"",G971/F971)</f>
        <v>0.985406223799887</v>
      </c>
      <c r="K971" s="10" t="n">
        <f aca="false">H971/H970-1</f>
        <v>0.0109560676109715</v>
      </c>
      <c r="L971" s="10" t="n">
        <f aca="false">H976/H971-1</f>
        <v>-0.0444517410656972</v>
      </c>
      <c r="M971" s="10" t="n">
        <f aca="false">IF(COUNT(B912:B971)&lt;60,"",(B971-AVERAGE(B912:B971))/STDEV(B912:B971))</f>
        <v>-1.62073375362534</v>
      </c>
      <c r="N971" s="10" t="n">
        <f aca="false">(H971-AVERAGE(H912:H971))/STDEV(H912:H971)</f>
        <v>0.506626674362798</v>
      </c>
      <c r="O971" s="10" t="n">
        <f aca="false">IF(COUNT(B971)=0,"",B971-('Signal Analysis'!$C$6+'Signal Analysis'!$C$5*H971))</f>
        <v>-1.32956171135166</v>
      </c>
    </row>
    <row r="972" customFormat="false" ht="15" hidden="false" customHeight="false" outlineLevel="0" collapsed="false">
      <c r="A972" s="8" t="n">
        <v>43734</v>
      </c>
      <c r="B972" s="9" t="n">
        <v>18.870109548</v>
      </c>
      <c r="C972" s="9" t="n">
        <v>153.919998</v>
      </c>
      <c r="D972" s="9" t="n">
        <v>153.919998</v>
      </c>
      <c r="E972" s="9" t="n">
        <v>151.949997</v>
      </c>
      <c r="F972" s="9" t="n">
        <v>152.380005</v>
      </c>
      <c r="G972" s="9" t="n">
        <v>150.156204</v>
      </c>
      <c r="H972" s="9" t="n">
        <v>150.156204</v>
      </c>
      <c r="I972" s="2" t="str">
        <f aca="false">IF(COUNT(C972:F972)&lt;4,"",IF(OR(D972&lt;MAX(C972,F972)-0.000001,E972&gt;MIN(C972,F972)+0.000001),"FAIL","OK"))</f>
        <v>OK</v>
      </c>
      <c r="J972" s="10" t="n">
        <f aca="false">IF(COUNT(F972,G972)&lt;2,"",G972/F972)</f>
        <v>0.985406215205204</v>
      </c>
      <c r="K972" s="10" t="n">
        <f aca="false">H972/H971-1</f>
        <v>-0.0111615980667378</v>
      </c>
      <c r="L972" s="10" t="n">
        <f aca="false">H977/H972-1</f>
        <v>-0.0304502636467821</v>
      </c>
      <c r="M972" s="10" t="n">
        <f aca="false">IF(COUNT(B913:B972)&lt;60,"",(B972-AVERAGE(B913:B972))/STDEV(B913:B972))</f>
        <v>0.204861206298391</v>
      </c>
      <c r="N972" s="10" t="n">
        <f aca="false">(H972-AVERAGE(H913:H972))/STDEV(H913:H972)</f>
        <v>0.0633158093221364</v>
      </c>
      <c r="O972" s="10" t="n">
        <f aca="false">IF(COUNT(B972)=0,"",B972-('Signal Analysis'!$C$6+'Signal Analysis'!$C$5*H972))</f>
        <v>0.127627809589665</v>
      </c>
    </row>
    <row r="973" customFormat="false" ht="15" hidden="false" customHeight="false" outlineLevel="0" collapsed="false">
      <c r="A973" s="8" t="n">
        <v>43735</v>
      </c>
      <c r="B973" s="9" t="n">
        <v>19.1893136628</v>
      </c>
      <c r="C973" s="9" t="n">
        <v>152.820007</v>
      </c>
      <c r="D973" s="9" t="n">
        <v>153.220001</v>
      </c>
      <c r="E973" s="9" t="n">
        <v>150.5</v>
      </c>
      <c r="F973" s="9" t="n">
        <v>151.160004</v>
      </c>
      <c r="G973" s="9" t="n">
        <v>148.95401</v>
      </c>
      <c r="H973" s="9" t="n">
        <v>148.95401</v>
      </c>
      <c r="I973" s="2" t="str">
        <f aca="false">IF(COUNT(C973:F973)&lt;4,"",IF(OR(D973&lt;MAX(C973,F973)-0.000001,E973&gt;MIN(C973,F973)+0.000001),"FAIL","OK"))</f>
        <v>OK</v>
      </c>
      <c r="J973" s="10" t="n">
        <f aca="false">IF(COUNT(F973,G973)&lt;2,"",G973/F973)</f>
        <v>0.985406232193537</v>
      </c>
      <c r="K973" s="10" t="n">
        <f aca="false">H973/H972-1</f>
        <v>-0.0080062892373064</v>
      </c>
      <c r="L973" s="10" t="n">
        <f aca="false">H978/H973-1</f>
        <v>-0.0133634535921524</v>
      </c>
      <c r="M973" s="10" t="n">
        <f aca="false">IF(COUNT(B914:B973)&lt;60,"",(B973-AVERAGE(B914:B973))/STDEV(B914:B973))</f>
        <v>0.671997581956282</v>
      </c>
      <c r="N973" s="10" t="n">
        <f aca="false">(H973-AVERAGE(H914:H973))/STDEV(H914:H973)</f>
        <v>-0.241022757551572</v>
      </c>
      <c r="O973" s="10" t="n">
        <f aca="false">IF(COUNT(B973)=0,"",B973-('Signal Analysis'!$C$6+'Signal Analysis'!$C$5*H973))</f>
        <v>0.611282960244537</v>
      </c>
    </row>
    <row r="974" customFormat="false" ht="15" hidden="false" customHeight="false" outlineLevel="0" collapsed="false">
      <c r="A974" s="8" t="n">
        <v>43738</v>
      </c>
      <c r="B974" s="9" t="n">
        <v>17.8382734836</v>
      </c>
      <c r="C974" s="9" t="n">
        <v>151.369995</v>
      </c>
      <c r="D974" s="9" t="n">
        <v>152.259995</v>
      </c>
      <c r="E974" s="9" t="n">
        <v>150.789993</v>
      </c>
      <c r="F974" s="9" t="n">
        <v>151.339996</v>
      </c>
      <c r="G974" s="9" t="n">
        <v>149.131363</v>
      </c>
      <c r="H974" s="9" t="n">
        <v>149.131363</v>
      </c>
      <c r="I974" s="2" t="str">
        <f aca="false">IF(COUNT(C974:F974)&lt;4,"",IF(OR(D974&lt;MAX(C974,F974)-0.000001,E974&gt;MIN(C974,F974)+0.000001),"FAIL","OK"))</f>
        <v>OK</v>
      </c>
      <c r="J974" s="10" t="n">
        <f aca="false">IF(COUNT(F974,G974)&lt;2,"",G974/F974)</f>
        <v>0.985406151325655</v>
      </c>
      <c r="K974" s="10" t="n">
        <f aca="false">H974/H973-1</f>
        <v>0.00119065609579749</v>
      </c>
      <c r="L974" s="10" t="n">
        <f aca="false">H979/H974-1</f>
        <v>-0.0162546090321725</v>
      </c>
      <c r="M974" s="10" t="n">
        <f aca="false">IF(COUNT(B915:B974)&lt;60,"",(B974-AVERAGE(B915:B974))/STDEV(B915:B974))</f>
        <v>-1.28669252366568</v>
      </c>
      <c r="N974" s="10" t="n">
        <f aca="false">(H974-AVERAGE(H915:H974))/STDEV(H915:H974)</f>
        <v>-0.173521403091335</v>
      </c>
      <c r="O974" s="10" t="n">
        <f aca="false">IF(COUNT(B974)=0,"",B974-('Signal Analysis'!$C$6+'Signal Analysis'!$C$5*H974))</f>
        <v>-0.764017766389546</v>
      </c>
    </row>
    <row r="975" customFormat="false" ht="15" hidden="false" customHeight="false" outlineLevel="0" collapsed="false">
      <c r="A975" s="8" t="n">
        <v>43739</v>
      </c>
      <c r="B975" s="9" t="n">
        <v>18.4418145768</v>
      </c>
      <c r="C975" s="9" t="n">
        <v>152.110001</v>
      </c>
      <c r="D975" s="9" t="n">
        <v>153.350006</v>
      </c>
      <c r="E975" s="9" t="n">
        <v>148.050003</v>
      </c>
      <c r="F975" s="9" t="n">
        <v>148.369995</v>
      </c>
      <c r="G975" s="9" t="n">
        <v>146.204712</v>
      </c>
      <c r="H975" s="9" t="n">
        <v>146.204712</v>
      </c>
      <c r="I975" s="2" t="str">
        <f aca="false">IF(COUNT(C975:F975)&lt;4,"",IF(OR(D975&lt;MAX(C975,F975)-0.000001,E975&gt;MIN(C975,F975)+0.000001),"FAIL","OK"))</f>
        <v>OK</v>
      </c>
      <c r="J975" s="10" t="n">
        <f aca="false">IF(COUNT(F975,G975)&lt;2,"",G975/F975)</f>
        <v>0.985406193482719</v>
      </c>
      <c r="K975" s="10" t="n">
        <f aca="false">H975/H974-1</f>
        <v>-0.0196246513216672</v>
      </c>
      <c r="L975" s="10" t="n">
        <f aca="false">H980/H975-1</f>
        <v>-0.0128731213532982</v>
      </c>
      <c r="M975" s="10" t="n">
        <f aca="false">IF(COUNT(B916:B975)&lt;60,"",(B975-AVERAGE(B916:B975))/STDEV(B916:B975))</f>
        <v>-0.369810607237308</v>
      </c>
      <c r="N975" s="10" t="n">
        <f aca="false">(H975-AVERAGE(H916:H975))/STDEV(H916:H975)</f>
        <v>-0.941442314504243</v>
      </c>
      <c r="O975" s="10" t="n">
        <f aca="false">IF(COUNT(B975)=0,"",B975-('Signal Analysis'!$C$6+'Signal Analysis'!$C$5*H975))</f>
        <v>0.239867022200457</v>
      </c>
    </row>
    <row r="976" customFormat="false" ht="15" hidden="false" customHeight="false" outlineLevel="0" collapsed="false">
      <c r="A976" s="8" t="n">
        <v>43740</v>
      </c>
      <c r="B976" s="9" t="n">
        <v>18.8651214864</v>
      </c>
      <c r="C976" s="9" t="n">
        <v>147.630005</v>
      </c>
      <c r="D976" s="9" t="n">
        <v>147.630005</v>
      </c>
      <c r="E976" s="9" t="n">
        <v>145.860001</v>
      </c>
      <c r="F976" s="9" t="n">
        <v>147.25</v>
      </c>
      <c r="G976" s="9" t="n">
        <v>145.101059</v>
      </c>
      <c r="H976" s="9" t="n">
        <v>145.101059</v>
      </c>
      <c r="I976" s="2" t="str">
        <f aca="false">IF(COUNT(C976:F976)&lt;4,"",IF(OR(D976&lt;MAX(C976,F976)-0.000001,E976&gt;MIN(C976,F976)+0.000001),"FAIL","OK"))</f>
        <v>OK</v>
      </c>
      <c r="J976" s="10" t="n">
        <f aca="false">IF(COUNT(F976,G976)&lt;2,"",G976/F976)</f>
        <v>0.985406173174873</v>
      </c>
      <c r="K976" s="10" t="n">
        <f aca="false">H976/H975-1</f>
        <v>-0.00754868283588572</v>
      </c>
      <c r="L976" s="10" t="n">
        <f aca="false">H981/H976-1</f>
        <v>-0.000814880337985602</v>
      </c>
      <c r="M976" s="10" t="n">
        <f aca="false">IF(COUNT(B917:B976)&lt;60,"",(B976-AVERAGE(B917:B976))/STDEV(B917:B976))</f>
        <v>0.268126616745424</v>
      </c>
      <c r="N976" s="10" t="n">
        <f aca="false">(H976-AVERAGE(H917:H976))/STDEV(H917:H976)</f>
        <v>-1.19935729282563</v>
      </c>
      <c r="O976" s="10" t="n">
        <f aca="false">IF(COUNT(B976)=0,"",B976-('Signal Analysis'!$C$6+'Signal Analysis'!$C$5*H976))</f>
        <v>0.814145305035009</v>
      </c>
    </row>
    <row r="977" customFormat="false" ht="15" hidden="false" customHeight="false" outlineLevel="0" collapsed="false">
      <c r="A977" s="8" t="n">
        <v>43741</v>
      </c>
      <c r="B977" s="9" t="n">
        <v>18.473858208</v>
      </c>
      <c r="C977" s="9" t="n">
        <v>146.690002</v>
      </c>
      <c r="D977" s="9" t="n">
        <v>147.940002</v>
      </c>
      <c r="E977" s="9" t="n">
        <v>144.929993</v>
      </c>
      <c r="F977" s="9" t="n">
        <v>147.740005</v>
      </c>
      <c r="G977" s="9" t="n">
        <v>145.583908</v>
      </c>
      <c r="H977" s="9" t="n">
        <v>145.583908</v>
      </c>
      <c r="I977" s="2" t="str">
        <f aca="false">IF(COUNT(C977:F977)&lt;4,"",IF(OR(D977&lt;MAX(C977,F977)-0.000001,E977&gt;MIN(C977,F977)+0.000001),"FAIL","OK"))</f>
        <v>OK</v>
      </c>
      <c r="J977" s="10" t="n">
        <f aca="false">IF(COUNT(F977,G977)&lt;2,"",G977/F977)</f>
        <v>0.985406139657299</v>
      </c>
      <c r="K977" s="10" t="n">
        <f aca="false">H977/H976-1</f>
        <v>0.00332767385247013</v>
      </c>
      <c r="L977" s="10" t="n">
        <f aca="false">H982/H977-1</f>
        <v>-0.00013531028443059</v>
      </c>
      <c r="M977" s="10" t="n">
        <f aca="false">IF(COUNT(B918:B977)&lt;60,"",(B977-AVERAGE(B918:B977))/STDEV(B918:B977))</f>
        <v>-0.309144860816969</v>
      </c>
      <c r="N977" s="10" t="n">
        <f aca="false">(H977-AVERAGE(H918:H977))/STDEV(H918:H977)</f>
        <v>-1.03370514694293</v>
      </c>
      <c r="O977" s="10" t="n">
        <f aca="false">IF(COUNT(B977)=0,"",B977-('Signal Analysis'!$C$6+'Signal Analysis'!$C$5*H977))</f>
        <v>0.356831939701042</v>
      </c>
    </row>
    <row r="978" customFormat="false" ht="15" hidden="false" customHeight="false" outlineLevel="0" collapsed="false">
      <c r="A978" s="8" t="n">
        <v>43742</v>
      </c>
      <c r="B978" s="9" t="n">
        <v>19.468118736</v>
      </c>
      <c r="C978" s="9" t="n">
        <v>147.990005</v>
      </c>
      <c r="D978" s="9" t="n">
        <v>149.25</v>
      </c>
      <c r="E978" s="9" t="n">
        <v>147.119995</v>
      </c>
      <c r="F978" s="9" t="n">
        <v>149.139999</v>
      </c>
      <c r="G978" s="9" t="n">
        <v>146.96347</v>
      </c>
      <c r="H978" s="9" t="n">
        <v>146.96347</v>
      </c>
      <c r="I978" s="2" t="str">
        <f aca="false">IF(COUNT(C978:F978)&lt;4,"",IF(OR(D978&lt;MAX(C978,F978)-0.000001,E978&gt;MIN(C978,F978)+0.000001),"FAIL","OK"))</f>
        <v>OK</v>
      </c>
      <c r="J978" s="10" t="n">
        <f aca="false">IF(COUNT(F978,G978)&lt;2,"",G978/F978)</f>
        <v>0.98540613507715</v>
      </c>
      <c r="K978" s="10" t="n">
        <f aca="false">H978/H977-1</f>
        <v>0.00947606104927479</v>
      </c>
      <c r="L978" s="10" t="n">
        <f aca="false">H983/H978-1</f>
        <v>0.00724152743535522</v>
      </c>
      <c r="M978" s="10" t="n">
        <f aca="false">IF(COUNT(B919:B978)&lt;60,"",(B978-AVERAGE(B919:B978))/STDEV(B919:B978))</f>
        <v>1.22339306292676</v>
      </c>
      <c r="N978" s="10" t="n">
        <f aca="false">(H978-AVERAGE(H919:H978))/STDEV(H919:H978)</f>
        <v>-0.639239382291697</v>
      </c>
      <c r="O978" s="10" t="n">
        <f aca="false">IF(COUNT(B978)=0,"",B978-('Signal Analysis'!$C$6+'Signal Analysis'!$C$5*H978))</f>
        <v>1.16237883252568</v>
      </c>
    </row>
    <row r="979" customFormat="false" ht="15" hidden="false" customHeight="false" outlineLevel="0" collapsed="false">
      <c r="A979" s="8" t="n">
        <v>43745</v>
      </c>
      <c r="B979" s="9" t="n">
        <v>18.4387263624</v>
      </c>
      <c r="C979" s="9" t="n">
        <v>148.779999</v>
      </c>
      <c r="D979" s="9" t="n">
        <v>150.070007</v>
      </c>
      <c r="E979" s="9" t="n">
        <v>148.119995</v>
      </c>
      <c r="F979" s="9" t="n">
        <v>148.880005</v>
      </c>
      <c r="G979" s="9" t="n">
        <v>146.707291</v>
      </c>
      <c r="H979" s="9" t="n">
        <v>146.707291</v>
      </c>
      <c r="I979" s="2" t="str">
        <f aca="false">IF(COUNT(C979:F979)&lt;4,"",IF(OR(D979&lt;MAX(C979,F979)-0.000001,E979&gt;MIN(C979,F979)+0.000001),"FAIL","OK"))</f>
        <v>OK</v>
      </c>
      <c r="J979" s="10" t="n">
        <f aca="false">IF(COUNT(F979,G979)&lt;2,"",G979/F979)</f>
        <v>0.985406273998983</v>
      </c>
      <c r="K979" s="10" t="n">
        <f aca="false">H979/H978-1</f>
        <v>-0.00174314746378812</v>
      </c>
      <c r="L979" s="10" t="n">
        <f aca="false">H984/H979-1</f>
        <v>0.00530619163297064</v>
      </c>
      <c r="M979" s="10" t="n">
        <f aca="false">IF(COUNT(B920:B979)&lt;60,"",(B979-AVERAGE(B920:B979))/STDEV(B920:B979))</f>
        <v>-0.358166294610952</v>
      </c>
      <c r="N979" s="10" t="n">
        <f aca="false">(H979-AVERAGE(H920:H979))/STDEV(H920:H979)</f>
        <v>-0.682788798005305</v>
      </c>
      <c r="O979" s="10" t="n">
        <f aca="false">IF(COUNT(B979)=0,"",B979-('Signal Analysis'!$C$6+'Signal Analysis'!$C$5*H979))</f>
        <v>0.168029806267509</v>
      </c>
    </row>
    <row r="980" customFormat="false" ht="15" hidden="false" customHeight="false" outlineLevel="0" collapsed="false">
      <c r="A980" s="8" t="n">
        <v>43746</v>
      </c>
      <c r="B980" s="9" t="n">
        <v>19.1750381052</v>
      </c>
      <c r="C980" s="9" t="n">
        <v>147.419998</v>
      </c>
      <c r="D980" s="9" t="n">
        <v>147.929993</v>
      </c>
      <c r="E980" s="9" t="n">
        <v>146.110001</v>
      </c>
      <c r="F980" s="9" t="n">
        <v>146.460007</v>
      </c>
      <c r="G980" s="9" t="n">
        <v>144.322601</v>
      </c>
      <c r="H980" s="9" t="n">
        <v>144.322601</v>
      </c>
      <c r="I980" s="2" t="str">
        <f aca="false">IF(COUNT(C980:F980)&lt;4,"",IF(OR(D980&lt;MAX(C980,F980)-0.000001,E980&gt;MIN(C980,F980)+0.000001),"FAIL","OK"))</f>
        <v>OK</v>
      </c>
      <c r="J980" s="10" t="n">
        <f aca="false">IF(COUNT(F980,G980)&lt;2,"",G980/F980)</f>
        <v>0.985406213998064</v>
      </c>
      <c r="K980" s="10" t="n">
        <f aca="false">H980/H979-1</f>
        <v>-0.0162547476934872</v>
      </c>
      <c r="L980" s="10" t="n">
        <f aca="false">H985/H980-1</f>
        <v>0.0336609302100923</v>
      </c>
      <c r="M980" s="10" t="n">
        <f aca="false">IF(COUNT(B921:B980)&lt;60,"",(B980-AVERAGE(B921:B980))/STDEV(B921:B980))</f>
        <v>0.748583433805231</v>
      </c>
      <c r="N980" s="10" t="n">
        <f aca="false">(H980-AVERAGE(H921:H980))/STDEV(H921:H980)</f>
        <v>-1.28356788213028</v>
      </c>
      <c r="O980" s="10" t="n">
        <f aca="false">IF(COUNT(B980)=0,"",B980-('Signal Analysis'!$C$6+'Signal Analysis'!$C$5*H980))</f>
        <v>1.23054908353594</v>
      </c>
    </row>
    <row r="981" customFormat="false" ht="15" hidden="false" customHeight="false" outlineLevel="0" collapsed="false">
      <c r="A981" s="8" t="n">
        <v>43747</v>
      </c>
      <c r="B981" s="9" t="n">
        <v>19.945486836</v>
      </c>
      <c r="C981" s="9" t="n">
        <v>147.539993</v>
      </c>
      <c r="D981" s="9" t="n">
        <v>147.690002</v>
      </c>
      <c r="E981" s="9" t="n">
        <v>146.639999</v>
      </c>
      <c r="F981" s="9" t="n">
        <v>147.130005</v>
      </c>
      <c r="G981" s="9" t="n">
        <v>144.982819</v>
      </c>
      <c r="H981" s="9" t="n">
        <v>144.982819</v>
      </c>
      <c r="I981" s="2" t="str">
        <f aca="false">IF(COUNT(C981:F981)&lt;4,"",IF(OR(D981&lt;MAX(C981,F981)-0.000001,E981&gt;MIN(C981,F981)+0.000001),"FAIL","OK"))</f>
        <v>OK</v>
      </c>
      <c r="J981" s="10" t="n">
        <f aca="false">IF(COUNT(F981,G981)&lt;2,"",G981/F981)</f>
        <v>0.985406199095827</v>
      </c>
      <c r="K981" s="10" t="n">
        <f aca="false">H981/H980-1</f>
        <v>0.00457459881837918</v>
      </c>
      <c r="L981" s="10" t="n">
        <f aca="false">H986/H981-1</f>
        <v>0.0300413802824457</v>
      </c>
      <c r="M981" s="10" t="n">
        <f aca="false">IF(COUNT(B922:B981)&lt;60,"",(B981-AVERAGE(B922:B981))/STDEV(B922:B981))</f>
        <v>1.84963611180318</v>
      </c>
      <c r="N981" s="10" t="n">
        <f aca="false">(H981-AVERAGE(H922:H981))/STDEV(H922:H981)</f>
        <v>-1.06910559942474</v>
      </c>
      <c r="O981" s="10" t="n">
        <f aca="false">IF(COUNT(B981)=0,"",B981-('Signal Analysis'!$C$6+'Signal Analysis'!$C$5*H981))</f>
        <v>1.91068499128906</v>
      </c>
    </row>
    <row r="982" customFormat="false" ht="15" hidden="false" customHeight="false" outlineLevel="0" collapsed="false">
      <c r="A982" s="8" t="n">
        <v>43748</v>
      </c>
      <c r="B982" s="9" t="n">
        <v>19.4896145088</v>
      </c>
      <c r="C982" s="9" t="n">
        <v>147.339996</v>
      </c>
      <c r="D982" s="9" t="n">
        <v>148.5</v>
      </c>
      <c r="E982" s="9" t="n">
        <v>147.100006</v>
      </c>
      <c r="F982" s="9" t="n">
        <v>147.720001</v>
      </c>
      <c r="G982" s="9" t="n">
        <v>145.564209</v>
      </c>
      <c r="H982" s="9" t="n">
        <v>145.564209</v>
      </c>
      <c r="I982" s="2" t="str">
        <f aca="false">IF(COUNT(C982:F982)&lt;4,"",IF(OR(D982&lt;MAX(C982,F982)-0.000001,E982&gt;MIN(C982,F982)+0.000001),"FAIL","OK"))</f>
        <v>OK</v>
      </c>
      <c r="J982" s="10" t="n">
        <f aca="false">IF(COUNT(F982,G982)&lt;2,"",G982/F982)</f>
        <v>0.98540622809771</v>
      </c>
      <c r="K982" s="10" t="n">
        <f aca="false">H982/H981-1</f>
        <v>0.00401006135768411</v>
      </c>
      <c r="L982" s="10" t="n">
        <f aca="false">H987/H982-1</f>
        <v>0.0380448191079716</v>
      </c>
      <c r="M982" s="10" t="n">
        <f aca="false">IF(COUNT(B923:B982)&lt;60,"",(B982-AVERAGE(B923:B982))/STDEV(B923:B982))</f>
        <v>1.20319083071936</v>
      </c>
      <c r="N982" s="10" t="n">
        <f aca="false">(H982-AVERAGE(H923:H982))/STDEV(H923:H982)</f>
        <v>-0.884125172304861</v>
      </c>
      <c r="O982" s="10" t="n">
        <f aca="false">IF(COUNT(B982)=0,"",B982-('Signal Analysis'!$C$6+'Signal Analysis'!$C$5*H982))</f>
        <v>1.37528291453477</v>
      </c>
    </row>
    <row r="983" customFormat="false" ht="15" hidden="false" customHeight="false" outlineLevel="0" collapsed="false">
      <c r="A983" s="8" t="n">
        <v>43749</v>
      </c>
      <c r="B983" s="9" t="n">
        <v>19.4900879208</v>
      </c>
      <c r="C983" s="9" t="n">
        <v>149.789993</v>
      </c>
      <c r="D983" s="9" t="n">
        <v>151.960007</v>
      </c>
      <c r="E983" s="9" t="n">
        <v>147.690002</v>
      </c>
      <c r="F983" s="9" t="n">
        <v>150.220001</v>
      </c>
      <c r="G983" s="9" t="n">
        <v>148.02771</v>
      </c>
      <c r="H983" s="9" t="n">
        <v>148.02771</v>
      </c>
      <c r="I983" s="2" t="str">
        <f aca="false">IF(COUNT(C983:F983)&lt;4,"",IF(OR(D983&lt;MAX(C983,F983)-0.000001,E983&gt;MIN(C983,F983)+0.000001),"FAIL","OK"))</f>
        <v>OK</v>
      </c>
      <c r="J983" s="10" t="n">
        <f aca="false">IF(COUNT(F983,G983)&lt;2,"",G983/F983)</f>
        <v>0.985406131105005</v>
      </c>
      <c r="K983" s="10" t="n">
        <f aca="false">H983/H982-1</f>
        <v>0.0169238098906579</v>
      </c>
      <c r="L983" s="10" t="n">
        <f aca="false">H988/H983-1</f>
        <v>0.0159099806380845</v>
      </c>
      <c r="M983" s="10" t="n">
        <f aca="false">IF(COUNT(B924:B983)&lt;60,"",(B983-AVERAGE(B924:B983))/STDEV(B924:B983))</f>
        <v>1.16624240837069</v>
      </c>
      <c r="N983" s="10" t="n">
        <f aca="false">(H983-AVERAGE(H924:H983))/STDEV(H924:H983)</f>
        <v>-0.208068139585709</v>
      </c>
      <c r="O983" s="10" t="n">
        <f aca="false">IF(COUNT(B983)=0,"",B983-('Signal Analysis'!$C$6+'Signal Analysis'!$C$5*H983))</f>
        <v>1.038768044045</v>
      </c>
    </row>
    <row r="984" customFormat="false" ht="15" hidden="false" customHeight="false" outlineLevel="0" collapsed="false">
      <c r="A984" s="8" t="n">
        <v>43752</v>
      </c>
      <c r="B984" s="9" t="n">
        <v>19.8763010304</v>
      </c>
      <c r="C984" s="9" t="n">
        <v>149.910004</v>
      </c>
      <c r="D984" s="9" t="n">
        <v>150.149994</v>
      </c>
      <c r="E984" s="9" t="n">
        <v>149.100006</v>
      </c>
      <c r="F984" s="9" t="n">
        <v>149.669998</v>
      </c>
      <c r="G984" s="9" t="n">
        <v>147.485748</v>
      </c>
      <c r="H984" s="9" t="n">
        <v>147.485748</v>
      </c>
      <c r="I984" s="2" t="str">
        <f aca="false">IF(COUNT(C984:F984)&lt;4,"",IF(OR(D984&lt;MAX(C984,F984)-0.000001,E984&gt;MIN(C984,F984)+0.000001),"FAIL","OK"))</f>
        <v>OK</v>
      </c>
      <c r="J984" s="10" t="n">
        <f aca="false">IF(COUNT(F984,G984)&lt;2,"",G984/F984)</f>
        <v>0.985406226837793</v>
      </c>
      <c r="K984" s="10" t="n">
        <f aca="false">H984/H983-1</f>
        <v>-0.00366121991619006</v>
      </c>
      <c r="L984" s="10" t="n">
        <f aca="false">H989/H984-1</f>
        <v>0.0291974923570244</v>
      </c>
      <c r="M984" s="10" t="n">
        <f aca="false">IF(COUNT(B925:B984)&lt;60,"",(B984-AVERAGE(B925:B984))/STDEV(B925:B984))</f>
        <v>1.67247610199779</v>
      </c>
      <c r="N984" s="10" t="n">
        <f aca="false">(H984-AVERAGE(H925:H984))/STDEV(H925:H984)</f>
        <v>-0.338776448474339</v>
      </c>
      <c r="O984" s="10" t="n">
        <f aca="false">IF(COUNT(B984)=0,"",B984-('Signal Analysis'!$C$6+'Signal Analysis'!$C$5*H984))</f>
        <v>1.499117451359</v>
      </c>
    </row>
    <row r="985" customFormat="false" ht="15" hidden="false" customHeight="false" outlineLevel="0" collapsed="false">
      <c r="A985" s="8" t="n">
        <v>43753</v>
      </c>
      <c r="B985" s="9" t="n">
        <v>18.9879097824</v>
      </c>
      <c r="C985" s="9" t="n">
        <v>150.169998</v>
      </c>
      <c r="D985" s="9" t="n">
        <v>152.130005</v>
      </c>
      <c r="E985" s="9" t="n">
        <v>149.789993</v>
      </c>
      <c r="F985" s="9" t="n">
        <v>151.389999</v>
      </c>
      <c r="G985" s="9" t="n">
        <v>149.180634</v>
      </c>
      <c r="H985" s="9" t="n">
        <v>149.180634</v>
      </c>
      <c r="I985" s="2" t="str">
        <f aca="false">IF(COUNT(C985:F985)&lt;4,"",IF(OR(D985&lt;MAX(C985,F985)-0.000001,E985&gt;MIN(C985,F985)+0.000001),"FAIL","OK"))</f>
        <v>OK</v>
      </c>
      <c r="J985" s="10" t="n">
        <f aca="false">IF(COUNT(F985,G985)&lt;2,"",G985/F985)</f>
        <v>0.985406136372324</v>
      </c>
      <c r="K985" s="10" t="n">
        <f aca="false">H985/H984-1</f>
        <v>0.0114918629290202</v>
      </c>
      <c r="L985" s="10" t="n">
        <f aca="false">H990/H985-1</f>
        <v>0.018627444631989</v>
      </c>
      <c r="M985" s="10" t="n">
        <f aca="false">IF(COUNT(B926:B985)&lt;60,"",(B985-AVERAGE(B926:B985))/STDEV(B926:B985))</f>
        <v>0.361009385641086</v>
      </c>
      <c r="N985" s="10" t="n">
        <f aca="false">(H985-AVERAGE(H926:H985))/STDEV(H926:H985)</f>
        <v>0.12675442766891</v>
      </c>
      <c r="O985" s="10" t="n">
        <f aca="false">IF(COUNT(B985)=0,"",B985-('Signal Analysis'!$C$6+'Signal Analysis'!$C$5*H985))</f>
        <v>0.37887863270408</v>
      </c>
    </row>
    <row r="986" customFormat="false" ht="15" hidden="false" customHeight="false" outlineLevel="0" collapsed="false">
      <c r="A986" s="8" t="n">
        <v>43754</v>
      </c>
      <c r="B986" s="9" t="n">
        <v>18.4139058192</v>
      </c>
      <c r="C986" s="9" t="n">
        <v>151.210007</v>
      </c>
      <c r="D986" s="9" t="n">
        <v>152.270004</v>
      </c>
      <c r="E986" s="9" t="n">
        <v>151.139999</v>
      </c>
      <c r="F986" s="9" t="n">
        <v>151.550003</v>
      </c>
      <c r="G986" s="9" t="n">
        <v>149.338303</v>
      </c>
      <c r="H986" s="9" t="n">
        <v>149.338303</v>
      </c>
      <c r="I986" s="2" t="str">
        <f aca="false">IF(COUNT(C986:F986)&lt;4,"",IF(OR(D986&lt;MAX(C986,F986)-0.000001,E986&gt;MIN(C986,F986)+0.000001),"FAIL","OK"))</f>
        <v>OK</v>
      </c>
      <c r="J986" s="10" t="n">
        <f aca="false">IF(COUNT(F986,G986)&lt;2,"",G986/F986)</f>
        <v>0.985406136877477</v>
      </c>
      <c r="K986" s="10" t="n">
        <f aca="false">H986/H985-1</f>
        <v>0.00105689991906055</v>
      </c>
      <c r="L986" s="10" t="n">
        <f aca="false">H991/H986-1</f>
        <v>0.0188056911293548</v>
      </c>
      <c r="M986" s="10" t="n">
        <f aca="false">IF(COUNT(B927:B986)&lt;60,"",(B986-AVERAGE(B927:B986))/STDEV(B927:B986))</f>
        <v>-0.464747957035638</v>
      </c>
      <c r="N986" s="10" t="n">
        <f aca="false">(H986-AVERAGE(H927:H986))/STDEV(H927:H986)</f>
        <v>0.182144796071586</v>
      </c>
      <c r="O986" s="10" t="n">
        <f aca="false">IF(COUNT(B986)=0,"",B986-('Signal Analysis'!$C$6+'Signal Analysis'!$C$5*H986))</f>
        <v>-0.216693255782687</v>
      </c>
    </row>
    <row r="987" customFormat="false" ht="15" hidden="false" customHeight="false" outlineLevel="0" collapsed="false">
      <c r="A987" s="8" t="n">
        <v>43755</v>
      </c>
      <c r="B987" s="9" t="n">
        <v>18.8784119796</v>
      </c>
      <c r="C987" s="9" t="n">
        <v>152.289993</v>
      </c>
      <c r="D987" s="11" t="n">
        <v>153.339996</v>
      </c>
      <c r="E987" s="9" t="n">
        <v>152.050003</v>
      </c>
      <c r="F987" s="9" t="n">
        <v>153.339996</v>
      </c>
      <c r="G987" s="9" t="n">
        <v>151.102173</v>
      </c>
      <c r="H987" s="9" t="n">
        <v>151.102173</v>
      </c>
      <c r="I987" s="2" t="str">
        <f aca="false">IF(COUNT(C987:F987)&lt;4,"",IF(OR(D987&lt;MAX(C987,F987)-0.000001,E987&gt;MIN(C987,F987)+0.000001),"FAIL","OK"))</f>
        <v>OK</v>
      </c>
      <c r="J987" s="10" t="n">
        <f aca="false">IF(COUNT(F987,G987)&lt;2,"",G987/F987)</f>
        <v>0.985406136309016</v>
      </c>
      <c r="K987" s="10" t="n">
        <f aca="false">H987/H986-1</f>
        <v>0.0118112363979388</v>
      </c>
      <c r="L987" s="10" t="n">
        <f aca="false">H992/H987-1</f>
        <v>0.00547803505115696</v>
      </c>
      <c r="M987" s="10" t="n">
        <f aca="false">IF(COUNT(B928:B987)&lt;60,"",(B987-AVERAGE(B928:B987))/STDEV(B928:B987))</f>
        <v>0.249605739419555</v>
      </c>
      <c r="N987" s="10" t="n">
        <f aca="false">(H987-AVERAGE(H928:H987))/STDEV(H928:H987)</f>
        <v>0.689513096413612</v>
      </c>
      <c r="O987" s="10" t="n">
        <f aca="false">IF(COUNT(B987)=0,"",B987-('Signal Analysis'!$C$6+'Signal Analysis'!$C$5*H987))</f>
        <v>0.00652884512830454</v>
      </c>
    </row>
    <row r="988" customFormat="false" ht="15" hidden="false" customHeight="false" outlineLevel="0" collapsed="false">
      <c r="A988" s="8" t="n">
        <v>43756</v>
      </c>
      <c r="B988" s="9" t="n">
        <v>18.4870056</v>
      </c>
      <c r="C988" s="9" t="n">
        <v>152.929993</v>
      </c>
      <c r="D988" s="9" t="n">
        <v>153.5</v>
      </c>
      <c r="E988" s="9" t="n">
        <v>151.449997</v>
      </c>
      <c r="F988" s="9" t="n">
        <v>152.610001</v>
      </c>
      <c r="G988" s="9" t="n">
        <v>150.382828</v>
      </c>
      <c r="H988" s="9" t="n">
        <v>150.382828</v>
      </c>
      <c r="I988" s="2" t="str">
        <f aca="false">IF(COUNT(C988:F988)&lt;4,"",IF(OR(D988&lt;MAX(C988,F988)-0.000001,E988&gt;MIN(C988,F988)+0.000001),"FAIL","OK"))</f>
        <v>OK</v>
      </c>
      <c r="J988" s="10" t="n">
        <f aca="false">IF(COUNT(F988,G988)&lt;2,"",G988/F988)</f>
        <v>0.985406113718589</v>
      </c>
      <c r="K988" s="10" t="n">
        <f aca="false">H988/H987-1</f>
        <v>-0.00476065291264871</v>
      </c>
      <c r="L988" s="10" t="n">
        <f aca="false">H993/H988-1</f>
        <v>0.0156609170829001</v>
      </c>
      <c r="M988" s="10" t="n">
        <f aca="false">IF(COUNT(B929:B988)&lt;60,"",(B988-AVERAGE(B929:B988))/STDEV(B929:B988))</f>
        <v>-0.350521740306763</v>
      </c>
      <c r="N988" s="10" t="n">
        <f aca="false">(H988-AVERAGE(H929:H988))/STDEV(H929:H988)</f>
        <v>0.50431902958139</v>
      </c>
      <c r="O988" s="10" t="n">
        <f aca="false">IF(COUNT(B988)=0,"",B988-('Signal Analysis'!$C$6+'Signal Analysis'!$C$5*H988))</f>
        <v>-0.286476585550787</v>
      </c>
    </row>
    <row r="989" customFormat="false" ht="15" hidden="false" customHeight="false" outlineLevel="0" collapsed="false">
      <c r="A989" s="8" t="n">
        <v>43759</v>
      </c>
      <c r="B989" s="9" t="n">
        <v>20.402048568</v>
      </c>
      <c r="C989" s="9" t="n">
        <v>154.169998</v>
      </c>
      <c r="D989" s="9" t="n">
        <v>154.979996</v>
      </c>
      <c r="E989" s="9" t="n">
        <v>153.910004</v>
      </c>
      <c r="F989" s="9" t="n">
        <v>154.039993</v>
      </c>
      <c r="G989" s="9" t="n">
        <v>151.791962</v>
      </c>
      <c r="H989" s="9" t="n">
        <v>151.791962</v>
      </c>
      <c r="I989" s="2" t="str">
        <f aca="false">IF(COUNT(C989:F989)&lt;4,"",IF(OR(D989&lt;MAX(C989,F989)-0.000001,E989&gt;MIN(C989,F989)+0.000001),"FAIL","OK"))</f>
        <v>OK</v>
      </c>
      <c r="J989" s="10" t="n">
        <f aca="false">IF(COUNT(F989,G989)&lt;2,"",G989/F989)</f>
        <v>0.985406186041569</v>
      </c>
      <c r="K989" s="10" t="n">
        <f aca="false">H989/H988-1</f>
        <v>0.00937031188161996</v>
      </c>
      <c r="L989" s="10" t="n">
        <f aca="false">H994/H989-1</f>
        <v>0.014931080474472</v>
      </c>
      <c r="M989" s="10" t="n">
        <f aca="false">IF(COUNT(B930:B989)&lt;60,"",(B989-AVERAGE(B930:B989))/STDEV(B930:B989))</f>
        <v>2.39276136457458</v>
      </c>
      <c r="N989" s="10" t="n">
        <f aca="false">(H989-AVERAGE(H930:H989))/STDEV(H930:H989)</f>
        <v>0.924348970721207</v>
      </c>
      <c r="O989" s="10" t="n">
        <f aca="false">IF(COUNT(B989)=0,"",B989-('Signal Analysis'!$C$6+'Signal Analysis'!$C$5*H989))</f>
        <v>1.4358075216012</v>
      </c>
    </row>
    <row r="990" customFormat="false" ht="15" hidden="false" customHeight="false" outlineLevel="0" collapsed="false">
      <c r="A990" s="8" t="n">
        <v>43760</v>
      </c>
      <c r="B990" s="9" t="n">
        <v>19.2252594144</v>
      </c>
      <c r="C990" s="9" t="n">
        <v>154.199997</v>
      </c>
      <c r="D990" s="9" t="n">
        <v>155.050003</v>
      </c>
      <c r="E990" s="9" t="n">
        <v>153.740005</v>
      </c>
      <c r="F990" s="9" t="n">
        <v>154.210007</v>
      </c>
      <c r="G990" s="9" t="n">
        <v>151.959488</v>
      </c>
      <c r="H990" s="9" t="n">
        <v>151.959488</v>
      </c>
      <c r="I990" s="2" t="str">
        <f aca="false">IF(COUNT(C990:F990)&lt;4,"",IF(OR(D990&lt;MAX(C990,F990)-0.000001,E990&gt;MIN(C990,F990)+0.000001),"FAIL","OK"))</f>
        <v>OK</v>
      </c>
      <c r="J990" s="10" t="n">
        <f aca="false">IF(COUNT(F990,G990)&lt;2,"",G990/F990)</f>
        <v>0.985406141639044</v>
      </c>
      <c r="K990" s="10" t="n">
        <f aca="false">H990/H989-1</f>
        <v>0.00110365527787293</v>
      </c>
      <c r="L990" s="10" t="n">
        <f aca="false">H995/H990-1</f>
        <v>0.0171196022982125</v>
      </c>
      <c r="M990" s="10" t="n">
        <f aca="false">IF(COUNT(B931:B990)&lt;60,"",(B990-AVERAGE(B931:B990))/STDEV(B931:B990))</f>
        <v>0.684888084605964</v>
      </c>
      <c r="N990" s="10" t="n">
        <f aca="false">(H990-AVERAGE(H931:H990))/STDEV(H931:H990)</f>
        <v>0.986034674198132</v>
      </c>
      <c r="O990" s="10" t="n">
        <f aca="false">IF(COUNT(B990)=0,"",B990-('Signal Analysis'!$C$6+'Signal Analysis'!$C$5*H990))</f>
        <v>0.23610207975436</v>
      </c>
    </row>
    <row r="991" customFormat="false" ht="15" hidden="false" customHeight="false" outlineLevel="0" collapsed="false">
      <c r="A991" s="8" t="n">
        <v>43761</v>
      </c>
      <c r="B991" s="9" t="n">
        <v>20.219944272</v>
      </c>
      <c r="C991" s="9" t="n">
        <v>154.339996</v>
      </c>
      <c r="D991" s="9" t="n">
        <v>154.75</v>
      </c>
      <c r="E991" s="9" t="n">
        <v>153.550003</v>
      </c>
      <c r="F991" s="9" t="n">
        <v>154.399994</v>
      </c>
      <c r="G991" s="9" t="n">
        <v>152.146713</v>
      </c>
      <c r="H991" s="9" t="n">
        <v>152.146713</v>
      </c>
      <c r="I991" s="2" t="str">
        <f aca="false">IF(COUNT(C991:F991)&lt;4,"",IF(OR(D991&lt;MAX(C991,F991)-0.000001,E991&gt;MIN(C991,F991)+0.000001),"FAIL","OK"))</f>
        <v>OK</v>
      </c>
      <c r="J991" s="10" t="n">
        <f aca="false">IF(COUNT(F991,G991)&lt;2,"",G991/F991)</f>
        <v>0.98540621057278</v>
      </c>
      <c r="K991" s="10" t="n">
        <f aca="false">H991/H990-1</f>
        <v>0.00123207180061047</v>
      </c>
      <c r="L991" s="10" t="n">
        <f aca="false">H996/H991-1</f>
        <v>0.0125000400107231</v>
      </c>
      <c r="M991" s="10" t="n">
        <f aca="false">IF(COUNT(B932:B991)&lt;60,"",(B991-AVERAGE(B932:B991))/STDEV(B932:B991))</f>
        <v>2.02958224674169</v>
      </c>
      <c r="N991" s="10" t="n">
        <f aca="false">(H991-AVERAGE(H932:H991))/STDEV(H932:H991)</f>
        <v>1.0749142893879</v>
      </c>
      <c r="O991" s="10" t="n">
        <f aca="false">IF(COUNT(B991)=0,"",B991-('Signal Analysis'!$C$6+'Signal Analysis'!$C$5*H991))</f>
        <v>1.20517597507379</v>
      </c>
    </row>
    <row r="992" customFormat="false" ht="15" hidden="false" customHeight="false" outlineLevel="0" collapsed="false">
      <c r="A992" s="8" t="n">
        <v>43762</v>
      </c>
      <c r="B992" s="9" t="n">
        <v>20.0037838356</v>
      </c>
      <c r="C992" s="9" t="n">
        <v>154.949997</v>
      </c>
      <c r="D992" s="9" t="n">
        <v>155.059998</v>
      </c>
      <c r="E992" s="9" t="n">
        <v>153.470001</v>
      </c>
      <c r="F992" s="9" t="n">
        <v>154.179993</v>
      </c>
      <c r="G992" s="9" t="n">
        <v>151.929916</v>
      </c>
      <c r="H992" s="9" t="n">
        <v>151.929916</v>
      </c>
      <c r="I992" s="2" t="str">
        <f aca="false">IF(COUNT(C992:F992)&lt;4,"",IF(OR(D992&lt;MAX(C992,F992)-0.000001,E992&gt;MIN(C992,F992)+0.000001),"FAIL","OK"))</f>
        <v>OK</v>
      </c>
      <c r="J992" s="10" t="n">
        <f aca="false">IF(COUNT(F992,G992)&lt;2,"",G992/F992)</f>
        <v>0.985406167452609</v>
      </c>
      <c r="K992" s="10" t="n">
        <f aca="false">H992/H991-1</f>
        <v>-0.00142492069480338</v>
      </c>
      <c r="L992" s="10" t="n">
        <f aca="false">H997/H992-1</f>
        <v>0.00823721906092545</v>
      </c>
      <c r="M992" s="10" t="n">
        <f aca="false">IF(COUNT(B933:B992)&lt;60,"",(B992-AVERAGE(B933:B992))/STDEV(B933:B992))</f>
        <v>1.66165753853791</v>
      </c>
      <c r="N992" s="10" t="n">
        <f aca="false">(H992-AVERAGE(H933:H992))/STDEV(H933:H992)</f>
        <v>1.03226829346895</v>
      </c>
      <c r="O992" s="10" t="n">
        <f aca="false">IF(COUNT(B992)=0,"",B992-('Signal Analysis'!$C$6+'Signal Analysis'!$C$5*H992))</f>
        <v>1.01867172662701</v>
      </c>
    </row>
    <row r="993" customFormat="false" ht="15" hidden="false" customHeight="false" outlineLevel="0" collapsed="false">
      <c r="A993" s="8" t="n">
        <v>43763</v>
      </c>
      <c r="B993" s="9" t="n">
        <v>18.983593572</v>
      </c>
      <c r="C993" s="9" t="n">
        <v>153.910004</v>
      </c>
      <c r="D993" s="9" t="n">
        <v>155.529999</v>
      </c>
      <c r="E993" s="9" t="n">
        <v>153.899994</v>
      </c>
      <c r="F993" s="9" t="n">
        <v>155</v>
      </c>
      <c r="G993" s="9" t="n">
        <v>152.737961</v>
      </c>
      <c r="H993" s="9" t="n">
        <v>152.737961</v>
      </c>
      <c r="I993" s="2" t="str">
        <f aca="false">IF(COUNT(C993:F993)&lt;4,"",IF(OR(D993&lt;MAX(C993,F993)-0.000001,E993&gt;MIN(C993,F993)+0.000001),"FAIL","OK"))</f>
        <v>OK</v>
      </c>
      <c r="J993" s="10" t="n">
        <f aca="false">IF(COUNT(F993,G993)&lt;2,"",G993/F993)</f>
        <v>0.9854062</v>
      </c>
      <c r="K993" s="10" t="n">
        <f aca="false">H993/H992-1</f>
        <v>0.00531853779212277</v>
      </c>
      <c r="L993" s="10" t="n">
        <f aca="false">H998/H993-1</f>
        <v>0.019999926540855</v>
      </c>
      <c r="M993" s="10" t="n">
        <f aca="false">IF(COUNT(B934:B993)&lt;60,"",(B993-AVERAGE(B934:B993))/STDEV(B934:B993))</f>
        <v>0.279545541446186</v>
      </c>
      <c r="N993" s="10" t="n">
        <f aca="false">(H993-AVERAGE(H934:H993))/STDEV(H934:H993)</f>
        <v>1.25645804477677</v>
      </c>
      <c r="O993" s="10" t="n">
        <f aca="false">IF(COUNT(B993)=0,"",B993-('Signal Analysis'!$C$6+'Signal Analysis'!$C$5*H993))</f>
        <v>-0.112052974232999</v>
      </c>
    </row>
    <row r="994" customFormat="false" ht="15" hidden="false" customHeight="false" outlineLevel="0" collapsed="false">
      <c r="A994" s="8" t="n">
        <v>43766</v>
      </c>
      <c r="B994" s="9" t="n">
        <v>19.0074800316</v>
      </c>
      <c r="C994" s="9" t="n">
        <v>155.660004</v>
      </c>
      <c r="D994" s="9" t="n">
        <v>156.979996</v>
      </c>
      <c r="E994" s="9" t="n">
        <v>155.009995</v>
      </c>
      <c r="F994" s="9" t="n">
        <v>156.339996</v>
      </c>
      <c r="G994" s="9" t="n">
        <v>154.05838</v>
      </c>
      <c r="H994" s="9" t="n">
        <v>154.05838</v>
      </c>
      <c r="I994" s="2" t="str">
        <f aca="false">IF(COUNT(C994:F994)&lt;4,"",IF(OR(D994&lt;MAX(C994,F994)-0.000001,E994&gt;MIN(C994,F994)+0.000001),"FAIL","OK"))</f>
        <v>OK</v>
      </c>
      <c r="J994" s="10" t="n">
        <f aca="false">IF(COUNT(F994,G994)&lt;2,"",G994/F994)</f>
        <v>0.985406063333915</v>
      </c>
      <c r="K994" s="10" t="n">
        <f aca="false">H994/H993-1</f>
        <v>0.00864499559477538</v>
      </c>
      <c r="L994" s="10" t="n">
        <f aca="false">H999/H994-1</f>
        <v>0.0166945154168181</v>
      </c>
      <c r="M994" s="10" t="n">
        <f aca="false">IF(COUNT(B935:B994)&lt;60,"",(B994-AVERAGE(B935:B994))/STDEV(B935:B994))</f>
        <v>0.287509720546091</v>
      </c>
      <c r="N994" s="10" t="n">
        <f aca="false">(H994-AVERAGE(H935:H994))/STDEV(H935:H994)</f>
        <v>1.58962236914236</v>
      </c>
      <c r="O994" s="10" t="n">
        <f aca="false">IF(COUNT(B994)=0,"",B994-('Signal Analysis'!$C$6+'Signal Analysis'!$C$5*H994))</f>
        <v>-0.2687898352555</v>
      </c>
    </row>
    <row r="995" customFormat="false" ht="15" hidden="false" customHeight="false" outlineLevel="0" collapsed="false">
      <c r="A995" s="8" t="n">
        <v>43767</v>
      </c>
      <c r="B995" s="9" t="n">
        <v>18.71049864</v>
      </c>
      <c r="C995" s="9" t="n">
        <v>156.009995</v>
      </c>
      <c r="D995" s="9" t="n">
        <v>157.339996</v>
      </c>
      <c r="E995" s="9" t="n">
        <v>155.860001</v>
      </c>
      <c r="F995" s="9" t="n">
        <v>156.850006</v>
      </c>
      <c r="G995" s="9" t="n">
        <v>154.560974</v>
      </c>
      <c r="H995" s="9" t="n">
        <v>154.560974</v>
      </c>
      <c r="I995" s="2" t="str">
        <f aca="false">IF(COUNT(C995:F995)&lt;4,"",IF(OR(D995&lt;MAX(C995,F995)-0.000001,E995&gt;MIN(C995,F995)+0.000001),"FAIL","OK"))</f>
        <v>OK</v>
      </c>
      <c r="J995" s="10" t="n">
        <f aca="false">IF(COUNT(F995,G995)&lt;2,"",G995/F995)</f>
        <v>0.985406235814871</v>
      </c>
      <c r="K995" s="10" t="n">
        <f aca="false">H995/H994-1</f>
        <v>0.00326236067132468</v>
      </c>
      <c r="L995" s="10" t="n">
        <f aca="false">H1000/H995-1</f>
        <v>0.0146635915997786</v>
      </c>
      <c r="M995" s="10" t="n">
        <f aca="false">IF(COUNT(B936:B995)&lt;60,"",(B995-AVERAGE(B936:B995))/STDEV(B936:B995))</f>
        <v>-0.111215431404034</v>
      </c>
      <c r="N995" s="10" t="n">
        <f aca="false">(H995-AVERAGE(H936:H995))/STDEV(H936:H995)</f>
        <v>1.66125759129464</v>
      </c>
      <c r="O995" s="10" t="n">
        <f aca="false">IF(COUNT(B995)=0,"",B995-('Signal Analysis'!$C$6+'Signal Analysis'!$C$5*H995))</f>
        <v>-0.634522280274865</v>
      </c>
    </row>
    <row r="996" customFormat="false" ht="15" hidden="false" customHeight="false" outlineLevel="0" collapsed="false">
      <c r="A996" s="8" t="n">
        <v>43768</v>
      </c>
      <c r="B996" s="9" t="n">
        <v>19.8857720592</v>
      </c>
      <c r="C996" s="9" t="n">
        <v>156.789993</v>
      </c>
      <c r="D996" s="9" t="n">
        <v>156.809998</v>
      </c>
      <c r="E996" s="9" t="n">
        <v>155.279999</v>
      </c>
      <c r="F996" s="9" t="n">
        <v>156.330002</v>
      </c>
      <c r="G996" s="9" t="n">
        <v>154.048553</v>
      </c>
      <c r="H996" s="9" t="n">
        <v>154.048553</v>
      </c>
      <c r="I996" s="2" t="str">
        <f aca="false">IF(COUNT(C996:F996)&lt;4,"",IF(OR(D996&lt;MAX(C996,F996)-0.000001,E996&gt;MIN(C996,F996)+0.000001),"FAIL","OK"))</f>
        <v>OK</v>
      </c>
      <c r="J996" s="10" t="n">
        <f aca="false">IF(COUNT(F996,G996)&lt;2,"",G996/F996)</f>
        <v>0.985406198613111</v>
      </c>
      <c r="K996" s="10" t="n">
        <f aca="false">H996/H995-1</f>
        <v>-0.00331533236844117</v>
      </c>
      <c r="L996" s="10" t="n">
        <f aca="false">H1001/H996-1</f>
        <v>0.012153759081398</v>
      </c>
      <c r="M996" s="10" t="n">
        <f aca="false">IF(COUNT(B937:B996)&lt;60,"",(B996-AVERAGE(B937:B996))/STDEV(B937:B996))</f>
        <v>1.46838256347016</v>
      </c>
      <c r="N996" s="10" t="n">
        <f aca="false">(H996-AVERAGE(H937:H996))/STDEV(H937:H996)</f>
        <v>1.45841988478527</v>
      </c>
      <c r="O996" s="10" t="n">
        <f aca="false">IF(COUNT(B996)=0,"",B996-('Signal Analysis'!$C$6+'Signal Analysis'!$C$5*H996))</f>
        <v>0.610846451531742</v>
      </c>
    </row>
    <row r="997" customFormat="false" ht="15" hidden="false" customHeight="false" outlineLevel="0" collapsed="false">
      <c r="A997" s="8" t="n">
        <v>43769</v>
      </c>
      <c r="B997" s="9" t="n">
        <v>19.1872291392</v>
      </c>
      <c r="C997" s="9" t="n">
        <v>156.100006</v>
      </c>
      <c r="D997" s="9" t="n">
        <v>156.100006</v>
      </c>
      <c r="E997" s="9" t="n">
        <v>154.240005</v>
      </c>
      <c r="F997" s="9" t="n">
        <v>155.449997</v>
      </c>
      <c r="G997" s="9" t="n">
        <v>153.181396</v>
      </c>
      <c r="H997" s="9" t="n">
        <v>153.181396</v>
      </c>
      <c r="I997" s="2" t="str">
        <f aca="false">IF(COUNT(C997:F997)&lt;4,"",IF(OR(D997&lt;MAX(C997,F997)-0.000001,E997&gt;MIN(C997,F997)+0.000001),"FAIL","OK"))</f>
        <v>OK</v>
      </c>
      <c r="J997" s="10" t="n">
        <f aca="false">IF(COUNT(F997,G997)&lt;2,"",G997/F997)</f>
        <v>0.985406233233958</v>
      </c>
      <c r="K997" s="10" t="n">
        <f aca="false">H997/H996-1</f>
        <v>-0.00562911486744044</v>
      </c>
      <c r="L997" s="10" t="n">
        <f aca="false">H1002/H997-1</f>
        <v>0.0205853326992789</v>
      </c>
      <c r="M997" s="10" t="n">
        <f aca="false">IF(COUNT(B938:B997)&lt;60,"",(B997-AVERAGE(B938:B997))/STDEV(B938:B997))</f>
        <v>0.497481535375787</v>
      </c>
      <c r="N997" s="10" t="n">
        <f aca="false">(H997-AVERAGE(H938:H997))/STDEV(H938:H997)</f>
        <v>1.17644101636905</v>
      </c>
      <c r="O997" s="10" t="n">
        <f aca="false">IF(COUNT(B997)=0,"",B997-('Signal Analysis'!$C$6+'Signal Analysis'!$C$5*H997))</f>
        <v>0.0309240427793434</v>
      </c>
    </row>
    <row r="998" customFormat="false" ht="15" hidden="false" customHeight="false" outlineLevel="0" collapsed="false">
      <c r="A998" s="8" t="n">
        <v>43770</v>
      </c>
      <c r="B998" s="9" t="n">
        <v>20.653087488</v>
      </c>
      <c r="C998" s="9" t="n">
        <v>156.399994</v>
      </c>
      <c r="D998" s="9" t="n">
        <v>158.190002</v>
      </c>
      <c r="E998" s="9" t="n">
        <v>156.050003</v>
      </c>
      <c r="F998" s="9" t="n">
        <v>158.100006</v>
      </c>
      <c r="G998" s="9" t="n">
        <v>155.792709</v>
      </c>
      <c r="H998" s="9" t="n">
        <v>155.792709</v>
      </c>
      <c r="I998" s="2" t="str">
        <f aca="false">IF(COUNT(C998:F998)&lt;4,"",IF(OR(D998&lt;MAX(C998,F998)-0.000001,E998&gt;MIN(C998,F998)+0.000001),"FAIL","OK"))</f>
        <v>OK</v>
      </c>
      <c r="J998" s="10" t="n">
        <f aca="false">IF(COUNT(F998,G998)&lt;2,"",G998/F998)</f>
        <v>0.985406091635443</v>
      </c>
      <c r="K998" s="10" t="n">
        <f aca="false">H998/H997-1</f>
        <v>0.0170471941644923</v>
      </c>
      <c r="L998" s="10" t="n">
        <f aca="false">H1003/H998-1</f>
        <v>0.00619861485302242</v>
      </c>
      <c r="M998" s="10" t="n">
        <f aca="false">IF(COUNT(B939:B998)&lt;60,"",(B998-AVERAGE(B939:B998))/STDEV(B939:B998))</f>
        <v>2.36248000057571</v>
      </c>
      <c r="N998" s="10" t="n">
        <f aca="false">(H998-AVERAGE(H939:H998))/STDEV(H939:H998)</f>
        <v>1.81546225438677</v>
      </c>
      <c r="O998" s="10" t="n">
        <f aca="false">IF(COUNT(B998)=0,"",B998-('Signal Analysis'!$C$6+'Signal Analysis'!$C$5*H998))</f>
        <v>1.13957454676288</v>
      </c>
    </row>
    <row r="999" customFormat="false" ht="15" hidden="false" customHeight="false" outlineLevel="0" collapsed="false">
      <c r="A999" s="8" t="n">
        <v>43773</v>
      </c>
      <c r="B999" s="9" t="n">
        <v>19.1570754096</v>
      </c>
      <c r="C999" s="9" t="n">
        <v>159.399994</v>
      </c>
      <c r="D999" s="9" t="n">
        <v>159.699997</v>
      </c>
      <c r="E999" s="9" t="n">
        <v>158.470001</v>
      </c>
      <c r="F999" s="9" t="n">
        <v>158.949997</v>
      </c>
      <c r="G999" s="9" t="n">
        <v>156.63031</v>
      </c>
      <c r="H999" s="9" t="n">
        <v>156.63031</v>
      </c>
      <c r="I999" s="2" t="str">
        <f aca="false">IF(COUNT(C999:F999)&lt;4,"",IF(OR(D999&lt;MAX(C999,F999)-0.000001,E999&gt;MIN(C999,F999)+0.000001),"FAIL","OK"))</f>
        <v>OK</v>
      </c>
      <c r="J999" s="10" t="n">
        <f aca="false">IF(COUNT(F999,G999)&lt;2,"",G999/F999)</f>
        <v>0.985406184059255</v>
      </c>
      <c r="K999" s="10" t="n">
        <f aca="false">H999/H998-1</f>
        <v>0.00537638125286088</v>
      </c>
      <c r="L999" s="10" t="n">
        <f aca="false">H1004/H999-1</f>
        <v>-0.00106956310052642</v>
      </c>
      <c r="M999" s="10" t="n">
        <f aca="false">IF(COUNT(B940:B999)&lt;60,"",(B999-AVERAGE(B940:B999))/STDEV(B940:B999))</f>
        <v>0.368185108636598</v>
      </c>
      <c r="N999" s="10" t="n">
        <f aca="false">(H999-AVERAGE(H940:H999))/STDEV(H940:H999)</f>
        <v>1.93650444981711</v>
      </c>
      <c r="O999" s="10" t="n">
        <f aca="false">IF(COUNT(B999)=0,"",B999-('Signal Analysis'!$C$6+'Signal Analysis'!$C$5*H999))</f>
        <v>-0.471015005890923</v>
      </c>
    </row>
    <row r="1000" customFormat="false" ht="15" hidden="false" customHeight="false" outlineLevel="0" collapsed="false">
      <c r="A1000" s="8" t="n">
        <v>43774</v>
      </c>
      <c r="B1000" s="9" t="n">
        <v>18.7010394</v>
      </c>
      <c r="C1000" s="9" t="n">
        <v>159.399994</v>
      </c>
      <c r="D1000" s="9" t="n">
        <v>160.460007</v>
      </c>
      <c r="E1000" s="9" t="n">
        <v>158.970001</v>
      </c>
      <c r="F1000" s="9" t="n">
        <v>159.149994</v>
      </c>
      <c r="G1000" s="9" t="n">
        <v>156.827393</v>
      </c>
      <c r="H1000" s="9" t="n">
        <v>156.827393</v>
      </c>
      <c r="I1000" s="2" t="str">
        <f aca="false">IF(COUNT(C1000:F1000)&lt;4,"",IF(OR(D1000&lt;MAX(C1000,F1000)-0.000001,E1000&gt;MIN(C1000,F1000)+0.000001),"FAIL","OK"))</f>
        <v>OK</v>
      </c>
      <c r="J1000" s="10" t="n">
        <f aca="false">IF(COUNT(F1000,G1000)&lt;2,"",G1000/F1000)</f>
        <v>0.985406213713084</v>
      </c>
      <c r="K1000" s="10" t="n">
        <f aca="false">H1000/H999-1</f>
        <v>0.00125826859437361</v>
      </c>
      <c r="L1000" s="10" t="n">
        <f aca="false">H1005/H1000-1</f>
        <v>-0.00201073928455853</v>
      </c>
      <c r="M1000" s="10" t="n">
        <f aca="false">IF(COUNT(B941:B1000)&lt;60,"",(B1000-AVERAGE(B941:B1000))/STDEV(B941:B1000))</f>
        <v>-0.23802204890743</v>
      </c>
      <c r="N1000" s="10" t="n">
        <f aca="false">(H1000-AVERAGE(H941:H1000))/STDEV(H941:H1000)</f>
        <v>1.89102676535413</v>
      </c>
      <c r="O1000" s="10" t="n">
        <f aca="false">IF(COUNT(B1000)=0,"",B1000-('Signal Analysis'!$C$6+'Signal Analysis'!$C$5*H1000))</f>
        <v>-0.954010477523994</v>
      </c>
    </row>
    <row r="1001" customFormat="false" ht="15" hidden="false" customHeight="false" outlineLevel="0" collapsed="false">
      <c r="A1001" s="8" t="n">
        <v>43775</v>
      </c>
      <c r="B1001" s="9" t="n">
        <v>19.0690275816</v>
      </c>
      <c r="C1001" s="9" t="n">
        <v>158.990005</v>
      </c>
      <c r="D1001" s="9" t="n">
        <v>158.990005</v>
      </c>
      <c r="E1001" s="9" t="n">
        <v>157.809998</v>
      </c>
      <c r="F1001" s="9" t="n">
        <v>158.229996</v>
      </c>
      <c r="G1001" s="9" t="n">
        <v>155.920822</v>
      </c>
      <c r="H1001" s="9" t="n">
        <v>155.920822</v>
      </c>
      <c r="I1001" s="2" t="str">
        <f aca="false">IF(COUNT(C1001:F1001)&lt;4,"",IF(OR(D1001&lt;MAX(C1001,F1001)-0.000001,E1001&gt;MIN(C1001,F1001)+0.000001),"FAIL","OK"))</f>
        <v>OK</v>
      </c>
      <c r="J1001" s="10" t="n">
        <f aca="false">IF(COUNT(F1001,G1001)&lt;2,"",G1001/F1001)</f>
        <v>0.985406218426499</v>
      </c>
      <c r="K1001" s="10" t="n">
        <f aca="false">H1001/H1000-1</f>
        <v>-0.0057806929175952</v>
      </c>
      <c r="L1001" s="10" t="n">
        <f aca="false">H1006/H1001-1</f>
        <v>-0.000505557878600627</v>
      </c>
      <c r="M1001" s="10" t="n">
        <f aca="false">IF(COUNT(B942:B1001)&lt;60,"",(B1001-AVERAGE(B942:B1001))/STDEV(B942:B1001))</f>
        <v>0.236470672256194</v>
      </c>
      <c r="N1001" s="10" t="n">
        <f aca="false">(H1001-AVERAGE(H942:H1001))/STDEV(H942:H1001)</f>
        <v>1.59369276891283</v>
      </c>
      <c r="O1001" s="10" t="n">
        <f aca="false">IF(COUNT(B1001)=0,"",B1001-('Signal Analysis'!$C$6+'Signal Analysis'!$C$5*H1001))</f>
        <v>-0.462010247930085</v>
      </c>
    </row>
    <row r="1002" customFormat="false" ht="15" hidden="false" customHeight="false" outlineLevel="0" collapsed="false">
      <c r="A1002" s="8" t="n">
        <v>43776</v>
      </c>
      <c r="B1002" s="9" t="n">
        <v>20.671297548</v>
      </c>
      <c r="C1002" s="9" t="n">
        <v>159.740005</v>
      </c>
      <c r="D1002" s="9" t="n">
        <v>160.169998</v>
      </c>
      <c r="E1002" s="9" t="n">
        <v>158.169998</v>
      </c>
      <c r="F1002" s="9" t="n">
        <v>158.649994</v>
      </c>
      <c r="G1002" s="9" t="n">
        <v>156.334686</v>
      </c>
      <c r="H1002" s="9" t="n">
        <v>156.334686</v>
      </c>
      <c r="I1002" s="2" t="str">
        <f aca="false">IF(COUNT(C1002:F1002)&lt;4,"",IF(OR(D1002&lt;MAX(C1002,F1002)-0.000001,E1002&gt;MIN(C1002,F1002)+0.000001),"FAIL","OK"))</f>
        <v>OK</v>
      </c>
      <c r="J1002" s="10" t="n">
        <f aca="false">IF(COUNT(F1002,G1002)&lt;2,"",G1002/F1002)</f>
        <v>0.985406189173887</v>
      </c>
      <c r="K1002" s="10" t="n">
        <f aca="false">H1002/H1001-1</f>
        <v>0.00265432156328682</v>
      </c>
      <c r="L1002" s="10" t="n">
        <f aca="false">H1007/H1002-1</f>
        <v>-0.00346677384185878</v>
      </c>
      <c r="M1002" s="10" t="n">
        <f aca="false">IF(COUNT(B943:B1002)&lt;60,"",(B1002-AVERAGE(B943:B1002))/STDEV(B943:B1002))</f>
        <v>2.23235789136421</v>
      </c>
      <c r="N1002" s="10" t="n">
        <f aca="false">(H1002-AVERAGE(H943:H1002))/STDEV(H943:H1002)</f>
        <v>1.63633744825784</v>
      </c>
      <c r="O1002" s="10" t="n">
        <f aca="false">IF(COUNT(B1002)=0,"",B1002-('Signal Analysis'!$C$6+'Signal Analysis'!$C$5*H1002))</f>
        <v>1.08364625716247</v>
      </c>
    </row>
    <row r="1003" customFormat="false" ht="15" hidden="false" customHeight="false" outlineLevel="0" collapsed="false">
      <c r="A1003" s="8" t="n">
        <v>43777</v>
      </c>
      <c r="B1003" s="9" t="n">
        <v>20.4318218412</v>
      </c>
      <c r="C1003" s="9" t="n">
        <v>158.279999</v>
      </c>
      <c r="D1003" s="9" t="n">
        <v>159.270004</v>
      </c>
      <c r="E1003" s="9" t="n">
        <v>157.949997</v>
      </c>
      <c r="F1003" s="9" t="n">
        <v>159.080002</v>
      </c>
      <c r="G1003" s="9" t="n">
        <v>156.758408</v>
      </c>
      <c r="H1003" s="9" t="n">
        <v>156.758408</v>
      </c>
      <c r="I1003" s="2" t="str">
        <f aca="false">IF(COUNT(C1003:F1003)&lt;4,"",IF(OR(D1003&lt;MAX(C1003,F1003)-0.000001,E1003&gt;MIN(C1003,F1003)+0.000001),"FAIL","OK"))</f>
        <v>OK</v>
      </c>
      <c r="J1003" s="10" t="n">
        <f aca="false">IF(COUNT(F1003,G1003)&lt;2,"",G1003/F1003)</f>
        <v>0.985406122889035</v>
      </c>
      <c r="K1003" s="10" t="n">
        <f aca="false">H1003/H1002-1</f>
        <v>0.00271035181533552</v>
      </c>
      <c r="L1003" s="10" t="n">
        <f aca="false">H1008/H1003-1</f>
        <v>-0.00100580888777591</v>
      </c>
      <c r="M1003" s="10" t="n">
        <f aca="false">IF(COUNT(B944:B1003)&lt;60,"",(B1003-AVERAGE(B944:B1003))/STDEV(B944:B1003))</f>
        <v>1.86180263098873</v>
      </c>
      <c r="N1003" s="10" t="n">
        <f aca="false">(H1003-AVERAGE(H944:H1003))/STDEV(H944:H1003)</f>
        <v>1.68360004989479</v>
      </c>
      <c r="O1003" s="10" t="n">
        <f aca="false">IF(COUNT(B1003)=0,"",B1003-('Signal Analysis'!$C$6+'Signal Analysis'!$C$5*H1003))</f>
        <v>0.786208589302525</v>
      </c>
    </row>
    <row r="1004" customFormat="false" ht="15" hidden="false" customHeight="false" outlineLevel="0" collapsed="false">
      <c r="A1004" s="8" t="n">
        <v>43780</v>
      </c>
      <c r="B1004" s="9" t="n">
        <v>20.5078676532</v>
      </c>
      <c r="C1004" s="9" t="n">
        <v>158.029999</v>
      </c>
      <c r="D1004" s="9" t="n">
        <v>158.899994</v>
      </c>
      <c r="E1004" s="9" t="n">
        <v>157.880005</v>
      </c>
      <c r="F1004" s="9" t="n">
        <v>158.779999</v>
      </c>
      <c r="G1004" s="9" t="n">
        <v>156.462784</v>
      </c>
      <c r="H1004" s="9" t="n">
        <v>156.462784</v>
      </c>
      <c r="I1004" s="2" t="str">
        <f aca="false">IF(COUNT(C1004:F1004)&lt;4,"",IF(OR(D1004&lt;MAX(C1004,F1004)-0.000001,E1004&gt;MIN(C1004,F1004)+0.000001),"FAIL","OK"))</f>
        <v>OK</v>
      </c>
      <c r="J1004" s="10" t="n">
        <f aca="false">IF(COUNT(F1004,G1004)&lt;2,"",G1004/F1004)</f>
        <v>0.985406127883903</v>
      </c>
      <c r="K1004" s="10" t="n">
        <f aca="false">H1004/H1003-1</f>
        <v>-0.00188585737614788</v>
      </c>
      <c r="L1004" s="10" t="n">
        <f aca="false">H1009/H1004-1</f>
        <v>-0.00163741813516494</v>
      </c>
      <c r="M1004" s="10" t="n">
        <f aca="false">IF(COUNT(B945:B1004)&lt;60,"",(B1004-AVERAGE(B945:B1004))/STDEV(B945:B1004))</f>
        <v>1.88658600447613</v>
      </c>
      <c r="N1004" s="10" t="n">
        <f aca="false">(H1004-AVERAGE(H945:H1004))/STDEV(H945:H1004)</f>
        <v>1.54774968567587</v>
      </c>
      <c r="O1004" s="10" t="n">
        <f aca="false">IF(COUNT(B1004)=0,"",B1004-('Signal Analysis'!$C$6+'Signal Analysis'!$C$5*H1004))</f>
        <v>0.902693525955918</v>
      </c>
    </row>
    <row r="1005" customFormat="false" ht="15" hidden="false" customHeight="false" outlineLevel="0" collapsed="false">
      <c r="A1005" s="8" t="n">
        <v>43781</v>
      </c>
      <c r="B1005" s="9" t="n">
        <v>20.4305325456</v>
      </c>
      <c r="C1005" s="9" t="n">
        <v>158.929993</v>
      </c>
      <c r="D1005" s="9" t="n">
        <v>159.880005</v>
      </c>
      <c r="E1005" s="9" t="n">
        <v>158.490005</v>
      </c>
      <c r="F1005" s="9" t="n">
        <v>158.830002</v>
      </c>
      <c r="G1005" s="9" t="n">
        <v>156.512054</v>
      </c>
      <c r="H1005" s="9" t="n">
        <v>156.512054</v>
      </c>
      <c r="I1005" s="2" t="str">
        <f aca="false">IF(COUNT(C1005:F1005)&lt;4,"",IF(OR(D1005&lt;MAX(C1005,F1005)-0.000001,E1005&gt;MIN(C1005,F1005)+0.000001),"FAIL","OK"))</f>
        <v>OK</v>
      </c>
      <c r="J1005" s="10" t="n">
        <f aca="false">IF(COUNT(F1005,G1005)&lt;2,"",G1005/F1005)</f>
        <v>0.985406107342365</v>
      </c>
      <c r="K1005" s="10" t="n">
        <f aca="false">H1005/H1004-1</f>
        <v>0.000314899164775229</v>
      </c>
      <c r="L1005" s="10" t="n">
        <f aca="false">H1010/H1005-1</f>
        <v>0.00176296325393577</v>
      </c>
      <c r="M1005" s="10" t="n">
        <f aca="false">IF(COUNT(B946:B1005)&lt;60,"",(B1005-AVERAGE(B946:B1005))/STDEV(B946:B1005))</f>
        <v>1.76794583666874</v>
      </c>
      <c r="N1005" s="10" t="n">
        <f aca="false">(H1005-AVERAGE(H946:H1005))/STDEV(H946:H1005)</f>
        <v>1.49860532100767</v>
      </c>
      <c r="O1005" s="10" t="n">
        <f aca="false">IF(COUNT(B1005)=0,"",B1005-('Signal Analysis'!$C$6+'Signal Analysis'!$C$5*H1005))</f>
        <v>0.81861865544197</v>
      </c>
    </row>
    <row r="1006" customFormat="false" ht="15" hidden="false" customHeight="false" outlineLevel="0" collapsed="false">
      <c r="A1006" s="8" t="n">
        <v>43782</v>
      </c>
      <c r="B1006" s="9" t="n">
        <v>20.516509332</v>
      </c>
      <c r="C1006" s="9" t="n">
        <v>157.740005</v>
      </c>
      <c r="D1006" s="9" t="n">
        <v>158.5</v>
      </c>
      <c r="E1006" s="9" t="n">
        <v>157.190002</v>
      </c>
      <c r="F1006" s="9" t="n">
        <v>158.149994</v>
      </c>
      <c r="G1006" s="9" t="n">
        <v>155.841995</v>
      </c>
      <c r="H1006" s="9" t="n">
        <v>155.841995</v>
      </c>
      <c r="I1006" s="2" t="str">
        <f aca="false">IF(COUNT(C1006:F1006)&lt;4,"",IF(OR(D1006&lt;MAX(C1006,F1006)-0.000001,E1006&gt;MIN(C1006,F1006)+0.000001),"FAIL","OK"))</f>
        <v>OK</v>
      </c>
      <c r="J1006" s="10" t="n">
        <f aca="false">IF(COUNT(F1006,G1006)&lt;2,"",G1006/F1006)</f>
        <v>0.985406265649305</v>
      </c>
      <c r="K1006" s="10" t="n">
        <f aca="false">H1006/H1005-1</f>
        <v>-0.00428119740860344</v>
      </c>
      <c r="L1006" s="10" t="n">
        <f aca="false">H1011/H1006-1</f>
        <v>0.0022762606446356</v>
      </c>
      <c r="M1006" s="10" t="n">
        <f aca="false">IF(COUNT(B947:B1006)&lt;60,"",(B1006-AVERAGE(B947:B1006))/STDEV(B947:B1006))</f>
        <v>1.7935807857817</v>
      </c>
      <c r="N1006" s="10" t="n">
        <f aca="false">(H1006-AVERAGE(H947:H1006))/STDEV(H947:H1006)</f>
        <v>1.29117136796207</v>
      </c>
      <c r="O1006" s="10" t="n">
        <f aca="false">IF(COUNT(B1006)=0,"",B1006-('Signal Analysis'!$C$6+'Signal Analysis'!$C$5*H1006))</f>
        <v>0.996254439170087</v>
      </c>
    </row>
    <row r="1007" customFormat="false" ht="15" hidden="false" customHeight="false" outlineLevel="0" collapsed="false">
      <c r="A1007" s="8" t="n">
        <v>43783</v>
      </c>
      <c r="B1007" s="9" t="n">
        <v>20.5802454</v>
      </c>
      <c r="C1007" s="9" t="n">
        <v>157.929993</v>
      </c>
      <c r="D1007" s="9" t="n">
        <v>158.910004</v>
      </c>
      <c r="E1007" s="9" t="n">
        <v>157.789993</v>
      </c>
      <c r="F1007" s="9" t="n">
        <v>158.100006</v>
      </c>
      <c r="G1007" s="9" t="n">
        <v>155.792709</v>
      </c>
      <c r="H1007" s="9" t="n">
        <v>155.792709</v>
      </c>
      <c r="I1007" s="2" t="str">
        <f aca="false">IF(COUNT(C1007:F1007)&lt;4,"",IF(OR(D1007&lt;MAX(C1007,F1007)-0.000001,E1007&gt;MIN(C1007,F1007)+0.000001),"FAIL","OK"))</f>
        <v>OK</v>
      </c>
      <c r="J1007" s="10" t="n">
        <f aca="false">IF(COUNT(F1007,G1007)&lt;2,"",G1007/F1007)</f>
        <v>0.985406091635443</v>
      </c>
      <c r="K1007" s="10" t="n">
        <f aca="false">H1007/H1006-1</f>
        <v>-0.000316256218357514</v>
      </c>
      <c r="L1007" s="10" t="n">
        <f aca="false">H1012/H1007-1</f>
        <v>-0.00234034058679855</v>
      </c>
      <c r="M1007" s="10" t="n">
        <f aca="false">IF(COUNT(B948:B1007)&lt;60,"",(B1007-AVERAGE(B948:B1007))/STDEV(B948:B1007))</f>
        <v>1.78850946431482</v>
      </c>
      <c r="N1007" s="10" t="n">
        <f aca="false">(H1007-AVERAGE(H948:H1007))/STDEV(H948:H1007)</f>
        <v>1.23529502852524</v>
      </c>
      <c r="O1007" s="10" t="n">
        <f aca="false">IF(COUNT(B1007)=0,"",B1007-('Signal Analysis'!$C$6+'Signal Analysis'!$C$5*H1007))</f>
        <v>1.06673245876289</v>
      </c>
    </row>
    <row r="1008" customFormat="false" ht="15" hidden="false" customHeight="false" outlineLevel="0" collapsed="false">
      <c r="A1008" s="8" t="n">
        <v>43784</v>
      </c>
      <c r="B1008" s="9" t="n">
        <v>19.10663088</v>
      </c>
      <c r="C1008" s="9" t="n">
        <v>159.229996</v>
      </c>
      <c r="D1008" s="9" t="n">
        <v>159.289993</v>
      </c>
      <c r="E1008" s="9" t="n">
        <v>158.350006</v>
      </c>
      <c r="F1008" s="9" t="n">
        <v>158.919998</v>
      </c>
      <c r="G1008" s="9" t="n">
        <v>156.600739</v>
      </c>
      <c r="H1008" s="9" t="n">
        <v>156.600739</v>
      </c>
      <c r="I1008" s="2" t="str">
        <f aca="false">IF(COUNT(C1008:F1008)&lt;4,"",IF(OR(D1008&lt;MAX(C1008,F1008)-0.000001,E1008&gt;MIN(C1008,F1008)+0.000001),"FAIL","OK"))</f>
        <v>OK</v>
      </c>
      <c r="J1008" s="10" t="n">
        <f aca="false">IF(COUNT(F1008,G1008)&lt;2,"",G1008/F1008)</f>
        <v>0.985406122393734</v>
      </c>
      <c r="K1008" s="10" t="n">
        <f aca="false">H1008/H1007-1</f>
        <v>0.00518657134333544</v>
      </c>
      <c r="L1008" s="10" t="n">
        <f aca="false">H1013/H1008-1</f>
        <v>-0.00440476210013285</v>
      </c>
      <c r="M1008" s="10" t="n">
        <f aca="false">IF(COUNT(B949:B1008)&lt;60,"",(B1008-AVERAGE(B949:B1008))/STDEV(B949:B1008))</f>
        <v>-0.0793235856829456</v>
      </c>
      <c r="N1008" s="10" t="n">
        <f aca="false">(H1008-AVERAGE(H949:H1008))/STDEV(H949:H1008)</f>
        <v>1.37308807611703</v>
      </c>
      <c r="O1008" s="10" t="n">
        <f aca="false">IF(COUNT(B1008)=0,"",B1008-('Signal Analysis'!$C$6+'Signal Analysis'!$C$5*H1008))</f>
        <v>-0.517414446610705</v>
      </c>
    </row>
    <row r="1009" customFormat="false" ht="15" hidden="false" customHeight="false" outlineLevel="0" collapsed="false">
      <c r="A1009" s="8" t="n">
        <v>43787</v>
      </c>
      <c r="B1009" s="9" t="n">
        <v>19.3108369656</v>
      </c>
      <c r="C1009" s="9" t="n">
        <v>158.720001</v>
      </c>
      <c r="D1009" s="9" t="n">
        <v>158.740005</v>
      </c>
      <c r="E1009" s="9" t="n">
        <v>157.940002</v>
      </c>
      <c r="F1009" s="9" t="n">
        <v>158.520004</v>
      </c>
      <c r="G1009" s="9" t="n">
        <v>156.206589</v>
      </c>
      <c r="H1009" s="9" t="n">
        <v>156.206589</v>
      </c>
      <c r="I1009" s="2" t="str">
        <f aca="false">IF(COUNT(C1009:F1009)&lt;4,"",IF(OR(D1009&lt;MAX(C1009,F1009)-0.000001,E1009&gt;MIN(C1009,F1009)+0.000001),"FAIL","OK"))</f>
        <v>OK</v>
      </c>
      <c r="J1009" s="10" t="n">
        <f aca="false">IF(COUNT(F1009,G1009)&lt;2,"",G1009/F1009)</f>
        <v>0.985406163628409</v>
      </c>
      <c r="K1009" s="10" t="n">
        <f aca="false">H1009/H1008-1</f>
        <v>-0.00251691021713507</v>
      </c>
      <c r="L1009" s="10" t="n">
        <f aca="false">H1014/H1009-1</f>
        <v>0.0193035071010992</v>
      </c>
      <c r="M1009" s="10" t="n">
        <f aca="false">IF(COUNT(B950:B1009)&lt;60,"",(B1009-AVERAGE(B950:B1009))/STDEV(B950:B1009))</f>
        <v>0.145644780401035</v>
      </c>
      <c r="N1009" s="10" t="n">
        <f aca="false">(H1009-AVERAGE(H950:H1009))/STDEV(H950:H1009)</f>
        <v>1.24963129880784</v>
      </c>
      <c r="O1009" s="10" t="n">
        <f aca="false">IF(COUNT(B1009)=0,"",B1009-('Signal Analysis'!$C$6+'Signal Analysis'!$C$5*H1009))</f>
        <v>-0.259291625623408</v>
      </c>
    </row>
    <row r="1010" customFormat="false" ht="15" hidden="false" customHeight="false" outlineLevel="0" collapsed="false">
      <c r="A1010" s="8" t="n">
        <v>43788</v>
      </c>
      <c r="B1010" s="9" t="n">
        <v>20.024620512</v>
      </c>
      <c r="C1010" s="9" t="n">
        <v>159.110001</v>
      </c>
      <c r="D1010" s="9" t="n">
        <v>159.699997</v>
      </c>
      <c r="E1010" s="9" t="n">
        <v>158.309998</v>
      </c>
      <c r="F1010" s="9" t="n">
        <v>159.110001</v>
      </c>
      <c r="G1010" s="9" t="n">
        <v>156.787979</v>
      </c>
      <c r="H1010" s="9" t="n">
        <v>156.787979</v>
      </c>
      <c r="I1010" s="2" t="str">
        <f aca="false">IF(COUNT(C1010:F1010)&lt;4,"",IF(OR(D1010&lt;MAX(C1010,F1010)-0.000001,E1010&gt;MIN(C1010,F1010)+0.000001),"FAIL","OK"))</f>
        <v>OK</v>
      </c>
      <c r="J1010" s="10" t="n">
        <f aca="false">IF(COUNT(F1010,G1010)&lt;2,"",G1010/F1010)</f>
        <v>0.985406184492451</v>
      </c>
      <c r="K1010" s="10" t="n">
        <f aca="false">H1010/H1009-1</f>
        <v>0.00372193006531885</v>
      </c>
      <c r="L1010" s="10" t="n">
        <f aca="false">H1015/H1010-1</f>
        <v>0.016215267370721</v>
      </c>
      <c r="M1010" s="10" t="n">
        <f aca="false">IF(COUNT(B951:B1010)&lt;60,"",(B1010-AVERAGE(B951:B1010))/STDEV(B951:B1010))</f>
        <v>1.06953576272957</v>
      </c>
      <c r="N1010" s="10" t="n">
        <f aca="false">(H1010-AVERAGE(H951:H1010))/STDEV(H951:H1010)</f>
        <v>1.34517834349501</v>
      </c>
      <c r="O1010" s="10" t="n">
        <f aca="false">IF(COUNT(B1010)=0,"",B1010-('Signal Analysis'!$C$6+'Signal Analysis'!$C$5*H1010))</f>
        <v>0.374962171222307</v>
      </c>
    </row>
    <row r="1011" customFormat="false" ht="15" hidden="false" customHeight="false" outlineLevel="0" collapsed="false">
      <c r="A1011" s="8" t="n">
        <v>43789</v>
      </c>
      <c r="B1011" s="9" t="n">
        <v>20.4681366576</v>
      </c>
      <c r="C1011" s="9" t="n">
        <v>158.550003</v>
      </c>
      <c r="D1011" s="9" t="n">
        <v>159.600006</v>
      </c>
      <c r="E1011" s="9" t="n">
        <v>157.259995</v>
      </c>
      <c r="F1011" s="9" t="n">
        <v>158.509995</v>
      </c>
      <c r="G1011" s="9" t="n">
        <v>156.196732</v>
      </c>
      <c r="H1011" s="9" t="n">
        <v>156.196732</v>
      </c>
      <c r="I1011" s="2" t="str">
        <f aca="false">IF(COUNT(C1011:F1011)&lt;4,"",IF(OR(D1011&lt;MAX(C1011,F1011)-0.000001,E1011&gt;MIN(C1011,F1011)+0.000001),"FAIL","OK"))</f>
        <v>OK</v>
      </c>
      <c r="J1011" s="10" t="n">
        <f aca="false">IF(COUNT(F1011,G1011)&lt;2,"",G1011/F1011)</f>
        <v>0.985406201041139</v>
      </c>
      <c r="K1011" s="10" t="n">
        <f aca="false">H1011/H1010-1</f>
        <v>-0.00377099700991757</v>
      </c>
      <c r="L1011" s="10" t="n">
        <f aca="false">H1016/H1011-1</f>
        <v>0.0272538224423287</v>
      </c>
      <c r="M1011" s="10" t="n">
        <f aca="false">IF(COUNT(B952:B1011)&lt;60,"",(B1011-AVERAGE(B952:B1011))/STDEV(B952:B1011))</f>
        <v>1.59647876630082</v>
      </c>
      <c r="N1011" s="10" t="n">
        <f aca="false">(H1011-AVERAGE(H952:H1011))/STDEV(H952:H1011)</f>
        <v>1.18184253480672</v>
      </c>
      <c r="O1011" s="10" t="n">
        <f aca="false">IF(COUNT(B1011)=0,"",B1011-('Signal Analysis'!$C$6+'Signal Analysis'!$C$5*H1011))</f>
        <v>0.899356429336663</v>
      </c>
    </row>
    <row r="1012" customFormat="false" ht="15" hidden="false" customHeight="false" outlineLevel="0" collapsed="false">
      <c r="A1012" s="8" t="n">
        <v>43790</v>
      </c>
      <c r="B1012" s="9" t="n">
        <v>19.5105342684</v>
      </c>
      <c r="C1012" s="9" t="n">
        <v>158.820007</v>
      </c>
      <c r="D1012" s="9" t="n">
        <v>158.889999</v>
      </c>
      <c r="E1012" s="9" t="n">
        <v>157.229996</v>
      </c>
      <c r="F1012" s="9" t="n">
        <v>157.729996</v>
      </c>
      <c r="G1012" s="9" t="n">
        <v>155.428101</v>
      </c>
      <c r="H1012" s="9" t="n">
        <v>155.428101</v>
      </c>
      <c r="I1012" s="2" t="str">
        <f aca="false">IF(COUNT(C1012:F1012)&lt;4,"",IF(OR(D1012&lt;MAX(C1012,F1012)-0.000001,E1012&gt;MIN(C1012,F1012)+0.000001),"FAIL","OK"))</f>
        <v>OK</v>
      </c>
      <c r="J1012" s="10" t="n">
        <f aca="false">IF(COUNT(F1012,G1012)&lt;2,"",G1012/F1012)</f>
        <v>0.985406104999838</v>
      </c>
      <c r="K1012" s="10" t="n">
        <f aca="false">H1012/H1011-1</f>
        <v>-0.0049209160150675</v>
      </c>
      <c r="L1012" s="10" t="n">
        <f aca="false">H1017/H1012-1</f>
        <v>0.0256135343247872</v>
      </c>
      <c r="M1012" s="10" t="n">
        <f aca="false">IF(COUNT(B953:B1012)&lt;60,"",(B1012-AVERAGE(B953:B1012))/STDEV(B953:B1012))</f>
        <v>0.30746653636304</v>
      </c>
      <c r="N1012" s="10" t="n">
        <f aca="false">(H1012-AVERAGE(H953:H1012))/STDEV(H953:H1012)</f>
        <v>0.967534856240932</v>
      </c>
      <c r="O1012" s="10" t="n">
        <f aca="false">IF(COUNT(B1012)=0,"",B1012-('Signal Analysis'!$C$6+'Signal Analysis'!$C$5*H1012))</f>
        <v>0.0468969406503632</v>
      </c>
    </row>
    <row r="1013" customFormat="false" ht="15" hidden="false" customHeight="false" outlineLevel="0" collapsed="false">
      <c r="A1013" s="8" t="n">
        <v>43791</v>
      </c>
      <c r="B1013" s="9" t="n">
        <v>20.392513344</v>
      </c>
      <c r="C1013" s="9" t="n">
        <v>158.309998</v>
      </c>
      <c r="D1013" s="9" t="n">
        <v>158.539993</v>
      </c>
      <c r="E1013" s="9" t="n">
        <v>157.350006</v>
      </c>
      <c r="F1013" s="9" t="n">
        <v>158.220001</v>
      </c>
      <c r="G1013" s="9" t="n">
        <v>155.91095</v>
      </c>
      <c r="H1013" s="9" t="n">
        <v>155.91095</v>
      </c>
      <c r="I1013" s="2" t="str">
        <f aca="false">IF(COUNT(C1013:F1013)&lt;4,"",IF(OR(D1013&lt;MAX(C1013,F1013)-0.000001,E1013&gt;MIN(C1013,F1013)+0.000001),"FAIL","OK"))</f>
        <v>OK</v>
      </c>
      <c r="J1013" s="10" t="n">
        <f aca="false">IF(COUNT(F1013,G1013)&lt;2,"",G1013/F1013)</f>
        <v>0.9854060739135</v>
      </c>
      <c r="K1013" s="10" t="n">
        <f aca="false">H1013/H1012-1</f>
        <v>0.00310657465988085</v>
      </c>
      <c r="L1013" s="10" t="n">
        <f aca="false">H1018/H1013-1</f>
        <v>0.0124511395767903</v>
      </c>
      <c r="M1013" s="10" t="n">
        <f aca="false">IF(COUNT(B954:B1013)&lt;60,"",(B1013-AVERAGE(B954:B1013))/STDEV(B954:B1013))</f>
        <v>1.45860329278501</v>
      </c>
      <c r="N1013" s="10" t="n">
        <f aca="false">(H1013-AVERAGE(H954:H1013))/STDEV(H954:H1013)</f>
        <v>1.05351997207225</v>
      </c>
      <c r="O1013" s="10" t="n">
        <f aca="false">IF(COUNT(B1013)=0,"",B1013-('Signal Analysis'!$C$6+'Signal Analysis'!$C$5*H1013))</f>
        <v>0.862825929316401</v>
      </c>
    </row>
    <row r="1014" customFormat="false" ht="15" hidden="false" customHeight="false" outlineLevel="0" collapsed="false">
      <c r="A1014" s="8" t="n">
        <v>43794</v>
      </c>
      <c r="B1014" s="9" t="n">
        <v>19.01203128</v>
      </c>
      <c r="C1014" s="9" t="n">
        <v>159.029999</v>
      </c>
      <c r="D1014" s="9" t="n">
        <v>161.830002</v>
      </c>
      <c r="E1014" s="9" t="n">
        <v>158.889999</v>
      </c>
      <c r="F1014" s="9" t="n">
        <v>161.580002</v>
      </c>
      <c r="G1014" s="9" t="n">
        <v>159.221924</v>
      </c>
      <c r="H1014" s="9" t="n">
        <v>159.221924</v>
      </c>
      <c r="I1014" s="2" t="str">
        <f aca="false">IF(COUNT(C1014:F1014)&lt;4,"",IF(OR(D1014&lt;MAX(C1014,F1014)-0.000001,E1014&gt;MIN(C1014,F1014)+0.000001),"FAIL","OK"))</f>
        <v>OK</v>
      </c>
      <c r="J1014" s="10" t="n">
        <f aca="false">IF(COUNT(F1014,G1014)&lt;2,"",G1014/F1014)</f>
        <v>0.985406127176555</v>
      </c>
      <c r="K1014" s="10" t="n">
        <f aca="false">H1014/H1013-1</f>
        <v>0.0212363147040024</v>
      </c>
      <c r="L1014" s="10" t="n">
        <f aca="false">H1019/H1014-1</f>
        <v>-0.0117589585213153</v>
      </c>
      <c r="M1014" s="10" t="n">
        <f aca="false">IF(COUNT(B955:B1014)&lt;60,"",(B1014-AVERAGE(B955:B1014))/STDEV(B955:B1014))</f>
        <v>-0.403473348135519</v>
      </c>
      <c r="N1014" s="10" t="n">
        <f aca="false">(H1014-AVERAGE(H955:H1014))/STDEV(H955:H1014)</f>
        <v>1.80759784627257</v>
      </c>
      <c r="O1014" s="10" t="n">
        <f aca="false">IF(COUNT(B1014)=0,"",B1014-('Signal Analysis'!$C$6+'Signal Analysis'!$C$5*H1014))</f>
        <v>-0.970572306273663</v>
      </c>
    </row>
    <row r="1015" customFormat="false" ht="15" hidden="false" customHeight="false" outlineLevel="0" collapsed="false">
      <c r="A1015" s="8" t="n">
        <v>43795</v>
      </c>
      <c r="B1015" s="9" t="n">
        <v>19.03095336</v>
      </c>
      <c r="C1015" s="9" t="n">
        <v>161.75</v>
      </c>
      <c r="D1015" s="9" t="n">
        <v>162.539993</v>
      </c>
      <c r="E1015" s="9" t="n">
        <v>161.289993</v>
      </c>
      <c r="F1015" s="9" t="n">
        <v>161.690002</v>
      </c>
      <c r="G1015" s="9" t="n">
        <v>159.330338</v>
      </c>
      <c r="H1015" s="9" t="n">
        <v>159.330338</v>
      </c>
      <c r="I1015" s="2" t="str">
        <f aca="false">IF(COUNT(C1015:F1015)&lt;4,"",IF(OR(D1015&lt;MAX(C1015,F1015)-0.000001,E1015&gt;MIN(C1015,F1015)+0.000001),"FAIL","OK"))</f>
        <v>OK</v>
      </c>
      <c r="J1015" s="10" t="n">
        <f aca="false">IF(COUNT(F1015,G1015)&lt;2,"",G1015/F1015)</f>
        <v>0.985406246701636</v>
      </c>
      <c r="K1015" s="10" t="n">
        <f aca="false">H1015/H1014-1</f>
        <v>0.000680898693323329</v>
      </c>
      <c r="L1015" s="10" t="n">
        <f aca="false">H1020/H1015-1</f>
        <v>-0.00562820622397731</v>
      </c>
      <c r="M1015" s="10" t="n">
        <f aca="false">IF(COUNT(B956:B1015)&lt;60,"",(B1015-AVERAGE(B956:B1015))/STDEV(B956:B1015))</f>
        <v>-0.393425327307739</v>
      </c>
      <c r="N1015" s="10" t="n">
        <f aca="false">(H1015-AVERAGE(H956:H1015))/STDEV(H956:H1015)</f>
        <v>1.78214872348675</v>
      </c>
      <c r="O1015" s="10" t="n">
        <f aca="false">IF(COUNT(B1015)=0,"",B1015-('Signal Analysis'!$C$6+'Signal Analysis'!$C$5*H1015))</f>
        <v>-0.966480440532898</v>
      </c>
    </row>
    <row r="1016" customFormat="false" ht="15" hidden="false" customHeight="false" outlineLevel="0" collapsed="false">
      <c r="A1016" s="8" t="n">
        <v>43796</v>
      </c>
      <c r="B1016" s="9" t="n">
        <v>20.215922832</v>
      </c>
      <c r="C1016" s="9" t="n">
        <v>162.380005</v>
      </c>
      <c r="D1016" s="9" t="n">
        <v>162.929993</v>
      </c>
      <c r="E1016" s="9" t="n">
        <v>162.080002</v>
      </c>
      <c r="F1016" s="9" t="n">
        <v>162.830002</v>
      </c>
      <c r="G1016" s="9" t="n">
        <v>160.45369</v>
      </c>
      <c r="H1016" s="9" t="n">
        <v>160.45369</v>
      </c>
      <c r="I1016" s="2" t="str">
        <f aca="false">IF(COUNT(C1016:F1016)&lt;4,"",IF(OR(D1016&lt;MAX(C1016,F1016)-0.000001,E1016&gt;MIN(C1016,F1016)+0.000001),"FAIL","OK"))</f>
        <v>OK</v>
      </c>
      <c r="J1016" s="10" t="n">
        <f aca="false">IF(COUNT(F1016,G1016)&lt;2,"",G1016/F1016)</f>
        <v>0.985406178401938</v>
      </c>
      <c r="K1016" s="10" t="n">
        <f aca="false">H1016/H1015-1</f>
        <v>0.00705045890255995</v>
      </c>
      <c r="L1016" s="10" t="n">
        <f aca="false">H1021/H1016-1</f>
        <v>-0.01160716216623</v>
      </c>
      <c r="M1016" s="10" t="n">
        <f aca="false">IF(COUNT(B957:B1016)&lt;60,"",(B1016-AVERAGE(B957:B1016))/STDEV(B957:B1016))</f>
        <v>1.20320810680001</v>
      </c>
      <c r="N1016" s="10" t="n">
        <f aca="false">(H1016-AVERAGE(H957:H1016))/STDEV(H957:H1016)</f>
        <v>1.98280060268291</v>
      </c>
      <c r="O1016" s="10" t="n">
        <f aca="false">IF(COUNT(B1016)=0,"",B1016-('Signal Analysis'!$C$6+'Signal Analysis'!$C$5*H1016))</f>
        <v>0.0648229841988268</v>
      </c>
    </row>
    <row r="1017" customFormat="false" ht="15" hidden="false" customHeight="false" outlineLevel="0" collapsed="false">
      <c r="A1017" s="8" t="n">
        <v>43798</v>
      </c>
      <c r="B1017" s="9" t="n">
        <v>19.9852682016</v>
      </c>
      <c r="C1017" s="9" t="n">
        <v>162.410004</v>
      </c>
      <c r="D1017" s="9" t="n">
        <v>162.789993</v>
      </c>
      <c r="E1017" s="9" t="n">
        <v>161.669998</v>
      </c>
      <c r="F1017" s="9" t="n">
        <v>161.770004</v>
      </c>
      <c r="G1017" s="9" t="n">
        <v>159.409164</v>
      </c>
      <c r="H1017" s="9" t="n">
        <v>159.409164</v>
      </c>
      <c r="I1017" s="2" t="str">
        <f aca="false">IF(COUNT(C1017:F1017)&lt;4,"",IF(OR(D1017&lt;MAX(C1017,F1017)-0.000001,E1017&gt;MIN(C1017,F1017)+0.000001),"FAIL","OK"))</f>
        <v>OK</v>
      </c>
      <c r="J1017" s="10" t="n">
        <f aca="false">IF(COUNT(F1017,G1017)&lt;2,"",G1017/F1017)</f>
        <v>0.985406194339959</v>
      </c>
      <c r="K1017" s="10" t="n">
        <f aca="false">H1017/H1016-1</f>
        <v>-0.00650982847449622</v>
      </c>
      <c r="L1017" s="10" t="n">
        <f aca="false">H1022/H1017-1</f>
        <v>0.00649064316026382</v>
      </c>
      <c r="M1017" s="10" t="n">
        <f aca="false">IF(COUNT(B958:B1017)&lt;60,"",(B1017-AVERAGE(B958:B1017))/STDEV(B958:B1017))</f>
        <v>0.861624037423894</v>
      </c>
      <c r="N1017" s="10" t="n">
        <f aca="false">(H1017-AVERAGE(H958:H1017))/STDEV(H958:H1017)</f>
        <v>1.65507743687628</v>
      </c>
      <c r="O1017" s="10" t="n">
        <f aca="false">IF(COUNT(B1017)=0,"",B1017-('Signal Analysis'!$C$6+'Signal Analysis'!$C$5*H1017))</f>
        <v>-0.0229483988406471</v>
      </c>
    </row>
    <row r="1018" customFormat="false" ht="15" hidden="false" customHeight="false" outlineLevel="0" collapsed="false">
      <c r="A1018" s="8" t="n">
        <v>43801</v>
      </c>
      <c r="B1018" s="9" t="n">
        <v>20.3821346976</v>
      </c>
      <c r="C1018" s="9" t="n">
        <v>162.149994</v>
      </c>
      <c r="D1018" s="9" t="n">
        <v>162.210007</v>
      </c>
      <c r="E1018" s="9" t="n">
        <v>159.910004</v>
      </c>
      <c r="F1018" s="9" t="n">
        <v>160.190002</v>
      </c>
      <c r="G1018" s="9" t="n">
        <v>157.852219</v>
      </c>
      <c r="H1018" s="9" t="n">
        <v>157.852219</v>
      </c>
      <c r="I1018" s="2" t="str">
        <f aca="false">IF(COUNT(C1018:F1018)&lt;4,"",IF(OR(D1018&lt;MAX(C1018,F1018)-0.000001,E1018&gt;MIN(C1018,F1018)+0.000001),"FAIL","OK"))</f>
        <v>OK</v>
      </c>
      <c r="J1018" s="10" t="n">
        <f aca="false">IF(COUNT(F1018,G1018)&lt;2,"",G1018/F1018)</f>
        <v>0.985406186585852</v>
      </c>
      <c r="K1018" s="10" t="n">
        <f aca="false">H1018/H1017-1</f>
        <v>-0.00976697299535434</v>
      </c>
      <c r="L1018" s="10" t="n">
        <f aca="false">H1023/H1018-1</f>
        <v>0.014482837266925</v>
      </c>
      <c r="M1018" s="10" t="n">
        <f aca="false">IF(COUNT(B959:B1018)&lt;60,"",(B1018-AVERAGE(B959:B1018))/STDEV(B959:B1018))</f>
        <v>1.34976698670219</v>
      </c>
      <c r="N1018" s="10" t="n">
        <f aca="false">(H1018-AVERAGE(H959:H1018))/STDEV(H959:H1018)</f>
        <v>1.2341626417626</v>
      </c>
      <c r="O1018" s="10" t="n">
        <f aca="false">IF(COUNT(B1018)=0,"",B1018-('Signal Analysis'!$C$6+'Signal Analysis'!$C$5*H1018))</f>
        <v>0.586896383541639</v>
      </c>
    </row>
    <row r="1019" customFormat="false" ht="15" hidden="false" customHeight="false" outlineLevel="0" collapsed="false">
      <c r="A1019" s="8" t="n">
        <v>43802</v>
      </c>
      <c r="B1019" s="9" t="n">
        <v>19.22251644</v>
      </c>
      <c r="C1019" s="9" t="n">
        <v>158.820007</v>
      </c>
      <c r="D1019" s="9" t="n">
        <v>159.759995</v>
      </c>
      <c r="E1019" s="9" t="n">
        <v>158.100006</v>
      </c>
      <c r="F1019" s="9" t="n">
        <v>159.679993</v>
      </c>
      <c r="G1019" s="9" t="n">
        <v>157.34964</v>
      </c>
      <c r="H1019" s="9" t="n">
        <v>157.34964</v>
      </c>
      <c r="I1019" s="2" t="str">
        <f aca="false">IF(COUNT(C1019:F1019)&lt;4,"",IF(OR(D1019&lt;MAX(C1019,F1019)-0.000001,E1019&gt;MIN(C1019,F1019)+0.000001),"FAIL","OK"))</f>
        <v>OK</v>
      </c>
      <c r="J1019" s="10" t="n">
        <f aca="false">IF(COUNT(F1019,G1019)&lt;2,"",G1019/F1019)</f>
        <v>0.985406105322161</v>
      </c>
      <c r="K1019" s="10" t="n">
        <f aca="false">H1019/H1018-1</f>
        <v>-0.00318385768146845</v>
      </c>
      <c r="L1019" s="10" t="n">
        <f aca="false">H1024/H1019-1</f>
        <v>0.0183493778568544</v>
      </c>
      <c r="M1019" s="10" t="n">
        <f aca="false">IF(COUNT(B960:B1019)&lt;60,"",(B1019-AVERAGE(B960:B1019))/STDEV(B960:B1019))</f>
        <v>-0.192643935195763</v>
      </c>
      <c r="N1019" s="10" t="n">
        <f aca="false">(H1019-AVERAGE(H960:H1019))/STDEV(H960:H1019)</f>
        <v>1.07442040239824</v>
      </c>
      <c r="O1019" s="10" t="n">
        <f aca="false">IF(COUNT(B1019)=0,"",B1019-('Signal Analysis'!$C$6+'Signal Analysis'!$C$5*H1019))</f>
        <v>-0.503972872525413</v>
      </c>
    </row>
    <row r="1020" customFormat="false" ht="15" hidden="false" customHeight="false" outlineLevel="0" collapsed="false">
      <c r="A1020" s="8" t="n">
        <v>43803</v>
      </c>
      <c r="B1020" s="9" t="n">
        <v>19.388064</v>
      </c>
      <c r="C1020" s="9" t="n">
        <v>160.5</v>
      </c>
      <c r="D1020" s="9" t="n">
        <v>161.220001</v>
      </c>
      <c r="E1020" s="9" t="n">
        <v>160.300003</v>
      </c>
      <c r="F1020" s="9" t="n">
        <v>160.779999</v>
      </c>
      <c r="G1020" s="9" t="n">
        <v>158.433594</v>
      </c>
      <c r="H1020" s="9" t="n">
        <v>158.433594</v>
      </c>
      <c r="I1020" s="2" t="str">
        <f aca="false">IF(COUNT(C1020:F1020)&lt;4,"",IF(OR(D1020&lt;MAX(C1020,F1020)-0.000001,E1020&gt;MIN(C1020,F1020)+0.000001),"FAIL","OK"))</f>
        <v>OK</v>
      </c>
      <c r="J1020" s="10" t="n">
        <f aca="false">IF(COUNT(F1020,G1020)&lt;2,"",G1020/F1020)</f>
        <v>0.985406113853751</v>
      </c>
      <c r="K1020" s="10" t="n">
        <f aca="false">H1020/H1019-1</f>
        <v>0.00688882414983594</v>
      </c>
      <c r="L1020" s="10" t="n">
        <f aca="false">H1025/H1020-1</f>
        <v>0.011071155780257</v>
      </c>
      <c r="M1020" s="10" t="n">
        <f aca="false">IF(COUNT(B961:B1020)&lt;60,"",(B1020-AVERAGE(B961:B1020))/STDEV(B961:B1020))</f>
        <v>0.0204885377825244</v>
      </c>
      <c r="N1020" s="10" t="n">
        <f aca="false">(H1020-AVERAGE(H961:H1020))/STDEV(H961:H1020)</f>
        <v>1.29223361275899</v>
      </c>
      <c r="O1020" s="10" t="n">
        <f aca="false">IF(COUNT(B1020)=0,"",B1020-('Signal Analysis'!$C$6+'Signal Analysis'!$C$5*H1020))</f>
        <v>-0.486702011726234</v>
      </c>
    </row>
    <row r="1021" customFormat="false" ht="15" hidden="false" customHeight="false" outlineLevel="0" collapsed="false">
      <c r="A1021" s="8" t="n">
        <v>43804</v>
      </c>
      <c r="B1021" s="9" t="n">
        <v>19.6998388704</v>
      </c>
      <c r="C1021" s="9" t="n">
        <v>161.470001</v>
      </c>
      <c r="D1021" s="9" t="n">
        <v>161.649994</v>
      </c>
      <c r="E1021" s="9" t="n">
        <v>160.449997</v>
      </c>
      <c r="F1021" s="9" t="n">
        <v>160.940002</v>
      </c>
      <c r="G1021" s="9" t="n">
        <v>158.591278</v>
      </c>
      <c r="H1021" s="9" t="n">
        <v>158.591278</v>
      </c>
      <c r="I1021" s="2" t="str">
        <f aca="false">IF(COUNT(C1021:F1021)&lt;4,"",IF(OR(D1021&lt;MAX(C1021,F1021)-0.000001,E1021&gt;MIN(C1021,F1021)+0.000001),"FAIL","OK"))</f>
        <v>OK</v>
      </c>
      <c r="J1021" s="10" t="n">
        <f aca="false">IF(COUNT(F1021,G1021)&lt;2,"",G1021/F1021)</f>
        <v>0.98540621367707</v>
      </c>
      <c r="K1021" s="10" t="n">
        <f aca="false">H1021/H1020-1</f>
        <v>0.00099526871807254</v>
      </c>
      <c r="L1021" s="10" t="n">
        <f aca="false">H1026/H1021-1</f>
        <v>0.0187647267714182</v>
      </c>
      <c r="M1021" s="10" t="n">
        <f aca="false">IF(COUNT(B962:B1021)&lt;60,"",(B1021-AVERAGE(B962:B1021))/STDEV(B962:B1021))</f>
        <v>0.428942596565985</v>
      </c>
      <c r="N1021" s="10" t="n">
        <f aca="false">(H1021-AVERAGE(H962:H1021))/STDEV(H962:H1021)</f>
        <v>1.29414739193937</v>
      </c>
      <c r="O1021" s="10" t="n">
        <f aca="false">IF(COUNT(B1021)=0,"",B1021-('Signal Analysis'!$C$6+'Signal Analysis'!$C$5*H1021))</f>
        <v>-0.196497118499416</v>
      </c>
    </row>
    <row r="1022" customFormat="false" ht="15" hidden="false" customHeight="false" outlineLevel="0" collapsed="false">
      <c r="A1022" s="8" t="n">
        <v>43805</v>
      </c>
      <c r="B1022" s="9" t="n">
        <v>21.394667052</v>
      </c>
      <c r="C1022" s="9" t="n">
        <v>162.589996</v>
      </c>
      <c r="D1022" s="9" t="n">
        <v>163.410004</v>
      </c>
      <c r="E1022" s="9" t="n">
        <v>162.5</v>
      </c>
      <c r="F1022" s="9" t="n">
        <v>162.820007</v>
      </c>
      <c r="G1022" s="9" t="n">
        <v>160.443832</v>
      </c>
      <c r="H1022" s="9" t="n">
        <v>160.443832</v>
      </c>
      <c r="I1022" s="2" t="str">
        <f aca="false">IF(COUNT(C1022:F1022)&lt;4,"",IF(OR(D1022&lt;MAX(C1022,F1022)-0.000001,E1022&gt;MIN(C1022,F1022)+0.000001),"FAIL","OK"))</f>
        <v>OK</v>
      </c>
      <c r="J1022" s="10" t="n">
        <f aca="false">IF(COUNT(F1022,G1022)&lt;2,"",G1022/F1022)</f>
        <v>0.985406123953796</v>
      </c>
      <c r="K1022" s="10" t="n">
        <f aca="false">H1022/H1021-1</f>
        <v>0.0116813107464837</v>
      </c>
      <c r="L1022" s="10" t="n">
        <f aca="false">H1027/H1022-1</f>
        <v>0.0031323360563964</v>
      </c>
      <c r="M1022" s="10" t="n">
        <f aca="false">IF(COUNT(B963:B1022)&lt;60,"",(B1022-AVERAGE(B963:B1022))/STDEV(B963:B1022))</f>
        <v>2.50783625751456</v>
      </c>
      <c r="N1022" s="10" t="n">
        <f aca="false">(H1022-AVERAGE(H963:H1022))/STDEV(H963:H1022)</f>
        <v>1.66873855585243</v>
      </c>
      <c r="O1022" s="10" t="n">
        <f aca="false">IF(COUNT(B1022)=0,"",B1022-('Signal Analysis'!$C$6+'Signal Analysis'!$C$5*H1022))</f>
        <v>1.24491570395133</v>
      </c>
    </row>
    <row r="1023" customFormat="false" ht="15" hidden="false" customHeight="false" outlineLevel="0" collapsed="false">
      <c r="A1023" s="8" t="n">
        <v>43808</v>
      </c>
      <c r="B1023" s="9" t="n">
        <v>20.13342648</v>
      </c>
      <c r="C1023" s="9" t="n">
        <v>162.75</v>
      </c>
      <c r="D1023" s="9" t="n">
        <v>163.160004</v>
      </c>
      <c r="E1023" s="9" t="n">
        <v>162.389999</v>
      </c>
      <c r="F1023" s="9" t="n">
        <v>162.509995</v>
      </c>
      <c r="G1023" s="9" t="n">
        <v>160.138367</v>
      </c>
      <c r="H1023" s="9" t="n">
        <v>160.138367</v>
      </c>
      <c r="I1023" s="2" t="str">
        <f aca="false">IF(COUNT(C1023:F1023)&lt;4,"",IF(OR(D1023&lt;MAX(C1023,F1023)-0.000001,E1023&gt;MIN(C1023,F1023)+0.000001),"FAIL","OK"))</f>
        <v>OK</v>
      </c>
      <c r="J1023" s="10" t="n">
        <f aca="false">IF(COUNT(F1023,G1023)&lt;2,"",G1023/F1023)</f>
        <v>0.985406263780883</v>
      </c>
      <c r="K1023" s="10" t="n">
        <f aca="false">H1023/H1022-1</f>
        <v>-0.00190387499595501</v>
      </c>
      <c r="L1023" s="10" t="n">
        <f aca="false">H1028/H1023-1</f>
        <v>0.0121297852375379</v>
      </c>
      <c r="M1023" s="10" t="n">
        <f aca="false">IF(COUNT(B964:B1023)&lt;60,"",(B1023-AVERAGE(B964:B1023))/STDEV(B964:B1023))</f>
        <v>0.886897299143999</v>
      </c>
      <c r="N1023" s="10" t="n">
        <f aca="false">(H1023-AVERAGE(H964:H1023))/STDEV(H964:H1023)</f>
        <v>1.54437551327419</v>
      </c>
      <c r="O1023" s="10" t="n">
        <f aca="false">IF(COUNT(B1023)=0,"",B1023-('Signal Analysis'!$C$6+'Signal Analysis'!$C$5*H1023))</f>
        <v>0.0254604308859498</v>
      </c>
    </row>
    <row r="1024" customFormat="false" ht="15" hidden="false" customHeight="false" outlineLevel="0" collapsed="false">
      <c r="A1024" s="8" t="n">
        <v>43809</v>
      </c>
      <c r="B1024" s="9" t="n">
        <v>20.564243532</v>
      </c>
      <c r="C1024" s="9" t="n">
        <v>162.410004</v>
      </c>
      <c r="D1024" s="9" t="n">
        <v>162.960007</v>
      </c>
      <c r="E1024" s="9" t="n">
        <v>161.940002</v>
      </c>
      <c r="F1024" s="9" t="n">
        <v>162.610001</v>
      </c>
      <c r="G1024" s="9" t="n">
        <v>160.236908</v>
      </c>
      <c r="H1024" s="9" t="n">
        <v>160.236908</v>
      </c>
      <c r="I1024" s="2" t="str">
        <f aca="false">IF(COUNT(C1024:F1024)&lt;4,"",IF(OR(D1024&lt;MAX(C1024,F1024)-0.000001,E1024&gt;MIN(C1024,F1024)+0.000001),"FAIL","OK"))</f>
        <v>OK</v>
      </c>
      <c r="J1024" s="10" t="n">
        <f aca="false">IF(COUNT(F1024,G1024)&lt;2,"",G1024/F1024)</f>
        <v>0.985406229718921</v>
      </c>
      <c r="K1024" s="10" t="n">
        <f aca="false">H1024/H1023-1</f>
        <v>0.000615349099944318</v>
      </c>
      <c r="L1024" s="10" t="n">
        <f aca="false">H1029/H1024-1</f>
        <v>0.0165685423735211</v>
      </c>
      <c r="M1024" s="10" t="n">
        <f aca="false">IF(COUNT(B965:B1024)&lt;60,"",(B1024-AVERAGE(B965:B1024))/STDEV(B965:B1024))</f>
        <v>1.37839082113948</v>
      </c>
      <c r="N1024" s="10" t="n">
        <f aca="false">(H1024-AVERAGE(H965:H1024))/STDEV(H965:H1024)</f>
        <v>1.51806420564571</v>
      </c>
      <c r="O1024" s="10" t="n">
        <f aca="false">IF(COUNT(B1024)=0,"",B1024-('Signal Analysis'!$C$6+'Signal Analysis'!$C$5*H1024))</f>
        <v>0.442797820265625</v>
      </c>
    </row>
    <row r="1025" customFormat="false" ht="15" hidden="false" customHeight="false" outlineLevel="0" collapsed="false">
      <c r="A1025" s="8" t="n">
        <v>43810</v>
      </c>
      <c r="B1025" s="9" t="n">
        <v>20.0626423848</v>
      </c>
      <c r="C1025" s="9" t="n">
        <v>162.880005</v>
      </c>
      <c r="D1025" s="9" t="n">
        <v>163.080002</v>
      </c>
      <c r="E1025" s="9" t="n">
        <v>161.949997</v>
      </c>
      <c r="F1025" s="9" t="n">
        <v>162.559998</v>
      </c>
      <c r="G1025" s="9" t="n">
        <v>160.187637</v>
      </c>
      <c r="H1025" s="9" t="n">
        <v>160.187637</v>
      </c>
      <c r="I1025" s="2" t="str">
        <f aca="false">IF(COUNT(C1025:F1025)&lt;4,"",IF(OR(D1025&lt;MAX(C1025,F1025)-0.000001,E1025&gt;MIN(C1025,F1025)+0.000001),"FAIL","OK"))</f>
        <v>OK</v>
      </c>
      <c r="J1025" s="10" t="n">
        <f aca="false">IF(COUNT(F1025,G1025)&lt;2,"",G1025/F1025)</f>
        <v>0.985406243668876</v>
      </c>
      <c r="K1025" s="10" t="n">
        <f aca="false">H1025/H1024-1</f>
        <v>-0.000307488459525218</v>
      </c>
      <c r="L1025" s="10" t="n">
        <f aca="false">H1030/H1025-1</f>
        <v>0.018856917153975</v>
      </c>
      <c r="M1025" s="10" t="n">
        <f aca="false">IF(COUNT(B966:B1025)&lt;60,"",(B1025-AVERAGE(B966:B1025))/STDEV(B966:B1025))</f>
        <v>0.726578698199588</v>
      </c>
      <c r="N1025" s="10" t="n">
        <f aca="false">(H1025-AVERAGE(H966:H1025))/STDEV(H966:H1025)</f>
        <v>1.45987947943555</v>
      </c>
      <c r="O1025" s="10" t="n">
        <f aca="false">IF(COUNT(B1025)=0,"",B1025-('Signal Analysis'!$C$6+'Signal Analysis'!$C$5*H1025))</f>
        <v>-0.0520634272279992</v>
      </c>
    </row>
    <row r="1026" customFormat="false" ht="15" hidden="false" customHeight="false" outlineLevel="0" collapsed="false">
      <c r="A1026" s="8" t="n">
        <v>43811</v>
      </c>
      <c r="B1026" s="9" t="n">
        <v>21.667517256</v>
      </c>
      <c r="C1026" s="9" t="n">
        <v>162.75</v>
      </c>
      <c r="D1026" s="9" t="n">
        <v>165.100006</v>
      </c>
      <c r="E1026" s="9" t="n">
        <v>162.25</v>
      </c>
      <c r="F1026" s="9" t="n">
        <v>163.960007</v>
      </c>
      <c r="G1026" s="9" t="n">
        <v>161.5672</v>
      </c>
      <c r="H1026" s="9" t="n">
        <v>161.5672</v>
      </c>
      <c r="I1026" s="2" t="str">
        <f aca="false">IF(COUNT(C1026:F1026)&lt;4,"",IF(OR(D1026&lt;MAX(C1026,F1026)-0.000001,E1026&gt;MIN(C1026,F1026)+0.000001),"FAIL","OK"))</f>
        <v>OK</v>
      </c>
      <c r="J1026" s="10" t="n">
        <f aca="false">IF(COUNT(F1026,G1026)&lt;2,"",G1026/F1026)</f>
        <v>0.985406154563046</v>
      </c>
      <c r="K1026" s="10" t="n">
        <f aca="false">H1026/H1025-1</f>
        <v>0.00861216899029493</v>
      </c>
      <c r="L1026" s="10" t="n">
        <f aca="false">H1031/H1026-1</f>
        <v>0.0145034202486642</v>
      </c>
      <c r="M1026" s="10" t="n">
        <f aca="false">IF(COUNT(B967:B1026)&lt;60,"",(B1026-AVERAGE(B967:B1026))/STDEV(B967:B1026))</f>
        <v>2.55698808824804</v>
      </c>
      <c r="N1026" s="10" t="n">
        <f aca="false">(H1026-AVERAGE(H967:H1026))/STDEV(H967:H1026)</f>
        <v>1.68996134933656</v>
      </c>
      <c r="O1026" s="10" t="n">
        <f aca="false">IF(COUNT(B1026)=0,"",B1026-('Signal Analysis'!$C$6+'Signal Analysis'!$C$5*H1026))</f>
        <v>1.3640976720042</v>
      </c>
    </row>
    <row r="1027" customFormat="false" ht="15" hidden="false" customHeight="false" outlineLevel="0" collapsed="false">
      <c r="A1027" s="8" t="n">
        <v>43812</v>
      </c>
      <c r="B1027" s="9" t="n">
        <v>20.1316473432</v>
      </c>
      <c r="C1027" s="9" t="n">
        <v>163.729996</v>
      </c>
      <c r="D1027" s="9" t="n">
        <v>164.809998</v>
      </c>
      <c r="E1027" s="9" t="n">
        <v>162.550003</v>
      </c>
      <c r="F1027" s="9" t="n">
        <v>163.330002</v>
      </c>
      <c r="G1027" s="9" t="n">
        <v>160.946396</v>
      </c>
      <c r="H1027" s="9" t="n">
        <v>160.946396</v>
      </c>
      <c r="I1027" s="2" t="str">
        <f aca="false">IF(COUNT(C1027:F1027)&lt;4,"",IF(OR(D1027&lt;MAX(C1027,F1027)-0.000001,E1027&gt;MIN(C1027,F1027)+0.000001),"FAIL","OK"))</f>
        <v>OK</v>
      </c>
      <c r="J1027" s="10" t="n">
        <f aca="false">IF(COUNT(F1027,G1027)&lt;2,"",G1027/F1027)</f>
        <v>0.98540619622352</v>
      </c>
      <c r="K1027" s="10" t="n">
        <f aca="false">H1027/H1026-1</f>
        <v>-0.00384238880168764</v>
      </c>
      <c r="L1027" s="10" t="n">
        <f aca="false">H1032/H1027-1</f>
        <v>0.0198914798937158</v>
      </c>
      <c r="M1027" s="10" t="n">
        <f aca="false">IF(COUNT(B968:B1027)&lt;60,"",(B1027-AVERAGE(B968:B1027))/STDEV(B968:B1027))</f>
        <v>0.696337858188952</v>
      </c>
      <c r="N1027" s="10" t="n">
        <f aca="false">(H1027-AVERAGE(H968:H1027))/STDEV(H968:H1027)</f>
        <v>1.49938127408677</v>
      </c>
      <c r="O1027" s="10" t="n">
        <f aca="false">IF(COUNT(B1027)=0,"",B1027-('Signal Analysis'!$C$6+'Signal Analysis'!$C$5*H1027))</f>
        <v>-0.0868509544952083</v>
      </c>
    </row>
    <row r="1028" customFormat="false" ht="15" hidden="false" customHeight="false" outlineLevel="0" collapsed="false">
      <c r="A1028" s="8" t="n">
        <v>43815</v>
      </c>
      <c r="B1028" s="9" t="n">
        <v>21.1667466768</v>
      </c>
      <c r="C1028" s="9" t="n">
        <v>164.059998</v>
      </c>
      <c r="D1028" s="9" t="n">
        <v>164.850006</v>
      </c>
      <c r="E1028" s="9" t="n">
        <v>163.740005</v>
      </c>
      <c r="F1028" s="9" t="n">
        <v>163.880005</v>
      </c>
      <c r="G1028" s="9" t="n">
        <v>162.080811</v>
      </c>
      <c r="H1028" s="9" t="n">
        <v>162.080811</v>
      </c>
      <c r="I1028" s="2" t="str">
        <f aca="false">IF(COUNT(C1028:F1028)&lt;4,"",IF(OR(D1028&lt;MAX(C1028,F1028)-0.000001,E1028&gt;MIN(C1028,F1028)+0.000001),"FAIL","OK"))</f>
        <v>OK</v>
      </c>
      <c r="J1028" s="10" t="n">
        <f aca="false">IF(COUNT(F1028,G1028)&lt;2,"",G1028/F1028)</f>
        <v>0.989021271997154</v>
      </c>
      <c r="K1028" s="10" t="n">
        <f aca="false">H1028/H1027-1</f>
        <v>0.00704840262468509</v>
      </c>
      <c r="L1028" s="10" t="n">
        <f aca="false">H1033/H1028-1</f>
        <v>0.0147669053803043</v>
      </c>
      <c r="M1028" s="10" t="n">
        <f aca="false">IF(COUNT(B969:B1028)&lt;60,"",(B1028-AVERAGE(B969:B1028))/STDEV(B969:B1028))</f>
        <v>1.84361449116043</v>
      </c>
      <c r="N1028" s="10" t="n">
        <f aca="false">(H1028-AVERAGE(H969:H1028))/STDEV(H969:H1028)</f>
        <v>1.66354122963839</v>
      </c>
      <c r="O1028" s="10" t="n">
        <f aca="false">IF(COUNT(B1028)=0,"",B1028-('Signal Analysis'!$C$6+'Signal Analysis'!$C$5*H1028))</f>
        <v>0.793068997208604</v>
      </c>
    </row>
    <row r="1029" customFormat="false" ht="15" hidden="false" customHeight="false" outlineLevel="0" collapsed="false">
      <c r="A1029" s="8" t="n">
        <v>43816</v>
      </c>
      <c r="B1029" s="9" t="n">
        <v>19.9798263024</v>
      </c>
      <c r="C1029" s="9" t="n">
        <v>164.139999</v>
      </c>
      <c r="D1029" s="9" t="n">
        <v>164.699997</v>
      </c>
      <c r="E1029" s="9" t="n">
        <v>163.699997</v>
      </c>
      <c r="F1029" s="9" t="n">
        <v>164.699997</v>
      </c>
      <c r="G1029" s="9" t="n">
        <v>162.8918</v>
      </c>
      <c r="H1029" s="9" t="n">
        <v>162.8918</v>
      </c>
      <c r="I1029" s="2" t="str">
        <f aca="false">IF(COUNT(C1029:F1029)&lt;4,"",IF(OR(D1029&lt;MAX(C1029,F1029)-0.000001,E1029&gt;MIN(C1029,F1029)+0.000001),"FAIL","OK"))</f>
        <v>OK</v>
      </c>
      <c r="J1029" s="10" t="n">
        <f aca="false">IF(COUNT(F1029,G1029)&lt;2,"",G1029/F1029)</f>
        <v>0.989021268773915</v>
      </c>
      <c r="K1029" s="10" t="n">
        <f aca="false">H1029/H1028-1</f>
        <v>0.00500360897132968</v>
      </c>
      <c r="L1029" s="10" t="n">
        <f aca="false">H1034/H1029-1</f>
        <v>0.0120217960633993</v>
      </c>
      <c r="M1029" s="10" t="n">
        <f aca="false">IF(COUNT(B970:B1029)&lt;60,"",(B1029-AVERAGE(B970:B1029))/STDEV(B970:B1029))</f>
        <v>0.446817212903519</v>
      </c>
      <c r="N1029" s="10" t="n">
        <f aca="false">(H1029-AVERAGE(H970:H1029))/STDEV(H970:H1029)</f>
        <v>1.74735094103023</v>
      </c>
      <c r="O1029" s="10" t="n">
        <f aca="false">IF(COUNT(B1029)=0,"",B1029-('Signal Analysis'!$C$6+'Signal Analysis'!$C$5*H1029))</f>
        <v>-0.50478853135861</v>
      </c>
    </row>
    <row r="1030" customFormat="false" ht="15" hidden="false" customHeight="false" outlineLevel="0" collapsed="false">
      <c r="A1030" s="8" t="n">
        <v>43817</v>
      </c>
      <c r="B1030" s="9" t="n">
        <v>19.8815344356</v>
      </c>
      <c r="C1030" s="9" t="n">
        <v>165.059998</v>
      </c>
      <c r="D1030" s="9" t="n">
        <v>165.279999</v>
      </c>
      <c r="E1030" s="9" t="n">
        <v>164.320007</v>
      </c>
      <c r="F1030" s="9" t="n">
        <v>165.020004</v>
      </c>
      <c r="G1030" s="9" t="n">
        <v>163.208282</v>
      </c>
      <c r="H1030" s="9" t="n">
        <v>163.208282</v>
      </c>
      <c r="I1030" s="2" t="str">
        <f aca="false">IF(COUNT(C1030:F1030)&lt;4,"",IF(OR(D1030&lt;MAX(C1030,F1030)-0.000001,E1030&gt;MIN(C1030,F1030)+0.000001),"FAIL","OK"))</f>
        <v>OK</v>
      </c>
      <c r="J1030" s="10" t="n">
        <f aca="false">IF(COUNT(F1030,G1030)&lt;2,"",G1030/F1030)</f>
        <v>0.989021197696735</v>
      </c>
      <c r="K1030" s="10" t="n">
        <f aca="false">H1030/H1029-1</f>
        <v>0.00194289706418616</v>
      </c>
      <c r="L1030" s="10" t="n">
        <f aca="false">H1035/H1030-1</f>
        <v>0.0100593547084824</v>
      </c>
      <c r="M1030" s="10" t="n">
        <f aca="false">IF(COUNT(B971:B1030)&lt;60,"",(B1030-AVERAGE(B971:B1030))/STDEV(B971:B1030))</f>
        <v>0.311053239860105</v>
      </c>
      <c r="N1030" s="10" t="n">
        <f aca="false">(H1030-AVERAGE(H971:H1030))/STDEV(H971:H1030)</f>
        <v>1.73006563880498</v>
      </c>
      <c r="O1030" s="10" t="n">
        <f aca="false">IF(COUNT(B1030)=0,"",B1030-('Signal Analysis'!$C$6+'Signal Analysis'!$C$5*H1030))</f>
        <v>-0.646372739269467</v>
      </c>
    </row>
    <row r="1031" customFormat="false" ht="15" hidden="false" customHeight="false" outlineLevel="0" collapsed="false">
      <c r="A1031" s="8" t="n">
        <v>43818</v>
      </c>
      <c r="B1031" s="9" t="n">
        <v>20.2238878368</v>
      </c>
      <c r="C1031" s="9" t="n">
        <v>165.279999</v>
      </c>
      <c r="D1031" s="9" t="n">
        <v>165.729996</v>
      </c>
      <c r="E1031" s="9" t="n">
        <v>164.880005</v>
      </c>
      <c r="F1031" s="9" t="n">
        <v>165.729996</v>
      </c>
      <c r="G1031" s="9" t="n">
        <v>163.910477</v>
      </c>
      <c r="H1031" s="9" t="n">
        <v>163.910477</v>
      </c>
      <c r="I1031" s="2" t="str">
        <f aca="false">IF(COUNT(C1031:F1031)&lt;4,"",IF(OR(D1031&lt;MAX(C1031,F1031)-0.000001,E1031&gt;MIN(C1031,F1031)+0.000001),"FAIL","OK"))</f>
        <v>OK</v>
      </c>
      <c r="J1031" s="10" t="n">
        <f aca="false">IF(COUNT(F1031,G1031)&lt;2,"",G1031/F1031)</f>
        <v>0.989021184795057</v>
      </c>
      <c r="K1031" s="10" t="n">
        <f aca="false">H1031/H1030-1</f>
        <v>0.00430244710253125</v>
      </c>
      <c r="L1031" s="10" t="n">
        <f aca="false">H1036/H1031-1</f>
        <v>0.000784489206263617</v>
      </c>
      <c r="M1031" s="10" t="n">
        <f aca="false">IF(COUNT(B972:B1031)&lt;60,"",(B1031-AVERAGE(B972:B1031))/STDEV(B972:B1031))</f>
        <v>0.694074137904869</v>
      </c>
      <c r="N1031" s="10" t="n">
        <f aca="false">(H1031-AVERAGE(H972:H1031))/STDEV(H972:H1031)</f>
        <v>1.78067094712747</v>
      </c>
      <c r="O1031" s="10" t="n">
        <f aca="false">IF(COUNT(B1031)=0,"",B1031-('Signal Analysis'!$C$6+'Signal Analysis'!$C$5*H1031))</f>
        <v>-0.40007429685491</v>
      </c>
    </row>
    <row r="1032" customFormat="false" ht="15" hidden="false" customHeight="false" outlineLevel="0" collapsed="false">
      <c r="A1032" s="8" t="n">
        <v>43819</v>
      </c>
      <c r="B1032" s="9" t="n">
        <v>19.858757562</v>
      </c>
      <c r="C1032" s="9" t="n">
        <v>166.149994</v>
      </c>
      <c r="D1032" s="9" t="n">
        <v>166.410004</v>
      </c>
      <c r="E1032" s="9" t="n">
        <v>165.720001</v>
      </c>
      <c r="F1032" s="9" t="n">
        <v>165.970001</v>
      </c>
      <c r="G1032" s="9" t="n">
        <v>164.147858</v>
      </c>
      <c r="H1032" s="9" t="n">
        <v>164.147858</v>
      </c>
      <c r="I1032" s="2" t="str">
        <f aca="false">IF(COUNT(C1032:F1032)&lt;4,"",IF(OR(D1032&lt;MAX(C1032,F1032)-0.000001,E1032&gt;MIN(C1032,F1032)+0.000001),"FAIL","OK"))</f>
        <v>OK</v>
      </c>
      <c r="J1032" s="10" t="n">
        <f aca="false">IF(COUNT(F1032,G1032)&lt;2,"",G1032/F1032)</f>
        <v>0.989021250894612</v>
      </c>
      <c r="K1032" s="10" t="n">
        <f aca="false">H1032/H1031-1</f>
        <v>0.0014482356731842</v>
      </c>
      <c r="L1032" s="10" t="n">
        <f aca="false">H1037/H1032-1</f>
        <v>-0.00319327956140636</v>
      </c>
      <c r="M1032" s="10" t="n">
        <f aca="false">IF(COUNT(B973:B1032)&lt;60,"",(B1032-AVERAGE(B973:B1032))/STDEV(B973:B1032))</f>
        <v>0.225709216856819</v>
      </c>
      <c r="N1032" s="10" t="n">
        <f aca="false">(H1032-AVERAGE(H973:H1032))/STDEV(H973:H1032)</f>
        <v>1.74451430354982</v>
      </c>
      <c r="O1032" s="10" t="n">
        <f aca="false">IF(COUNT(B1032)=0,"",B1032-('Signal Analysis'!$C$6+'Signal Analysis'!$C$5*H1032))</f>
        <v>-0.79767649494039</v>
      </c>
    </row>
    <row r="1033" customFormat="false" ht="15" hidden="false" customHeight="false" outlineLevel="0" collapsed="false">
      <c r="A1033" s="8" t="n">
        <v>43822</v>
      </c>
      <c r="B1033" s="9" t="n">
        <v>20.8557051312</v>
      </c>
      <c r="C1033" s="9" t="n">
        <v>166.240005</v>
      </c>
      <c r="D1033" s="9" t="n">
        <v>166.360001</v>
      </c>
      <c r="E1033" s="9" t="n">
        <v>165.360001</v>
      </c>
      <c r="F1033" s="9" t="n">
        <v>166.300003</v>
      </c>
      <c r="G1033" s="9" t="n">
        <v>164.474243</v>
      </c>
      <c r="H1033" s="9" t="n">
        <v>164.474243</v>
      </c>
      <c r="I1033" s="2" t="str">
        <f aca="false">IF(COUNT(C1033:F1033)&lt;4,"",IF(OR(D1033&lt;MAX(C1033,F1033)-0.000001,E1033&gt;MIN(C1033,F1033)+0.000001),"FAIL","OK"))</f>
        <v>OK</v>
      </c>
      <c r="J1033" s="10" t="n">
        <f aca="false">IF(COUNT(F1033,G1033)&lt;2,"",G1033/F1033)</f>
        <v>0.989021287029081</v>
      </c>
      <c r="K1033" s="10" t="n">
        <f aca="false">H1033/H1032-1</f>
        <v>0.00198835978718637</v>
      </c>
      <c r="L1033" s="10" t="n">
        <f aca="false">H1038/H1033-1</f>
        <v>-0.00378848376885377</v>
      </c>
      <c r="M1033" s="10" t="n">
        <f aca="false">IF(COUNT(B974:B1033)&lt;60,"",(B1033-AVERAGE(B974:B1033))/STDEV(B974:B1033))</f>
        <v>1.40882501107735</v>
      </c>
      <c r="N1033" s="10" t="n">
        <f aca="false">(H1033-AVERAGE(H974:H1033))/STDEV(H974:H1033)</f>
        <v>1.72872187153952</v>
      </c>
      <c r="O1033" s="10" t="n">
        <f aca="false">IF(COUNT(B1033)=0,"",B1033-('Signal Analysis'!$C$6+'Signal Analysis'!$C$5*H1033))</f>
        <v>0.154624077737008</v>
      </c>
    </row>
    <row r="1034" customFormat="false" ht="15" hidden="false" customHeight="false" outlineLevel="0" collapsed="false">
      <c r="A1034" s="8" t="n">
        <v>43823</v>
      </c>
      <c r="B1034" s="9" t="n">
        <v>21.3618757644</v>
      </c>
      <c r="C1034" s="9" t="n">
        <v>166.449997</v>
      </c>
      <c r="D1034" s="9" t="n">
        <v>166.699997</v>
      </c>
      <c r="E1034" s="9" t="n">
        <v>166.039993</v>
      </c>
      <c r="F1034" s="9" t="n">
        <v>166.679993</v>
      </c>
      <c r="G1034" s="9" t="n">
        <v>164.850052</v>
      </c>
      <c r="H1034" s="9" t="n">
        <v>164.850052</v>
      </c>
      <c r="I1034" s="2" t="str">
        <f aca="false">IF(COUNT(C1034:F1034)&lt;4,"",IF(OR(D1034&lt;MAX(C1034,F1034)-0.000001,E1034&gt;MIN(C1034,F1034)+0.000001),"FAIL","OK"))</f>
        <v>OK</v>
      </c>
      <c r="J1034" s="10" t="n">
        <f aca="false">IF(COUNT(F1034,G1034)&lt;2,"",G1034/F1034)</f>
        <v>0.989021231840345</v>
      </c>
      <c r="K1034" s="10" t="n">
        <f aca="false">H1034/H1033-1</f>
        <v>0.00228491095715211</v>
      </c>
      <c r="L1034" s="10" t="n">
        <f aca="false">H1039/H1034-1</f>
        <v>-0.0053994887426545</v>
      </c>
      <c r="M1034" s="10" t="n">
        <f aca="false">IF(COUNT(B975:B1034)&lt;60,"",(B1034-AVERAGE(B975:B1034))/STDEV(B975:B1034))</f>
        <v>1.98040817647176</v>
      </c>
      <c r="N1034" s="10" t="n">
        <f aca="false">(H1034-AVERAGE(H975:H1034))/STDEV(H975:H1034)</f>
        <v>1.72158430156896</v>
      </c>
      <c r="O1034" s="10" t="n">
        <f aca="false">IF(COUNT(B1034)=0,"",B1034-('Signal Analysis'!$C$6+'Signal Analysis'!$C$5*H1034))</f>
        <v>0.609386885466591</v>
      </c>
    </row>
    <row r="1035" customFormat="false" ht="15" hidden="false" customHeight="false" outlineLevel="0" collapsed="false">
      <c r="A1035" s="8" t="n">
        <v>43825</v>
      </c>
      <c r="B1035" s="9" t="n">
        <v>20.0166433632</v>
      </c>
      <c r="C1035" s="9" t="n">
        <v>166.830002</v>
      </c>
      <c r="D1035" s="9" t="n">
        <v>166.979996</v>
      </c>
      <c r="E1035" s="9" t="n">
        <v>166.360001</v>
      </c>
      <c r="F1035" s="9" t="n">
        <v>166.679993</v>
      </c>
      <c r="G1035" s="9" t="n">
        <v>164.850052</v>
      </c>
      <c r="H1035" s="9" t="n">
        <v>164.850052</v>
      </c>
      <c r="I1035" s="2" t="str">
        <f aca="false">IF(COUNT(C1035:F1035)&lt;4,"",IF(OR(D1035&lt;MAX(C1035,F1035)-0.000001,E1035&gt;MIN(C1035,F1035)+0.000001),"FAIL","OK"))</f>
        <v>OK</v>
      </c>
      <c r="J1035" s="10" t="n">
        <f aca="false">IF(COUNT(F1035,G1035)&lt;2,"",G1035/F1035)</f>
        <v>0.989021231840345</v>
      </c>
      <c r="K1035" s="10" t="n">
        <f aca="false">H1035/H1034-1</f>
        <v>0</v>
      </c>
      <c r="L1035" s="10" t="n">
        <f aca="false">H1040/H1035-1</f>
        <v>-0.00929911141307982</v>
      </c>
      <c r="M1035" s="10" t="n">
        <f aca="false">IF(COUNT(B976:B1035)&lt;60,"",(B1035-AVERAGE(B976:B1035))/STDEV(B976:B1035))</f>
        <v>0.287689159323274</v>
      </c>
      <c r="N1035" s="10" t="n">
        <f aca="false">(H1035-AVERAGE(H976:H1035))/STDEV(H976:H1035)</f>
        <v>1.66416951728386</v>
      </c>
      <c r="O1035" s="10" t="n">
        <f aca="false">IF(COUNT(B1035)=0,"",B1035-('Signal Analysis'!$C$6+'Signal Analysis'!$C$5*H1035))</f>
        <v>-0.735845515733409</v>
      </c>
    </row>
    <row r="1036" customFormat="false" ht="15" hidden="false" customHeight="false" outlineLevel="0" collapsed="false">
      <c r="A1036" s="8" t="n">
        <v>43826</v>
      </c>
      <c r="B1036" s="12"/>
      <c r="C1036" s="9" t="n">
        <v>167.119995</v>
      </c>
      <c r="D1036" s="9" t="n">
        <v>167.119995</v>
      </c>
      <c r="E1036" s="9" t="n">
        <v>165.429993</v>
      </c>
      <c r="F1036" s="9" t="n">
        <v>165.860001</v>
      </c>
      <c r="G1036" s="9" t="n">
        <v>164.039063</v>
      </c>
      <c r="H1036" s="9" t="n">
        <v>164.039063</v>
      </c>
      <c r="I1036" s="2" t="str">
        <f aca="false">IF(COUNT(C1036:F1036)&lt;4,"",IF(OR(D1036&lt;MAX(C1036,F1036)-0.000001,E1036&gt;MIN(C1036,F1036)+0.000001),"FAIL","OK"))</f>
        <v>OK</v>
      </c>
      <c r="J1036" s="10" t="n">
        <f aca="false">IF(COUNT(F1036,G1036)&lt;2,"",G1036/F1036)</f>
        <v>0.98902123484251</v>
      </c>
      <c r="K1036" s="10" t="n">
        <f aca="false">H1036/H1035-1</f>
        <v>-0.00491955562137159</v>
      </c>
      <c r="L1036" s="10" t="n">
        <f aca="false">H1041/H1036-1</f>
        <v>-0.00307484687351567</v>
      </c>
      <c r="M1036" s="10" t="str">
        <f aca="false">IF(COUNT(B977:B1036)&lt;60,"",(B1036-AVERAGE(B977:B1036))/STDEV(B977:B1036))</f>
        <v/>
      </c>
      <c r="N1036" s="10" t="n">
        <f aca="false">(H1036-AVERAGE(H977:H1036))/STDEV(H977:H1036)</f>
        <v>1.47986568930121</v>
      </c>
      <c r="O1036" s="10" t="str">
        <f aca="false">IF(COUNT(B1036)=0,"",B1036-('Signal Analysis'!$C$6+'Signal Analysis'!$C$5*H1036))</f>
        <v/>
      </c>
    </row>
    <row r="1037" customFormat="false" ht="15" hidden="false" customHeight="false" outlineLevel="0" collapsed="false">
      <c r="A1037" s="8" t="n">
        <v>43829</v>
      </c>
      <c r="B1037" s="12"/>
      <c r="C1037" s="9" t="n">
        <v>165.979996</v>
      </c>
      <c r="D1037" s="9" t="n">
        <v>166.210007</v>
      </c>
      <c r="E1037" s="9" t="n">
        <v>164.570007</v>
      </c>
      <c r="F1037" s="9" t="n">
        <v>165.440002</v>
      </c>
      <c r="G1037" s="9" t="n">
        <v>163.623688</v>
      </c>
      <c r="H1037" s="9" t="n">
        <v>163.623688</v>
      </c>
      <c r="I1037" s="2" t="str">
        <f aca="false">IF(COUNT(C1037:F1037)&lt;4,"",IF(OR(D1037&lt;MAX(C1037,F1037)-0.000001,E1037&gt;MIN(C1037,F1037)+0.000001),"FAIL","OK"))</f>
        <v>OK</v>
      </c>
      <c r="J1037" s="10" t="n">
        <f aca="false">IF(COUNT(F1037,G1037)&lt;2,"",G1037/F1037)</f>
        <v>0.98902131299539</v>
      </c>
      <c r="K1037" s="10" t="n">
        <f aca="false">H1037/H1036-1</f>
        <v>-0.00253217125484317</v>
      </c>
      <c r="L1037" s="10"/>
      <c r="M1037" s="10" t="str">
        <f aca="false">IF(COUNT(B978:B1037)&lt;60,"",(B1037-AVERAGE(B978:B1037))/STDEV(B978:B1037))</f>
        <v/>
      </c>
      <c r="N1037" s="10" t="n">
        <f aca="false">(H1037-AVERAGE(H978:H1037))/STDEV(H978:H1037)</f>
        <v>1.3698875294754</v>
      </c>
      <c r="O1037" s="10" t="str">
        <f aca="false">IF(COUNT(B1037)=0,"",B1037-('Signal Analysis'!$C$6+'Signal Analysis'!$C$5*H1037))</f>
        <v/>
      </c>
    </row>
    <row r="1038" customFormat="false" ht="15" hidden="false" customHeight="false" outlineLevel="0" collapsed="false">
      <c r="A1038" s="8" t="n">
        <v>43830</v>
      </c>
      <c r="B1038" s="12"/>
      <c r="C1038" s="9" t="n">
        <v>165.080002</v>
      </c>
      <c r="D1038" s="9" t="n">
        <v>166.350006</v>
      </c>
      <c r="E1038" s="9" t="n">
        <v>164.710007</v>
      </c>
      <c r="F1038" s="9" t="n">
        <v>165.669998</v>
      </c>
      <c r="G1038" s="9" t="n">
        <v>163.851135</v>
      </c>
      <c r="H1038" s="9" t="n">
        <v>163.851135</v>
      </c>
      <c r="I1038" s="2" t="str">
        <f aca="false">IF(COUNT(C1038:F1038)&lt;4,"",IF(OR(D1038&lt;MAX(C1038,F1038)-0.000001,E1038&gt;MIN(C1038,F1038)+0.000001),"FAIL","OK"))</f>
        <v>OK</v>
      </c>
      <c r="J1038" s="10" t="n">
        <f aca="false">IF(COUNT(F1038,G1038)&lt;2,"",G1038/F1038)</f>
        <v>0.989021168455619</v>
      </c>
      <c r="K1038" s="10" t="n">
        <f aca="false">H1038/H1037-1</f>
        <v>0.00139006156614685</v>
      </c>
      <c r="L1038" s="10"/>
      <c r="M1038" s="10" t="str">
        <f aca="false">IF(COUNT(B979:B1038)&lt;60,"",(B1038-AVERAGE(B979:B1038))/STDEV(B979:B1038))</f>
        <v/>
      </c>
      <c r="N1038" s="10" t="n">
        <f aca="false">(H1038-AVERAGE(H979:H1038))/STDEV(H979:H1038)</f>
        <v>1.37265195818625</v>
      </c>
      <c r="O1038" s="10" t="str">
        <f aca="false">IF(COUNT(B1038)=0,"",B1038-('Signal Analysis'!$C$6+'Signal Analysis'!$C$5*H1038))</f>
        <v/>
      </c>
    </row>
    <row r="1039" customFormat="false" ht="15" hidden="false" customHeight="false" outlineLevel="0" collapsed="false">
      <c r="A1039" s="8" t="n">
        <v>43832</v>
      </c>
      <c r="B1039" s="12"/>
      <c r="C1039" s="9" t="n">
        <v>166.740005</v>
      </c>
      <c r="D1039" s="9" t="n">
        <v>166.75</v>
      </c>
      <c r="E1039" s="9" t="n">
        <v>164.229996</v>
      </c>
      <c r="F1039" s="9" t="n">
        <v>165.779999</v>
      </c>
      <c r="G1039" s="9" t="n">
        <v>163.959946</v>
      </c>
      <c r="H1039" s="9" t="n">
        <v>163.959946</v>
      </c>
      <c r="I1039" s="2" t="str">
        <f aca="false">IF(COUNT(C1039:F1039)&lt;4,"",IF(OR(D1039&lt;MAX(C1039,F1039)-0.000001,E1039&gt;MIN(C1039,F1039)+0.000001),"FAIL","OK"))</f>
        <v>OK</v>
      </c>
      <c r="J1039" s="10" t="n">
        <f aca="false">IF(COUNT(F1039,G1039)&lt;2,"",G1039/F1039)</f>
        <v>0.989021275117754</v>
      </c>
      <c r="K1039" s="10" t="n">
        <f aca="false">H1039/H1038-1</f>
        <v>0.000664084505731299</v>
      </c>
      <c r="L1039" s="10"/>
      <c r="M1039" s="10" t="str">
        <f aca="false">IF(COUNT(B980:B1039)&lt;60,"",(B1039-AVERAGE(B980:B1039))/STDEV(B980:B1039))</f>
        <v/>
      </c>
      <c r="N1039" s="10" t="n">
        <f aca="false">(H1039-AVERAGE(H980:H1039))/STDEV(H980:H1039)</f>
        <v>1.35743761185105</v>
      </c>
      <c r="O1039" s="10" t="str">
        <f aca="false">IF(COUNT(B1039)=0,"",B1039-('Signal Analysis'!$C$6+'Signal Analysis'!$C$5*H1039))</f>
        <v/>
      </c>
    </row>
    <row r="1040" customFormat="false" ht="15" hidden="false" customHeight="false" outlineLevel="0" collapsed="false">
      <c r="A1040" s="8" t="n">
        <v>43833</v>
      </c>
      <c r="B1040" s="12"/>
      <c r="C1040" s="9" t="n">
        <v>163.740005</v>
      </c>
      <c r="D1040" s="9" t="n">
        <v>165.410004</v>
      </c>
      <c r="E1040" s="9" t="n">
        <v>163.699997</v>
      </c>
      <c r="F1040" s="9" t="n">
        <v>165.130005</v>
      </c>
      <c r="G1040" s="9" t="n">
        <v>163.317093</v>
      </c>
      <c r="H1040" s="9" t="n">
        <v>163.317093</v>
      </c>
      <c r="I1040" s="2" t="str">
        <f aca="false">IF(COUNT(C1040:F1040)&lt;4,"",IF(OR(D1040&lt;MAX(C1040,F1040)-0.000001,E1040&gt;MIN(C1040,F1040)+0.000001),"FAIL","OK"))</f>
        <v>OK</v>
      </c>
      <c r="J1040" s="10" t="n">
        <f aca="false">IF(COUNT(F1040,G1040)&lt;2,"",G1040/F1040)</f>
        <v>0.989021304759241</v>
      </c>
      <c r="K1040" s="10" t="n">
        <f aca="false">H1040/H1039-1</f>
        <v>-0.00392079294780934</v>
      </c>
      <c r="L1040" s="10"/>
      <c r="M1040" s="10" t="str">
        <f aca="false">IF(COUNT(B981:B1040)&lt;60,"",(B1040-AVERAGE(B981:B1040))/STDEV(B981:B1040))</f>
        <v/>
      </c>
      <c r="N1040" s="10" t="n">
        <f aca="false">(H1040-AVERAGE(H981:H1040))/STDEV(H981:H1040)</f>
        <v>1.22066941203002</v>
      </c>
      <c r="O1040" s="10" t="str">
        <f aca="false">IF(COUNT(B1040)=0,"",B1040-('Signal Analysis'!$C$6+'Signal Analysis'!$C$5*H1040))</f>
        <v/>
      </c>
    </row>
    <row r="1041" customFormat="false" ht="15" hidden="false" customHeight="false" outlineLevel="0" collapsed="false">
      <c r="A1041" s="8" t="n">
        <v>43836</v>
      </c>
      <c r="B1041" s="12"/>
      <c r="C1041" s="9" t="n">
        <v>163.850006</v>
      </c>
      <c r="D1041" s="9" t="n">
        <v>165.539993</v>
      </c>
      <c r="E1041" s="9" t="n">
        <v>163.539993</v>
      </c>
      <c r="F1041" s="9" t="n">
        <v>165.350006</v>
      </c>
      <c r="G1041" s="9" t="n">
        <v>163.534668</v>
      </c>
      <c r="H1041" s="9" t="n">
        <v>163.534668</v>
      </c>
      <c r="I1041" s="2" t="str">
        <f aca="false">IF(COUNT(C1041:F1041)&lt;4,"",IF(OR(D1041&lt;MAX(C1041,F1041)-0.000001,E1041&gt;MIN(C1041,F1041)+0.000001),"FAIL","OK"))</f>
        <v>OK</v>
      </c>
      <c r="J1041" s="10" t="n">
        <f aca="false">IF(COUNT(F1041,G1041)&lt;2,"",G1041/F1041)</f>
        <v>0.989021240192758</v>
      </c>
      <c r="K1041" s="10" t="n">
        <f aca="false">H1041/H1040-1</f>
        <v>0.00133222430061264</v>
      </c>
      <c r="L1041" s="10"/>
      <c r="M1041" s="10" t="str">
        <f aca="false">IF(COUNT(B982:B1041)&lt;60,"",(B1041-AVERAGE(B982:B1041))/STDEV(B982:B1041))</f>
        <v/>
      </c>
      <c r="N1041" s="10" t="n">
        <f aca="false">(H1041-AVERAGE(H982:H1041))/STDEV(H982:H1041)</f>
        <v>1.24881553940336</v>
      </c>
      <c r="O1041" s="10" t="str">
        <f aca="false">IF(COUNT(B1041)=0,"",B1041-('Signal Analysis'!$C$6+'Signal Analysis'!$C$5*H1041))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6"/>
    <col collapsed="false" customWidth="true" hidden="false" outlineLevel="0" max="3" min="3" style="0" width="15"/>
    <col collapsed="false" customWidth="true" hidden="false" outlineLevel="0" max="4" min="4" style="0" width="88"/>
    <col collapsed="false" customWidth="true" hidden="false" outlineLevel="0" max="5" min="5" style="0" width="15"/>
  </cols>
  <sheetData>
    <row r="1" customFormat="false" ht="17.35" hidden="false" customHeight="false" outlineLevel="0" collapsed="false">
      <c r="A1" s="1" t="s">
        <v>132</v>
      </c>
    </row>
    <row r="3" customFormat="false" ht="15" hidden="false" customHeight="false" outlineLevel="0" collapsed="false">
      <c r="A3" s="3" t="s">
        <v>133</v>
      </c>
    </row>
    <row r="4" customFormat="false" ht="15" hidden="false" customHeight="false" outlineLevel="0" collapsed="false">
      <c r="A4" s="2" t="s">
        <v>134</v>
      </c>
    </row>
    <row r="5" customFormat="false" ht="15" hidden="false" customHeight="false" outlineLevel="0" collapsed="false">
      <c r="B5" s="2" t="s">
        <v>135</v>
      </c>
      <c r="C5" s="14" t="n">
        <f aca="false">SLOPE('Data (Cleaned)'!$B$4:$B$1041,'Data (Cleaned)'!$H$4:$H$1041)</f>
        <v>0.136792427723703</v>
      </c>
    </row>
    <row r="6" customFormat="false" ht="15" hidden="false" customHeight="false" outlineLevel="0" collapsed="false">
      <c r="B6" s="2" t="s">
        <v>136</v>
      </c>
      <c r="C6" s="14" t="n">
        <f aca="false">INTERCEPT('Data (Cleaned)'!$B$4:$B$1041,'Data (Cleaned)'!$H$4:$H$1041)</f>
        <v>-1.79774994452526</v>
      </c>
    </row>
    <row r="7" customFormat="false" ht="15" hidden="false" customHeight="false" outlineLevel="0" collapsed="false">
      <c r="B7" s="2" t="s">
        <v>137</v>
      </c>
      <c r="C7" s="15" t="n">
        <f aca="false">RSQ('Data (Cleaned)'!$B$4:$B$1041,'Data (Cleaned)'!$H$4:$H$1041)</f>
        <v>0.878938777544026</v>
      </c>
    </row>
    <row r="8" customFormat="false" ht="15" hidden="false" customHeight="false" outlineLevel="0" collapsed="false">
      <c r="B8" s="2" t="s">
        <v>138</v>
      </c>
      <c r="C8" s="16" t="n">
        <f aca="false">1/C5</f>
        <v>7.31034616930571</v>
      </c>
    </row>
    <row r="9" customFormat="false" ht="15" hidden="false" customHeight="false" outlineLevel="0" collapsed="false">
      <c r="B9" s="2" t="s">
        <v>139</v>
      </c>
    </row>
    <row r="11" customFormat="false" ht="15" hidden="false" customHeight="false" outlineLevel="0" collapsed="false">
      <c r="A11" s="3" t="s">
        <v>140</v>
      </c>
    </row>
    <row r="12" customFormat="false" ht="15" hidden="false" customHeight="false" outlineLevel="0" collapsed="false">
      <c r="A12" s="2" t="s">
        <v>141</v>
      </c>
    </row>
    <row r="13" customFormat="false" ht="15" hidden="false" customHeight="false" outlineLevel="0" collapsed="false">
      <c r="A13" s="2" t="s">
        <v>142</v>
      </c>
    </row>
    <row r="14" customFormat="false" ht="15" hidden="false" customHeight="false" outlineLevel="0" collapsed="false">
      <c r="B14" s="17" t="s">
        <v>143</v>
      </c>
      <c r="C14" s="17" t="s">
        <v>144</v>
      </c>
      <c r="D14" s="17" t="s">
        <v>145</v>
      </c>
    </row>
    <row r="15" customFormat="false" ht="15" hidden="false" customHeight="false" outlineLevel="0" collapsed="false">
      <c r="B15" s="2" t="n">
        <v>-6</v>
      </c>
      <c r="C15" s="18" t="n">
        <f aca="true">IFERROR(CORREL(OFFSET('Data (Cleaned)'!$O$10,0,0,1032,1),OFFSET('Data (Cleaned)'!$K$4,0,0,1032,1)),"")</f>
        <v>-0.0487575147653546</v>
      </c>
      <c r="D15" s="2" t="s">
        <v>146</v>
      </c>
    </row>
    <row r="16" customFormat="false" ht="15" hidden="false" customHeight="false" outlineLevel="0" collapsed="false">
      <c r="B16" s="2" t="n">
        <v>-5</v>
      </c>
      <c r="C16" s="18" t="n">
        <f aca="true">IFERROR(CORREL(OFFSET('Data (Cleaned)'!$O$9,0,0,1033,1),OFFSET('Data (Cleaned)'!$K$4,0,0,1033,1)),"")</f>
        <v>-0.0234546113056808</v>
      </c>
      <c r="D16" s="2" t="s">
        <v>146</v>
      </c>
    </row>
    <row r="17" customFormat="false" ht="15" hidden="false" customHeight="false" outlineLevel="0" collapsed="false">
      <c r="B17" s="2" t="n">
        <v>-4</v>
      </c>
      <c r="C17" s="18" t="n">
        <f aca="true">IFERROR(CORREL(OFFSET('Data (Cleaned)'!$O$8,0,0,1034,1),OFFSET('Data (Cleaned)'!$K$4,0,0,1034,1)),"")</f>
        <v>-0.0563037274482376</v>
      </c>
      <c r="D17" s="2" t="s">
        <v>146</v>
      </c>
    </row>
    <row r="18" customFormat="false" ht="15" hidden="false" customHeight="false" outlineLevel="0" collapsed="false">
      <c r="B18" s="2" t="n">
        <v>-3</v>
      </c>
      <c r="C18" s="18" t="n">
        <f aca="true">IFERROR(CORREL(OFFSET('Data (Cleaned)'!$O$7,0,0,1035,1),OFFSET('Data (Cleaned)'!$K$4,0,0,1035,1)),"")</f>
        <v>-0.00595226767436335</v>
      </c>
      <c r="D18" s="2" t="s">
        <v>146</v>
      </c>
    </row>
    <row r="19" customFormat="false" ht="15" hidden="false" customHeight="false" outlineLevel="0" collapsed="false">
      <c r="B19" s="2" t="n">
        <v>-2</v>
      </c>
      <c r="C19" s="18" t="n">
        <f aca="true">IFERROR(CORREL(OFFSET('Data (Cleaned)'!$O$6,0,0,1036,1),OFFSET('Data (Cleaned)'!$K$4,0,0,1036,1)),"")</f>
        <v>-0.0185895230230508</v>
      </c>
      <c r="D19" s="2" t="s">
        <v>146</v>
      </c>
    </row>
    <row r="20" customFormat="false" ht="15" hidden="false" customHeight="false" outlineLevel="0" collapsed="false">
      <c r="B20" s="2" t="n">
        <v>-1</v>
      </c>
      <c r="C20" s="18" t="n">
        <f aca="true">IFERROR(CORREL(OFFSET('Data (Cleaned)'!$O$5,0,0,1037,1),OFFSET('Data (Cleaned)'!$K$4,0,0,1037,1)),"")</f>
        <v>-0.0155542680502571</v>
      </c>
      <c r="D20" s="2" t="s">
        <v>146</v>
      </c>
    </row>
    <row r="21" customFormat="false" ht="15" hidden="false" customHeight="false" outlineLevel="0" collapsed="false">
      <c r="B21" s="2" t="n">
        <v>0</v>
      </c>
      <c r="C21" s="18" t="n">
        <f aca="true">IFERROR(CORREL(OFFSET('Data (Cleaned)'!$O$4,0,0,1038,1),OFFSET('Data (Cleaned)'!$K$4,0,0,1038,1)),"")</f>
        <v>-0.019871591648361</v>
      </c>
      <c r="D21" s="2" t="s">
        <v>146</v>
      </c>
    </row>
    <row r="22" customFormat="false" ht="15" hidden="false" customHeight="false" outlineLevel="0" collapsed="false">
      <c r="B22" s="2" t="n">
        <v>1</v>
      </c>
      <c r="C22" s="19" t="n">
        <f aca="true">IFERROR(CORREL(OFFSET('Data (Cleaned)'!$O$4,0,0,1037,1),OFFSET('Data (Cleaned)'!$K$5,0,0,1037,1)),"")</f>
        <v>0.156210820462141</v>
      </c>
      <c r="D22" s="2" t="s">
        <v>147</v>
      </c>
    </row>
    <row r="23" customFormat="false" ht="15" hidden="false" customHeight="false" outlineLevel="0" collapsed="false">
      <c r="B23" s="2" t="n">
        <v>2</v>
      </c>
      <c r="C23" s="19" t="n">
        <f aca="true">IFERROR(CORREL(OFFSET('Data (Cleaned)'!$O$4,0,0,1036,1),OFFSET('Data (Cleaned)'!$K$6,0,0,1036,1)),"")</f>
        <v>0.179136781824912</v>
      </c>
      <c r="D23" s="2" t="s">
        <v>147</v>
      </c>
    </row>
    <row r="24" customFormat="false" ht="15" hidden="false" customHeight="false" outlineLevel="0" collapsed="false">
      <c r="B24" s="2" t="n">
        <v>3</v>
      </c>
      <c r="C24" s="19" t="n">
        <f aca="true">IFERROR(CORREL(OFFSET('Data (Cleaned)'!$O$4,0,0,1035,1),OFFSET('Data (Cleaned)'!$K$7,0,0,1035,1)),"")</f>
        <v>0.199390167989804</v>
      </c>
      <c r="D24" s="2" t="s">
        <v>147</v>
      </c>
    </row>
    <row r="25" customFormat="false" ht="15" hidden="false" customHeight="false" outlineLevel="0" collapsed="false">
      <c r="B25" s="2" t="n">
        <v>4</v>
      </c>
      <c r="C25" s="19" t="n">
        <f aca="true">IFERROR(CORREL(OFFSET('Data (Cleaned)'!$O$4,0,0,1034,1),OFFSET('Data (Cleaned)'!$K$8,0,0,1034,1)),"")</f>
        <v>0.123766208301183</v>
      </c>
      <c r="D25" s="2" t="s">
        <v>147</v>
      </c>
    </row>
    <row r="26" customFormat="false" ht="15" hidden="false" customHeight="false" outlineLevel="0" collapsed="false">
      <c r="B26" s="2" t="n">
        <v>5</v>
      </c>
      <c r="C26" s="19" t="n">
        <f aca="true">IFERROR(CORREL(OFFSET('Data (Cleaned)'!$O$4,0,0,1033,1),OFFSET('Data (Cleaned)'!$K$9,0,0,1033,1)),"")</f>
        <v>0.144896539212951</v>
      </c>
      <c r="D26" s="2" t="s">
        <v>147</v>
      </c>
    </row>
    <row r="27" customFormat="false" ht="15" hidden="false" customHeight="false" outlineLevel="0" collapsed="false">
      <c r="B27" s="2" t="n">
        <v>6</v>
      </c>
      <c r="C27" s="19" t="n">
        <f aca="true">IFERROR(CORREL(OFFSET('Data (Cleaned)'!$O$4,0,0,1032,1),OFFSET('Data (Cleaned)'!$K$10,0,0,1032,1)),"")</f>
        <v>0.128569226460396</v>
      </c>
      <c r="D27" s="2" t="s">
        <v>147</v>
      </c>
    </row>
    <row r="28" customFormat="false" ht="15" hidden="false" customHeight="false" outlineLevel="0" collapsed="false">
      <c r="B28" s="2" t="n">
        <v>7</v>
      </c>
      <c r="C28" s="19" t="n">
        <f aca="true">IFERROR(CORREL(OFFSET('Data (Cleaned)'!$O$4,0,0,1031,1),OFFSET('Data (Cleaned)'!$K$11,0,0,1031,1)),"")</f>
        <v>0.00169675560963947</v>
      </c>
      <c r="D28" s="2" t="s">
        <v>147</v>
      </c>
    </row>
    <row r="29" customFormat="false" ht="15" hidden="false" customHeight="false" outlineLevel="0" collapsed="false">
      <c r="B29" s="2" t="n">
        <v>8</v>
      </c>
      <c r="C29" s="19" t="n">
        <f aca="true">IFERROR(CORREL(OFFSET('Data (Cleaned)'!$O$4,0,0,1030,1),OFFSET('Data (Cleaned)'!$K$12,0,0,1030,1)),"")</f>
        <v>0.0176290688735368</v>
      </c>
      <c r="D29" s="2" t="s">
        <v>147</v>
      </c>
    </row>
    <row r="30" customFormat="false" ht="15" hidden="false" customHeight="false" outlineLevel="0" collapsed="false">
      <c r="B30" s="2" t="s">
        <v>148</v>
      </c>
    </row>
    <row r="31" customFormat="false" ht="15" hidden="false" customHeight="false" outlineLevel="0" collapsed="false">
      <c r="B31" s="2" t="s">
        <v>149</v>
      </c>
    </row>
    <row r="33" customFormat="false" ht="15" hidden="false" customHeight="false" outlineLevel="0" collapsed="false">
      <c r="A33" s="3" t="s">
        <v>150</v>
      </c>
    </row>
    <row r="34" customFormat="false" ht="15" hidden="false" customHeight="false" outlineLevel="0" collapsed="false">
      <c r="B34" s="17" t="s">
        <v>151</v>
      </c>
      <c r="C34" s="17" t="s">
        <v>152</v>
      </c>
      <c r="D34" s="17" t="s">
        <v>153</v>
      </c>
    </row>
    <row r="35" customFormat="false" ht="15" hidden="false" customHeight="false" outlineLevel="0" collapsed="false">
      <c r="B35" s="2" t="s">
        <v>154</v>
      </c>
      <c r="C35" s="15" t="n">
        <f aca="true">RSQ(OFFSET('Data (Cleaned)'!$B$4,0,0,1032,1),OFFSET('Data (Cleaned)'!$H$10,0,0,1032,1))</f>
        <v>0.895939160065929</v>
      </c>
      <c r="D35" s="2" t="s">
        <v>155</v>
      </c>
    </row>
    <row r="36" customFormat="false" ht="15" hidden="false" customHeight="false" outlineLevel="0" collapsed="false">
      <c r="B36" s="2" t="s">
        <v>156</v>
      </c>
      <c r="C36" s="20" t="n">
        <f aca="false">CORREL('Data (Cleaned)'!$M$4:$M$1041,'Data (Cleaned)'!$L$4:$L$1041)</f>
        <v>0.225916206034523</v>
      </c>
      <c r="D36" s="2" t="s">
        <v>157</v>
      </c>
    </row>
    <row r="37" customFormat="false" ht="15" hidden="false" customHeight="false" outlineLevel="0" collapsed="false">
      <c r="B37" s="2" t="s">
        <v>158</v>
      </c>
      <c r="C37" s="20" t="n">
        <f aca="false">CORREL('Data (Cleaned)'!$N$4:$N$1041,'Data (Cleaned)'!$L$4:$L$1041)</f>
        <v>-0.112113256689503</v>
      </c>
      <c r="D37" s="2" t="s">
        <v>159</v>
      </c>
    </row>
    <row r="38" customFormat="false" ht="15" hidden="false" customHeight="false" outlineLevel="0" collapsed="false">
      <c r="B38" s="2" t="s">
        <v>160</v>
      </c>
      <c r="C38" s="20" t="n">
        <f aca="false">CORREL('Data (Cleaned)'!$O$4:$O$1041,'Data (Cleaned)'!$L$4:$L$1041)</f>
        <v>0.350440380177407</v>
      </c>
      <c r="D38" s="2" t="s">
        <v>161</v>
      </c>
    </row>
    <row r="40" customFormat="false" ht="15" hidden="false" customHeight="false" outlineLevel="0" collapsed="false">
      <c r="A40" s="3" t="s">
        <v>162</v>
      </c>
    </row>
    <row r="41" customFormat="false" ht="15" hidden="false" customHeight="false" outlineLevel="0" collapsed="false">
      <c r="B41" s="17" t="s">
        <v>163</v>
      </c>
      <c r="C41" s="17" t="s">
        <v>164</v>
      </c>
      <c r="D41" s="17" t="s">
        <v>165</v>
      </c>
      <c r="E41" s="17" t="s">
        <v>166</v>
      </c>
    </row>
    <row r="42" customFormat="false" ht="15" hidden="false" customHeight="false" outlineLevel="0" collapsed="false">
      <c r="B42" s="2" t="s">
        <v>167</v>
      </c>
      <c r="C42" s="21" t="n">
        <v>0.1715</v>
      </c>
      <c r="D42" s="22" t="n">
        <v>1.52</v>
      </c>
      <c r="E42" s="21" t="n">
        <v>-0.122</v>
      </c>
    </row>
    <row r="43" customFormat="false" ht="15" hidden="false" customHeight="false" outlineLevel="0" collapsed="false">
      <c r="B43" s="2" t="s">
        <v>168</v>
      </c>
      <c r="C43" s="21" t="n">
        <v>0.0873</v>
      </c>
      <c r="D43" s="22" t="n">
        <v>0.81</v>
      </c>
      <c r="E43" s="21" t="n">
        <v>-0.113</v>
      </c>
    </row>
    <row r="44" customFormat="false" ht="15" hidden="false" customHeight="false" outlineLevel="0" collapsed="false">
      <c r="B44" s="2" t="s">
        <v>169</v>
      </c>
      <c r="C44" s="21" t="n">
        <v>0.1054</v>
      </c>
      <c r="D44" s="22" t="n">
        <v>0.7</v>
      </c>
      <c r="E44" s="21" t="n">
        <v>-0.272</v>
      </c>
    </row>
    <row r="45" customFormat="false" ht="15" hidden="false" customHeight="false" outlineLevel="0" collapsed="false">
      <c r="B45" s="2" t="s">
        <v>170</v>
      </c>
    </row>
    <row r="46" customFormat="false" ht="15" hidden="false" customHeight="false" outlineLevel="0" collapsed="false">
      <c r="B46" s="2" t="s">
        <v>171</v>
      </c>
    </row>
    <row r="48" customFormat="false" ht="15" hidden="false" customHeight="false" outlineLevel="0" collapsed="false">
      <c r="A48" s="3" t="s">
        <v>172</v>
      </c>
    </row>
    <row r="49" customFormat="false" ht="15" hidden="false" customHeight="false" outlineLevel="0" collapsed="false">
      <c r="A49" s="2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2026-08-20T03:17:09Z</dcterms:created>
  <dc:creator>openpyxl</dc:creator>
  <dc:description/>
  <dc:language>en-US</dc:language>
  <cp:lastModifiedBy/>
  <dcterms:modified xsi:type="dcterms:W3CDTF">2026-08-20T03:17:15Z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